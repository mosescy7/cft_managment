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19425" windowHeight="10305" firstSheet="8" activeTab="13"/>
  </bookViews>
  <sheets>
    <sheet name="Rent " sheetId="1" r:id="rId1"/>
    <sheet name="utulities " sheetId="2" r:id="rId2"/>
    <sheet name="INEMA ESTATE 2026" sheetId="3" r:id="rId3"/>
    <sheet name="INGANJI ESTATE 2026" sheetId="5" r:id="rId4"/>
    <sheet name="SUMMARY " sheetId="4" r:id="rId5"/>
    <sheet name="bk janv to march 2026" sheetId="11" r:id="rId6"/>
    <sheet name="Sheet1" sheetId="6" r:id="rId7"/>
    <sheet name="BK MARS 2026" sheetId="7" r:id="rId8"/>
    <sheet name="BK AVRIL 2026" sheetId="8" r:id="rId9"/>
    <sheet name="DEPENSES AVRIL 26" sheetId="10" r:id="rId10"/>
    <sheet name="BK MAY 1 TO 10TH" sheetId="9" r:id="rId11"/>
    <sheet name="bk may 1 t0 31 26" sheetId="12" r:id="rId12"/>
    <sheet name="MAY TRAV" sheetId="13" r:id="rId13"/>
    <sheet name="JUNE TRAV" sheetId="14" r:id="rId14"/>
    <sheet name="list des clients" sheetId="15" r:id="rId15"/>
  </sheets>
  <calcPr calcId="145621"/>
</workbook>
</file>

<file path=xl/calcChain.xml><?xml version="1.0" encoding="utf-8"?>
<calcChain xmlns="http://schemas.openxmlformats.org/spreadsheetml/2006/main">
  <c r="N62" i="3" l="1"/>
  <c r="M62" i="3"/>
  <c r="L62" i="3"/>
  <c r="K62" i="3"/>
  <c r="J62" i="3"/>
  <c r="I62" i="3"/>
  <c r="H62" i="3"/>
  <c r="R62" i="3"/>
  <c r="Q62" i="3"/>
  <c r="P62" i="3"/>
  <c r="O62" i="3"/>
  <c r="S62" i="3"/>
  <c r="S39" i="3"/>
  <c r="S14" i="3"/>
  <c r="S60" i="3"/>
  <c r="R60" i="3"/>
  <c r="Q60" i="3"/>
  <c r="G59" i="15"/>
  <c r="H164" i="14" l="1"/>
  <c r="G164" i="14"/>
  <c r="P60" i="3" l="1"/>
  <c r="O60" i="3"/>
  <c r="N60" i="3"/>
  <c r="K60" i="3"/>
  <c r="J60" i="3"/>
  <c r="I60" i="3"/>
  <c r="H60" i="3"/>
  <c r="G60" i="3"/>
  <c r="G60" i="9" l="1"/>
  <c r="H60" i="9"/>
  <c r="X60" i="9"/>
  <c r="W60" i="9"/>
  <c r="V60" i="9"/>
  <c r="U60" i="9"/>
  <c r="T60" i="9"/>
  <c r="Y60" i="9" s="1"/>
  <c r="Z60" i="9" s="1"/>
  <c r="S60" i="9"/>
  <c r="R60" i="9"/>
  <c r="Q60" i="9"/>
  <c r="P60" i="9"/>
  <c r="O60" i="9"/>
  <c r="N60" i="9"/>
  <c r="M60" i="9"/>
  <c r="L60" i="9"/>
  <c r="K60" i="9"/>
  <c r="J60" i="9"/>
  <c r="AF158" i="10"/>
  <c r="AE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O161" i="10" s="1"/>
  <c r="M158" i="10"/>
  <c r="L158" i="10"/>
  <c r="I158" i="10"/>
  <c r="H158" i="10"/>
  <c r="G158" i="10"/>
  <c r="G160" i="10" s="1"/>
  <c r="I99" i="10"/>
  <c r="J28" i="10"/>
  <c r="J158" i="10" s="1"/>
  <c r="AD158" i="10" l="1"/>
  <c r="AA160" i="10" s="1"/>
  <c r="AC160" i="10" l="1"/>
  <c r="V160" i="10"/>
  <c r="AB160" i="10"/>
  <c r="R160" i="10"/>
  <c r="N160" i="10"/>
  <c r="Y160" i="10"/>
  <c r="U160" i="10"/>
  <c r="Q160" i="10"/>
  <c r="M160" i="10"/>
  <c r="X160" i="10"/>
  <c r="T160" i="10"/>
  <c r="P160" i="10"/>
  <c r="L160" i="10"/>
  <c r="W160" i="10"/>
  <c r="S160" i="10"/>
  <c r="O160" i="10"/>
  <c r="K160" i="10"/>
  <c r="Z160" i="10"/>
  <c r="G185" i="8" l="1"/>
  <c r="Q15" i="5" l="1"/>
  <c r="R39" i="3"/>
  <c r="H185" i="8" l="1"/>
  <c r="L185" i="8"/>
  <c r="K185" i="8"/>
  <c r="J185" i="8"/>
  <c r="P15" i="5" l="1"/>
  <c r="O15" i="5"/>
  <c r="N15" i="5"/>
  <c r="M15" i="5"/>
  <c r="K15" i="5"/>
  <c r="J15" i="5"/>
  <c r="I15" i="5"/>
  <c r="H15" i="5"/>
  <c r="G15" i="5"/>
  <c r="Q39" i="3" l="1"/>
  <c r="P39" i="3"/>
  <c r="F5" i="2" l="1"/>
  <c r="C16" i="4"/>
  <c r="G25" i="4"/>
  <c r="E24" i="4"/>
  <c r="C24" i="4"/>
  <c r="E16" i="4"/>
  <c r="C11" i="4"/>
  <c r="C8" i="4"/>
  <c r="C7" i="4"/>
  <c r="O39" i="3"/>
  <c r="N39" i="3"/>
  <c r="H39" i="3"/>
  <c r="F8" i="2"/>
  <c r="F7" i="2"/>
  <c r="F6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5" i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 l="1"/>
  <c r="F17" i="4"/>
  <c r="G27" i="4" s="1"/>
  <c r="F40" i="1"/>
</calcChain>
</file>

<file path=xl/comments1.xml><?xml version="1.0" encoding="utf-8"?>
<comments xmlns="http://schemas.openxmlformats.org/spreadsheetml/2006/main">
  <authors>
    <author>tc={4E2B02A0-E65E-422A-932E-453A3BC52A7B}</author>
  </authors>
  <commentList>
    <comment ref="N7" author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Returned 150,000</t>
        </r>
      </text>
    </comment>
  </commentList>
</comments>
</file>

<file path=xl/sharedStrings.xml><?xml version="1.0" encoding="utf-8"?>
<sst xmlns="http://schemas.openxmlformats.org/spreadsheetml/2006/main" count="14243" uniqueCount="4890">
  <si>
    <t xml:space="preserve">Ap 2 </t>
  </si>
  <si>
    <t>AP 1</t>
  </si>
  <si>
    <t>Ap 3</t>
  </si>
  <si>
    <t>Ap 4</t>
  </si>
  <si>
    <t>Ap 5</t>
  </si>
  <si>
    <t>Ap 6</t>
  </si>
  <si>
    <t>Ap 7</t>
  </si>
  <si>
    <t>Ap 8</t>
  </si>
  <si>
    <t>Ap 9</t>
  </si>
  <si>
    <t>Ap 10</t>
  </si>
  <si>
    <t>Ap 11</t>
  </si>
  <si>
    <t>Ap 12</t>
  </si>
  <si>
    <t>Ap 13</t>
  </si>
  <si>
    <t>Ap 14</t>
  </si>
  <si>
    <t>Ap 15</t>
  </si>
  <si>
    <t>Ap 16</t>
  </si>
  <si>
    <t>Ap 17</t>
  </si>
  <si>
    <t>Ap 18</t>
  </si>
  <si>
    <t>Ap 19</t>
  </si>
  <si>
    <t>Ap 20</t>
  </si>
  <si>
    <t>Ap 21</t>
  </si>
  <si>
    <t>Sh 1</t>
  </si>
  <si>
    <t>Sh 2</t>
  </si>
  <si>
    <t>Sh 3</t>
  </si>
  <si>
    <t>Sh 4</t>
  </si>
  <si>
    <t>Sh 5</t>
  </si>
  <si>
    <t>Sh 8</t>
  </si>
  <si>
    <t>Sh 9</t>
  </si>
  <si>
    <t>Sh 10</t>
  </si>
  <si>
    <t>Sh 11</t>
  </si>
  <si>
    <t>Sh 12</t>
  </si>
  <si>
    <t>Sh 13</t>
  </si>
  <si>
    <t>Sh 14</t>
  </si>
  <si>
    <t>Sh 15</t>
  </si>
  <si>
    <t xml:space="preserve">Janvier </t>
  </si>
  <si>
    <t xml:space="preserve">Fvrier </t>
  </si>
  <si>
    <t xml:space="preserve">Mars </t>
  </si>
  <si>
    <t xml:space="preserve">Libelle </t>
  </si>
  <si>
    <t xml:space="preserve">total </t>
  </si>
  <si>
    <t>r</t>
  </si>
  <si>
    <t xml:space="preserve">observation </t>
  </si>
  <si>
    <t xml:space="preserve">Observation </t>
  </si>
  <si>
    <t>promis de paye en Arvil</t>
  </si>
  <si>
    <t>elle paye a la fin du mois</t>
  </si>
  <si>
    <t>Sh 6 &amp; 7</t>
  </si>
  <si>
    <t>promis de paye bientot</t>
  </si>
  <si>
    <t>Sh 6&amp;7</t>
  </si>
  <si>
    <t>en discussion</t>
  </si>
  <si>
    <t>elle paye doucement ,quand elle peut</t>
  </si>
  <si>
    <t>elle refuse de paye les deux premier mois ,mais ont est en discussion</t>
  </si>
  <si>
    <t xml:space="preserve">en discussion, la apartement en mauvais etat </t>
  </si>
  <si>
    <t>TOTAL</t>
  </si>
  <si>
    <t>UPI: 1/02/09/01/1161</t>
  </si>
  <si>
    <t>IMENA ESTATE 2026</t>
  </si>
  <si>
    <t>APP N0</t>
  </si>
  <si>
    <t xml:space="preserve">Numero tel </t>
  </si>
  <si>
    <t xml:space="preserve">NOM </t>
  </si>
  <si>
    <t>NATIONALITE</t>
  </si>
  <si>
    <t>DATE DE CONTRAT</t>
  </si>
  <si>
    <t>DEPOSIT</t>
  </si>
  <si>
    <t>UTILITIES</t>
  </si>
  <si>
    <t>PAID MONTH</t>
  </si>
  <si>
    <t>JANVIER</t>
  </si>
  <si>
    <t>FEVRIER</t>
  </si>
  <si>
    <t>March</t>
  </si>
  <si>
    <t>Appril</t>
  </si>
  <si>
    <t xml:space="preserve">March </t>
  </si>
  <si>
    <t>April</t>
  </si>
  <si>
    <t>SH1</t>
  </si>
  <si>
    <t>0788280498</t>
  </si>
  <si>
    <t xml:space="preserve">Uwiringiyimana Donald </t>
  </si>
  <si>
    <t xml:space="preserve">Rwanda </t>
  </si>
  <si>
    <t>SH2</t>
  </si>
  <si>
    <t>0788323837</t>
  </si>
  <si>
    <t>Nkunda victor</t>
  </si>
  <si>
    <t>SH3</t>
  </si>
  <si>
    <t>0788682700</t>
  </si>
  <si>
    <t>Gutenga barba</t>
  </si>
  <si>
    <t>SH4</t>
  </si>
  <si>
    <t>079669881</t>
  </si>
  <si>
    <t xml:space="preserve">Huwida Esma Mohamedkhier osman </t>
  </si>
  <si>
    <t>Sudan</t>
  </si>
  <si>
    <t>SH5</t>
  </si>
  <si>
    <t>0781464264</t>
  </si>
  <si>
    <t xml:space="preserve">LAMU INVESTEMENTS </t>
  </si>
  <si>
    <t>Kenya</t>
  </si>
  <si>
    <t>SH6&amp;7</t>
  </si>
  <si>
    <t>Ntwari elie</t>
  </si>
  <si>
    <t>16/11/2025</t>
  </si>
  <si>
    <t>SH8</t>
  </si>
  <si>
    <t>0791903693</t>
  </si>
  <si>
    <t>Anwar FTWI Reema Jemal</t>
  </si>
  <si>
    <t>Eritrea</t>
  </si>
  <si>
    <t>SH10</t>
  </si>
  <si>
    <t>SH12</t>
  </si>
  <si>
    <t>0737213060</t>
  </si>
  <si>
    <t>Ntihemuka Aimable</t>
  </si>
  <si>
    <t>22/01/2026</t>
  </si>
  <si>
    <t>SH13</t>
  </si>
  <si>
    <t>0788591728</t>
  </si>
  <si>
    <t>Albertine Tours</t>
  </si>
  <si>
    <t xml:space="preserve">SH14 </t>
  </si>
  <si>
    <t>AP1</t>
  </si>
  <si>
    <t>0793145770</t>
  </si>
  <si>
    <t xml:space="preserve">FIYINFOLUWA Philip Odebunmi </t>
  </si>
  <si>
    <t>Nigeria</t>
  </si>
  <si>
    <t>AP2</t>
  </si>
  <si>
    <t xml:space="preserve">OLA Hashima Mohamed Aman </t>
  </si>
  <si>
    <t>AP3</t>
  </si>
  <si>
    <t>+249905582853</t>
  </si>
  <si>
    <t xml:space="preserve">Amani ibrahim ahmed elsayeh </t>
  </si>
  <si>
    <t>AP4</t>
  </si>
  <si>
    <t>0798287659</t>
  </si>
  <si>
    <t>Julius Znnu Dona</t>
  </si>
  <si>
    <t>AP5</t>
  </si>
  <si>
    <t>+263778769575</t>
  </si>
  <si>
    <t>DUBE Sibusisiwe</t>
  </si>
  <si>
    <t>Zimbabwe</t>
  </si>
  <si>
    <t>AP6</t>
  </si>
  <si>
    <t>0781497551</t>
  </si>
  <si>
    <t xml:space="preserve">Uwase vanessa </t>
  </si>
  <si>
    <t>AP7</t>
  </si>
  <si>
    <t>0792632677</t>
  </si>
  <si>
    <t>Arwa mohamed ahmed abdalla</t>
  </si>
  <si>
    <t>SUDAN</t>
  </si>
  <si>
    <t>AP8</t>
  </si>
  <si>
    <t>+263713413225</t>
  </si>
  <si>
    <t xml:space="preserve">ncube chidochase sithabiso </t>
  </si>
  <si>
    <t>AP9</t>
  </si>
  <si>
    <t>795825747</t>
  </si>
  <si>
    <t xml:space="preserve">Nsengiyunva yvan </t>
  </si>
  <si>
    <t>AP10</t>
  </si>
  <si>
    <t>+256772450155</t>
  </si>
  <si>
    <t>Oluka Richard</t>
  </si>
  <si>
    <t>Uganda</t>
  </si>
  <si>
    <t>AP11</t>
  </si>
  <si>
    <t>0782776876</t>
  </si>
  <si>
    <t xml:space="preserve">Abiyingoma chris </t>
  </si>
  <si>
    <t>AP12</t>
  </si>
  <si>
    <t>0795593803</t>
  </si>
  <si>
    <t>Aluel Makeir Ajack</t>
  </si>
  <si>
    <t>SH14 B</t>
  </si>
  <si>
    <t>0788309538</t>
  </si>
  <si>
    <t xml:space="preserve">kayson food/INNOCENT </t>
  </si>
  <si>
    <t>23/10/2025-30/01/2026</t>
  </si>
  <si>
    <t>0781777480</t>
  </si>
  <si>
    <t>Fatima Yassin Sharafeldin</t>
  </si>
  <si>
    <t>04/10/2025-9/02/2026</t>
  </si>
  <si>
    <t xml:space="preserve">promis de paye bientot, 750,000 de caution not yet paid </t>
  </si>
  <si>
    <t xml:space="preserve">AMOUNT TO BE PAID </t>
  </si>
  <si>
    <t>IMENA</t>
  </si>
  <si>
    <t>utilities</t>
  </si>
  <si>
    <t>Rent</t>
  </si>
  <si>
    <t>Date of contracts</t>
  </si>
  <si>
    <t>February,march</t>
  </si>
  <si>
    <t>march</t>
  </si>
  <si>
    <t xml:space="preserve">sh3 </t>
  </si>
  <si>
    <t>OLA</t>
  </si>
  <si>
    <t>LAMU INVESTMENT</t>
  </si>
  <si>
    <t>october-march</t>
  </si>
  <si>
    <t xml:space="preserve"> November-Feb</t>
  </si>
  <si>
    <t>caution</t>
  </si>
  <si>
    <t xml:space="preserve">february </t>
  </si>
  <si>
    <t xml:space="preserve"> jan-march</t>
  </si>
  <si>
    <t xml:space="preserve"> dec-march</t>
  </si>
  <si>
    <t>SH14</t>
  </si>
  <si>
    <t>PHILIP</t>
  </si>
  <si>
    <t>February</t>
  </si>
  <si>
    <t>15/10/2025</t>
  </si>
  <si>
    <t>Total oustanding amount imena</t>
  </si>
  <si>
    <t>INGANJI GLORY TO GOD ESTATE</t>
  </si>
  <si>
    <t>UPI: 1/02/09/01/1456</t>
  </si>
  <si>
    <t>RENT</t>
  </si>
  <si>
    <t>NUMERO</t>
  </si>
  <si>
    <t>LOCATAIRES</t>
  </si>
  <si>
    <t xml:space="preserve">caution </t>
  </si>
  <si>
    <t xml:space="preserve">january </t>
  </si>
  <si>
    <t>february</t>
  </si>
  <si>
    <t>Janvier</t>
  </si>
  <si>
    <t>Fevrier</t>
  </si>
  <si>
    <t>AP13</t>
  </si>
  <si>
    <t>0795293326</t>
  </si>
  <si>
    <t>22/11/2025</t>
  </si>
  <si>
    <t>AP14</t>
  </si>
  <si>
    <t>0788298839</t>
  </si>
  <si>
    <t>YASSIN HAFEZ MOHAMED ZUELFAGAR</t>
  </si>
  <si>
    <t>18/01/2026</t>
  </si>
  <si>
    <t>AP15</t>
  </si>
  <si>
    <t>0796510555</t>
  </si>
  <si>
    <t xml:space="preserve">Ahmed Emadeldin Mohamednour </t>
  </si>
  <si>
    <t>CANADA</t>
  </si>
  <si>
    <t>AP16</t>
  </si>
  <si>
    <t>0793108407</t>
  </si>
  <si>
    <t>Ahabwe Agnes Lynn</t>
  </si>
  <si>
    <t>UGANDA</t>
  </si>
  <si>
    <t>AP18</t>
  </si>
  <si>
    <t>0796681084</t>
  </si>
  <si>
    <t xml:space="preserve">AISHA YOUSIF RDWAN </t>
  </si>
  <si>
    <t>+963944770410</t>
  </si>
  <si>
    <t>Radwan Haitham</t>
  </si>
  <si>
    <t>SYRIAN</t>
  </si>
  <si>
    <t>30/01/2026</t>
  </si>
  <si>
    <t>AP21</t>
  </si>
  <si>
    <t>0785047333</t>
  </si>
  <si>
    <t>Kagame Kelvin</t>
  </si>
  <si>
    <t>RWANDA</t>
  </si>
  <si>
    <t>14/01/2025</t>
  </si>
  <si>
    <t xml:space="preserve">Inganji </t>
  </si>
  <si>
    <t>rent</t>
  </si>
  <si>
    <t>date of contract</t>
  </si>
  <si>
    <t>January-feb utility</t>
  </si>
  <si>
    <t>January-march</t>
  </si>
  <si>
    <t>march rent</t>
  </si>
  <si>
    <t>february-march</t>
  </si>
  <si>
    <t>february -march</t>
  </si>
  <si>
    <t>Total outstanding amount</t>
  </si>
  <si>
    <t xml:space="preserve">TOTAL OUTSTANDING inganji&amp;imena </t>
  </si>
  <si>
    <t>0788307686</t>
  </si>
  <si>
    <t>Tel number</t>
  </si>
  <si>
    <t>Burundi</t>
  </si>
  <si>
    <t>AVR</t>
  </si>
  <si>
    <t>END CONTRACT</t>
  </si>
  <si>
    <t>AVRIL</t>
  </si>
  <si>
    <t>Account</t>
  </si>
  <si>
    <t>Currency</t>
  </si>
  <si>
    <t>Reference</t>
  </si>
  <si>
    <t>Book Date</t>
  </si>
  <si>
    <t>Value Date</t>
  </si>
  <si>
    <t>Narration</t>
  </si>
  <si>
    <t>Credit</t>
  </si>
  <si>
    <t>Debit</t>
  </si>
  <si>
    <t>Balance</t>
  </si>
  <si>
    <t>SH 1 EMERAD S. MARKET</t>
  </si>
  <si>
    <t>SH 2 ECOLAUNDRY</t>
  </si>
  <si>
    <t>SH3 BABRA</t>
  </si>
  <si>
    <t>SH 4</t>
  </si>
  <si>
    <t>SH 5 LAMU JOSEPH S. Market</t>
  </si>
  <si>
    <t>SH6/7 NTWARI saloon</t>
  </si>
  <si>
    <t>SH8 REEMA make up</t>
  </si>
  <si>
    <t>'100001734827</t>
  </si>
  <si>
    <t>RWF</t>
  </si>
  <si>
    <t>FTCM2527386SJIFUA</t>
  </si>
  <si>
    <t>Push to MOMO Charges : AC-100068155597 / 250788882446 114m rideaux jour riba~n 228mIlimine Mukeshimana / 114m rideaux jou</t>
  </si>
  <si>
    <t>'1350.0000</t>
  </si>
  <si>
    <t>'12571774.0000</t>
  </si>
  <si>
    <t>MTN MOBILE MONEY NEW MOBISERVE : 114m rideaux jou / 250788882446 114m rideaux jour riba~n 228mIlimine Mukeshimana / 114m rideaux jou</t>
  </si>
  <si>
    <t>'1103520.0000</t>
  </si>
  <si>
    <t>'11468254.0000</t>
  </si>
  <si>
    <t>FTCM25273VSFXGTNY</t>
  </si>
  <si>
    <t>MTN MOBILE MONEY NEW MOBISERVE : patking / 250788750184 patkingChantal KAYITA~RE KAYIRANGWA / patking</t>
  </si>
  <si>
    <t>'5000.0000</t>
  </si>
  <si>
    <t>'11463254.0000</t>
  </si>
  <si>
    <t>FTCM25273L5ND36ZI</t>
  </si>
  <si>
    <t>Push to MOMO Charges : AC-100068155597 / 250788262012 malnutrition rideaux n~uit 114mHabibu DUSABIMANA / malnutrition rid</t>
  </si>
  <si>
    <t>'100.0000</t>
  </si>
  <si>
    <t>'11463154.0000</t>
  </si>
  <si>
    <t>MTN MOBILE MONEY NEW MOBISERVE : malnutrition rid / 250788262012 malnutrition rideaux n~uit 114mHabibu DUSABIMANA / malnutrition rid</t>
  </si>
  <si>
    <t>'2000.0000</t>
  </si>
  <si>
    <t>'11461154.0000</t>
  </si>
  <si>
    <t>FTCM25273FL5FFAWR</t>
  </si>
  <si>
    <t>Push to MOMO Charges : AC-100068155597 / 250785573600 transport inkoni za ri~deauxBaptiste KAYIRANGA / transport inkoni</t>
  </si>
  <si>
    <t>'200.0000</t>
  </si>
  <si>
    <t>'11460954.0000</t>
  </si>
  <si>
    <t>MTN MOBILE MONEY NEW MOBISERVE : transport inkoni / 250785573600 transport inkoni za ri~deauxBaptiste KAYIRANGA / transport inkoni</t>
  </si>
  <si>
    <t>'15000.0000</t>
  </si>
  <si>
    <t>'11445954.0000</t>
  </si>
  <si>
    <t>FTCM252734JWCEEQD</t>
  </si>
  <si>
    <t>Push to MOMO Charges : AC-100068155597 / 250783552143 mo Moise tailwur mama~CocoMoise BYIRINGIRO / mo Moise tailwur</t>
  </si>
  <si>
    <t>'11445854.0000</t>
  </si>
  <si>
    <t>MTN MOBILE MONEY NEW MOBISERVE : mo Moise tailwur / 250783552143 mo Moise tailwur mama~CocoMoise BYIRINGIRO / mo Moise tailwur</t>
  </si>
  <si>
    <t>'11440854.0000</t>
  </si>
  <si>
    <t>FTCM25274J6YTQDRN</t>
  </si>
  <si>
    <t>MTN Push to Bank :  / MTNPUSH23214276991250781464264   SH 5 LAMU INVESTIMENT JOSEPH MUTAMBAKI CYARO RENT OCTOBER /NOVEMBER / DEPOSIT 1 MONTH</t>
  </si>
  <si>
    <t>'3000000.0000</t>
  </si>
  <si>
    <t>'14440854.0000</t>
  </si>
  <si>
    <t>FTCM25274MX3CM0LK</t>
  </si>
  <si>
    <t>MTN MOBILE MONEY NEW MOBISERVE : momo maman / 250788750184 momo mamanChantal KAY~ITARE KAYIRANGWA / momo maman</t>
  </si>
  <si>
    <t>'50000.0000</t>
  </si>
  <si>
    <t>'14390854.0000</t>
  </si>
  <si>
    <t>FTCM252747VGOCT03</t>
  </si>
  <si>
    <t>Push to MOMO Charges : AC-100068155597 / 250788649864 achat meuble sonatube~Amin Radjabu Ndikuriyo / achat meuble son</t>
  </si>
  <si>
    <t>'14390654.0000</t>
  </si>
  <si>
    <t>MTN MOBILE MONEY NEW MOBISERVE : achat meuble son / 250788649864 achat meuble sonatube~Amin Radjabu Ndikuriyo / achat meuble son</t>
  </si>
  <si>
    <t>'130000.0000</t>
  </si>
  <si>
    <t>'14260654.0000</t>
  </si>
  <si>
    <t>FTCM25274SD1LKAXR</t>
  </si>
  <si>
    <t>Push to MOMO Charges : AC-100068155597 / 250788416899 kuvura inkaPatrick NI~YONZIMA / kuvura inka</t>
  </si>
  <si>
    <t>'14260454.0000</t>
  </si>
  <si>
    <t>MTN MOBILE MONEY NEW MOBISERVE : kuvura inka / 250788416899 kuvura inkaPatrick NI~YONZIMA / kuvura inka</t>
  </si>
  <si>
    <t>'54600.0000</t>
  </si>
  <si>
    <t>'14205854.0000</t>
  </si>
  <si>
    <t>FTCM25274R2WUO3HM</t>
  </si>
  <si>
    <t>Push to MOMO Charges : AC-100068155597 / 250795353970 avance instead eau Joh~n plombeirImmaculee NYIRANIZEYIMAN / avance instead e</t>
  </si>
  <si>
    <t>'14205754.0000</t>
  </si>
  <si>
    <t>MTN MOBILE MONEY NEW MOBISERVE : avance instead e / 250795353970 avance instead eau Joh~n plombeirImmaculee NYIRANIZEYIMAN / avance instead e</t>
  </si>
  <si>
    <t>'10000.0000</t>
  </si>
  <si>
    <t>'14195754.0000</t>
  </si>
  <si>
    <t>FTCM25274XI4MRKFP</t>
  </si>
  <si>
    <t>Push to MOMO Charges : AC-100068155597 / 250781192754 sal HakizaTheoneste H~AKIZIMANA / sal Hakiza</t>
  </si>
  <si>
    <t>'14195554.0000</t>
  </si>
  <si>
    <t>MTN MOBILE MONEY NEW MOBISERVE : sal Hakiza / 250781192754 sal HakizaTheoneste H~AKIZIMANA / sal Hakiza</t>
  </si>
  <si>
    <t>'85000.0000</t>
  </si>
  <si>
    <t>'14110554.0000</t>
  </si>
  <si>
    <t>FTCM252748PDS9KVX</t>
  </si>
  <si>
    <t>Push to MOMO Charges : AC-100068155597 / 250781819453 commission Ap18 Nigeri~anDAMLABEN TEKEU CHARLY DE BARROS / commission Ap18</t>
  </si>
  <si>
    <t>'14110354.0000</t>
  </si>
  <si>
    <t>MTN MOBILE MONEY NEW MOBISERVE : commission Ap18 / 250781819453 commission Ap18 Nigeri~anDAMLABEN TEKEU CHARLY DE BARROS / commission Ap18</t>
  </si>
  <si>
    <t>'35000.0000</t>
  </si>
  <si>
    <t>'14075354.0000</t>
  </si>
  <si>
    <t>FTCM25274EFAHJBPX</t>
  </si>
  <si>
    <t>Push to MOMO Charges : AC-100068155597 / 250783552143 Avance couture tailleu~r Moise mama cocoMoise BYIRINGIRO / Avance couture t</t>
  </si>
  <si>
    <t>'14075154.0000</t>
  </si>
  <si>
    <t>MTN MOBILE MONEY NEW MOBISERVE : Avance couture t / 250783552143 Avance couture tailleu~r Moise mama cocoMoise BYIRINGIRO / Avance couture t</t>
  </si>
  <si>
    <t>'40000.0000</t>
  </si>
  <si>
    <t>'14035154.0000</t>
  </si>
  <si>
    <t>FTCM25274HNSDLDTG</t>
  </si>
  <si>
    <t>Push to MOMO Charges : AC-100068155597 / 250784779844 transport kwitaba RIB~Faustin NSENGIMANA / transport kwitab</t>
  </si>
  <si>
    <t>'14034954.0000</t>
  </si>
  <si>
    <t>MTN MOBILE MONEY NEW MOBISERVE : transport kwitab / 250784779844 transport kwitaba RIB~Faustin NSENGIMANA / transport kwitab</t>
  </si>
  <si>
    <t>'14000.0000</t>
  </si>
  <si>
    <t>'14020954.0000</t>
  </si>
  <si>
    <t>FTCM25274NB7KMDS3</t>
  </si>
  <si>
    <t>Push to MOMO Charges : AC-100068155597 / 250783709858 reparation camera inga~njiPatrick MUVUNYI / reparation camer</t>
  </si>
  <si>
    <t>'14020854.0000</t>
  </si>
  <si>
    <t>MTN MOBILE MONEY NEW MOBISERVE : reparation camer / 250783709858 reparation camera inga~njiPatrick MUVUNYI / reparation camer</t>
  </si>
  <si>
    <t>'14010854.0000</t>
  </si>
  <si>
    <t>FTCM252758EVQIH4P</t>
  </si>
  <si>
    <t>MTN MOBILE MONEY NEW MOBISERVE : 3 registers mark / 250788750184 3 registers markerCha~ntal KAYITARE KAYIRANGWA / 3 registers mark</t>
  </si>
  <si>
    <t>'12500.0000</t>
  </si>
  <si>
    <t>'13998354.0000</t>
  </si>
  <si>
    <t>FTCM25275DSJRMT6T</t>
  </si>
  <si>
    <t>MTN MOBILE MONEY NEW MOBISERVE : fuel prado / 250788750184 fuel pradoChantal KAY~ITARE KAYIRANGWA / fuel prado</t>
  </si>
  <si>
    <t>'140879.0000</t>
  </si>
  <si>
    <t>'13857475.0000</t>
  </si>
  <si>
    <t>FTCM25275B6USNWYW</t>
  </si>
  <si>
    <t>MTN MOBILE MONEY NEW MOBISERVE : cashpowers Imena / 250788750184 cashpowers ImenaChant~al KAYITARE KAYIRANGWA / cashpowers Imena</t>
  </si>
  <si>
    <t>'13807475.0000</t>
  </si>
  <si>
    <t>FT25275RS6L3</t>
  </si>
  <si>
    <t>Annual Debit Card Fee : AF25OC218213162 / Annual feeXX5624 / AF25OC218213162</t>
  </si>
  <si>
    <t>'13802475.0000</t>
  </si>
  <si>
    <t>FT252750MBCF</t>
  </si>
  <si>
    <t>Annual Debit Card Fee : AF25OC21821959 / Annual feeXX8349 / AF25OC21821959</t>
  </si>
  <si>
    <t>'13797475.0000</t>
  </si>
  <si>
    <t>FTCM25275VEUAZ0ND</t>
  </si>
  <si>
    <t>Internal Transfer charges : AC-100036761754 / approvisionnement Savings Account</t>
  </si>
  <si>
    <t>'13797375.0000</t>
  </si>
  <si>
    <t>IB Account transfer : Savings Account / approvisionnement Savings Account</t>
  </si>
  <si>
    <t>'4500000.0000</t>
  </si>
  <si>
    <t>'9297375.0000</t>
  </si>
  <si>
    <t>FTCM25275QKYUDUPT</t>
  </si>
  <si>
    <t>Push to MOMO Charges : AC-100068155597 / 250784733317 memory cards 2Jean de~Dieu HAFASHIMANA / memory cards 2</t>
  </si>
  <si>
    <t>'9297175.0000</t>
  </si>
  <si>
    <t>MTN MOBILE MONEY NEW MOBISERVE : memory cards 2 / 250784733317 memory cards 2Jean de~Dieu HAFASHIMANA / memory cards 2</t>
  </si>
  <si>
    <t>'9247175.0000</t>
  </si>
  <si>
    <t>FTCM25275SVBRDD4N</t>
  </si>
  <si>
    <t>Push to MOMO Charges : AC-100068155597 / 250783709858 camera repairPatrick~MUVUNYI / camera repair</t>
  </si>
  <si>
    <t>'9246975.0000</t>
  </si>
  <si>
    <t>MTN MOBILE MONEY NEW MOBISERVE : camera repair / 250783709858 camera repairPatrick~MUVUNYI / camera repair</t>
  </si>
  <si>
    <t>'9231975.0000</t>
  </si>
  <si>
    <t>FTCM252754QJ4ENIR</t>
  </si>
  <si>
    <t>Push to MOMO Charges : AC-100068155597 / 250786265317 Association maison cas~hpowersJean Damascene HABANABAKIZE / Association mais</t>
  </si>
  <si>
    <t>'9231775.0000</t>
  </si>
  <si>
    <t>MTN MOBILE MONEY NEW MOBISERVE : Association mais / 250786265317 Association maison cas~hpowersJean Damascene HABANABAKIZE / Association mais</t>
  </si>
  <si>
    <t>'9216775.0000</t>
  </si>
  <si>
    <t>FTCM25276ORMF5APR</t>
  </si>
  <si>
    <t>Push to MOMO Charges : AC-100068155597 / 250781094763 comm sur SH5Monique M~UKAREMERA / comm sur SH5</t>
  </si>
  <si>
    <t>'9216575.0000</t>
  </si>
  <si>
    <t>MTN MOBILE MONEY NEW MOBISERVE : comm sur SH5 / 250781094763 comm sur SH5Monique M~UKAREMERA / comm sur SH5</t>
  </si>
  <si>
    <t>'100000.0000</t>
  </si>
  <si>
    <t>'9116575.0000</t>
  </si>
  <si>
    <t>FTCM25276GQHSTZN6</t>
  </si>
  <si>
    <t>Push to MOMO Charges : AC-100068155597 / 250790419946 Imena isuku Ineza 12jr~sAlphonsine INEZA / Imena isuku Inez</t>
  </si>
  <si>
    <t>'9116375.0000</t>
  </si>
  <si>
    <t>MTN MOBILE MONEY NEW MOBISERVE : Imena isuku Inez / 250790419946 Imena isuku Ineza 12jr~sAlphonsine INEZA / Imena isuku Inez</t>
  </si>
  <si>
    <t>'60000.0000</t>
  </si>
  <si>
    <t>'9056375.0000</t>
  </si>
  <si>
    <t>FTCM25276DHCFRSXM</t>
  </si>
  <si>
    <t>Push to MOMO Charges : AC-100068155597 / 250781192754 Theo HakizaTheoneste~HAKIZIMANA / Theo Hakiza</t>
  </si>
  <si>
    <t>'9056275.0000</t>
  </si>
  <si>
    <t>MTN MOBILE MONEY NEW MOBISERVE : Theo Hakiza / 250781192754 Theo HakizaTheoneste~HAKIZIMANA / Theo Hakiza</t>
  </si>
  <si>
    <t>'9051275.0000</t>
  </si>
  <si>
    <t>FTCM25276DC3SJ65Z</t>
  </si>
  <si>
    <t>Push to MOMO Charges : AC-100068155597 / 250788688841 Kiramuruzi salEritier~WASE / Kiramuruzi sal</t>
  </si>
  <si>
    <t>'9049925.0000</t>
  </si>
  <si>
    <t>MTN MOBILE MONEY NEW MOBISERVE : Kiramuruzi sal / 250788688841 Kiramuruzi salEritier~WASE / Kiramuruzi sal</t>
  </si>
  <si>
    <t>'511000.0000</t>
  </si>
  <si>
    <t>'8538925.0000</t>
  </si>
  <si>
    <t>FTCM25276VAPDWQA6</t>
  </si>
  <si>
    <t>Push to MOMO Charges : AC-100068155597 / 250788507892 3 chauf eau ImenaRene~UMUHIRE / 3 chauf eau Imen</t>
  </si>
  <si>
    <t>'8537575.0000</t>
  </si>
  <si>
    <t>MTN MOBILE MONEY NEW MOBISERVE : 3 chauf eau Imen / 250788507892 3 chauf eau ImenaRene~UMUHIRE / 3 chauf eau Imen</t>
  </si>
  <si>
    <t>'392000.0000</t>
  </si>
  <si>
    <t>'8145575.0000</t>
  </si>
  <si>
    <t>FTCM25276RTOG3ORV</t>
  </si>
  <si>
    <t>'8145475.0000</t>
  </si>
  <si>
    <t>'2500000.0000</t>
  </si>
  <si>
    <t>'5645475.0000</t>
  </si>
  <si>
    <t>FTCM25276FATRWWEG</t>
  </si>
  <si>
    <t>Cash deposit-BK YACU : MBARUSHIMANA  JE / rent payment 0795850501Amani Ibrah~im Ahmed Elsayeh / MBARUSHIMANA  JE</t>
  </si>
  <si>
    <t>'900000.0000</t>
  </si>
  <si>
    <t>'6545475.0000</t>
  </si>
  <si>
    <t>FTCM25276ISUUXUQI</t>
  </si>
  <si>
    <t>Push to MOMO Charges : AC-100068155597 / 250784525945 tete gas Ap18 inganji~Emmanuel HAKIZIMANA / tete gas Ap18 in</t>
  </si>
  <si>
    <t>'6545275.0000</t>
  </si>
  <si>
    <t>MTN MOBILE MONEY NEW MOBISERVE : tete gas Ap18 in / 250784525945 tete gas Ap18 inganji~Emmanuel HAKIZIMANA / tete gas Ap18 in</t>
  </si>
  <si>
    <t>'11000.0000</t>
  </si>
  <si>
    <t>'6534275.0000</t>
  </si>
  <si>
    <t>FT25276HPHT9</t>
  </si>
  <si>
    <t>Outward bulk Transfer On-Us  : EKAR1003161485 / ASSUR CYABUKOMBE ALBERT 1456 / EKAR1003161485</t>
  </si>
  <si>
    <t>'558964.0000</t>
  </si>
  <si>
    <t>'5975311.0000</t>
  </si>
  <si>
    <t>FTCM25276JGRPGXCL</t>
  </si>
  <si>
    <t>MTN MOBILE MONEY NEW MOBISERVE : marine / 250788750184 marineChantal KAYITAR~E KAYIRANGWA / marine</t>
  </si>
  <si>
    <t>'5925311.0000</t>
  </si>
  <si>
    <t>FTCM25276UUQOOJJZ</t>
  </si>
  <si>
    <t>Push to MOMO Charges : AC-100068155597 / 250795353970 mo plomberie JohnImma~culee NYIRANIZEYIMANA / mo plomberie Joh</t>
  </si>
  <si>
    <t>'5925111.0000</t>
  </si>
  <si>
    <t>MTN MOBILE MONEY NEW MOBISERVE : mo plomberie Joh / 250795353970 mo plomberie JohnImma~culee NYIRANIZEYIMANA / mo plomberie Joh</t>
  </si>
  <si>
    <t>'5885111.0000</t>
  </si>
  <si>
    <t>FTCM25276R1C9YNQR</t>
  </si>
  <si>
    <t>Push to MOMO Charges : AC-100068155597 / 250783552143 2e avance rideaux et p~erforation inkoniMoise BYIRINGIRO / 2e avance rideau</t>
  </si>
  <si>
    <t>'5884911.0000</t>
  </si>
  <si>
    <t>MTN MOBILE MONEY NEW MOBISERVE : 2e avance rideau / 250783552143 2e avance rideaux et p~erforation inkoniMoise BYIRINGIRO / 2e avance rideau</t>
  </si>
  <si>
    <t>'70000.0000</t>
  </si>
  <si>
    <t>'5814911.0000</t>
  </si>
  <si>
    <t>FTCM25277AFTVZYVI</t>
  </si>
  <si>
    <t>MTN Push to Bank :  / MTNPUSH23278976675250781777480</t>
  </si>
  <si>
    <t>'960000.0000</t>
  </si>
  <si>
    <t>'6774911.0000</t>
  </si>
  <si>
    <t>FTCM25277RGA7VHKU</t>
  </si>
  <si>
    <t>Push to MOMO Charges : AC-100068155597 / 250788730189 comm Ap 4 BapstiteJea~n Baptiste MFIZI / comm Ap 4 Bapsti</t>
  </si>
  <si>
    <t>'6774711.0000</t>
  </si>
  <si>
    <t>MTN MOBILE MONEY NEW MOBISERVE : comm Ap 4 Bapsti / 250788730189 comm Ap 4 BapstiteJea~n Baptiste MFIZI / comm Ap 4 Bapsti</t>
  </si>
  <si>
    <t>'30000.0000</t>
  </si>
  <si>
    <t>'6744711.0000</t>
  </si>
  <si>
    <t>FTCM25277HTEVA8SB</t>
  </si>
  <si>
    <t>Push to MOMO Charges : AC-100068155597 / 250786378547 comm ap 3 nshimiyimana~frankXxx NSHIMIYIMANA / comm ap 3 nshimi</t>
  </si>
  <si>
    <t>'6744511.0000</t>
  </si>
  <si>
    <t>MTN MOBILE MONEY NEW MOBISERVE : comm ap 3 nshimi / 250786378547 comm ap 3 nshimiyimana~frankXxx NSHIMIYIMANA / comm ap 3 nshimi</t>
  </si>
  <si>
    <t>'6714511.0000</t>
  </si>
  <si>
    <t>FTCM25277ZNLBKEVS</t>
  </si>
  <si>
    <t>New App BK-BK Account Transfer : ABIYINGOMA CHRIS / rent paying for 2months plus a secu~rity of one month  330000Rwf per mo / ABIYINGOMA CHRIS</t>
  </si>
  <si>
    <t>'7674511.0000</t>
  </si>
  <si>
    <t>FTCM252789J6TI3ZO</t>
  </si>
  <si>
    <t>Push to MOMO Charges : AC-100068155597 / 250788876054 mo couture rideauxPer~petue UWADEDE / mo couture ridea</t>
  </si>
  <si>
    <t>'7673161.0000</t>
  </si>
  <si>
    <t>MTN MOBILE MONEY NEW MOBISERVE : mo couture ridea / 250788876054 mo couture rideauxPer~petue UWADEDE / mo couture ridea</t>
  </si>
  <si>
    <t>'210000.0000</t>
  </si>
  <si>
    <t>'7463161.0000</t>
  </si>
  <si>
    <t>FTCM25278QFC3GODJ</t>
  </si>
  <si>
    <t>Push to MOMO Charges : AC-100068155597 / 250783713723 marche kimironko beatr~iceBeatrice MUSHIMIYIMANA / marche kimironko</t>
  </si>
  <si>
    <t>'7462961.0000</t>
  </si>
  <si>
    <t>MTN MOBILE MONEY NEW MOBISERVE : marche kimironko / 250783713723 marche kimironko beatr~iceBeatrice MUSHIMIYIMANA / marche kimironko</t>
  </si>
  <si>
    <t>'10500.0000</t>
  </si>
  <si>
    <t>'7452461.0000</t>
  </si>
  <si>
    <t>FTCM252784VBEFISP</t>
  </si>
  <si>
    <t>Cash deposit-BK YACU : HARERIMANA ENOC / RENT PAYMENT 0796696881OLA HASHIM~MOHAMED AMAN / HARERIMANA ENOC</t>
  </si>
  <si>
    <t>'8412461.0000</t>
  </si>
  <si>
    <t>FTCM25278M3EGLWS0</t>
  </si>
  <si>
    <t>Push to MOMO Charges : AC-100068155597 / 250786378547 commission Frank Ap2 O~laXxx NSHIMIYIMANA / commission Frank</t>
  </si>
  <si>
    <t>'8412261.0000</t>
  </si>
  <si>
    <t>MTN MOBILE MONEY NEW MOBISERVE : commission Frank / 250786378547 commission Frank Ap2 O~laXxx NSHIMIYIMANA / commission Frank</t>
  </si>
  <si>
    <t>'8382261.0000</t>
  </si>
  <si>
    <t>FTCM252787A22ZQAU</t>
  </si>
  <si>
    <t>Push to MOMO Charges : AC-100068155597 / 250785480225 peinture Imena retouch~Isaie GASASIRA / peinture Imena r</t>
  </si>
  <si>
    <t>'8382061.0000</t>
  </si>
  <si>
    <t>MTN MOBILE MONEY NEW MOBISERVE : peinture Imena r / 250785480225 peinture Imena retouch~Isaie GASASIRA / peinture Imena r</t>
  </si>
  <si>
    <t>'12000.0000</t>
  </si>
  <si>
    <t>'8370061.0000</t>
  </si>
  <si>
    <t>FTCM25278WZC8KNB6</t>
  </si>
  <si>
    <t>EUCL PREPAID NEW MOBISERVE :  / 04226641332 Cash powerCYABUKOMBE A~LBERT CY AL</t>
  </si>
  <si>
    <t>'8360061.0000</t>
  </si>
  <si>
    <t>FTCM25279XQTHU8YM</t>
  </si>
  <si>
    <t>Push to MOMO Charges : AC-100068155597 / 250788766582 plomberie ImenaAlphon~se GATO / plomberie Imena</t>
  </si>
  <si>
    <t>'8359861.0000</t>
  </si>
  <si>
    <t>MTN MOBILE MONEY NEW MOBISERVE : plomberie Imena / 250788766582 plomberie ImenaAlphon~se GATO / plomberie Imena</t>
  </si>
  <si>
    <t>'83000.0000</t>
  </si>
  <si>
    <t>'8276861.0000</t>
  </si>
  <si>
    <t>FTCM25279WPOMTAHK</t>
  </si>
  <si>
    <t>MTN MOBILE MONEY NEW MOBISERVE : mat electric / 250788750184 mat electricChantal K~AYITARE KAYIRANGWA / mat electric</t>
  </si>
  <si>
    <t>'18000.0000</t>
  </si>
  <si>
    <t>'8258861.0000</t>
  </si>
  <si>
    <t>FTCM25279CVYSAUAH</t>
  </si>
  <si>
    <t>MTN MOBILE MONEY NEW MOBISERVE : materiel electri / 250788750184 materiel electricChan~tal KAYITARE KAYIRANGWA / materiel electri</t>
  </si>
  <si>
    <t>'8208861.0000</t>
  </si>
  <si>
    <t>FT2527966KF2</t>
  </si>
  <si>
    <t>Incoming  Trsf frm local banks :  / GUTENGA  Babra INFOfor rent</t>
  </si>
  <si>
    <t>'9108861.0000</t>
  </si>
  <si>
    <t>FT2527932DX7</t>
  </si>
  <si>
    <t>Outwards Off-Us Dmstic  Cheque :  / CYABUKOMBE ALBERT00000123ECOLAUNDRY~  DRY CLEANER LTD</t>
  </si>
  <si>
    <t>'799000.0000</t>
  </si>
  <si>
    <t>'9907861.0000</t>
  </si>
  <si>
    <t>FTCM25279RPXMULJI</t>
  </si>
  <si>
    <t>Push to MOMO Charges : AC-100068155597 / 250788718055 4 shut ap toiletMarti~n NDORIMANA / 4 shut ap toilet</t>
  </si>
  <si>
    <t>'9907661.0000</t>
  </si>
  <si>
    <t>MTN MOBILE MONEY NEW MOBISERVE : 4 shut ap toilet / 250788718055 4 shut ap toiletMarti~n NDORIMANA / 4 shut ap toilet</t>
  </si>
  <si>
    <t>'102500.0000</t>
  </si>
  <si>
    <t>'9805161.0000</t>
  </si>
  <si>
    <t>FTCM25279MOYNNGYN</t>
  </si>
  <si>
    <t>Push to MOMO Charges : AC-100068155597 / 250782650382 mo maconFidele NIRING~IYUWUHE / mo macon</t>
  </si>
  <si>
    <t>'9804961.0000</t>
  </si>
  <si>
    <t>MTN MOBILE MONEY NEW MOBISERVE : mo macon / 250782650382 mo maconFidele NIRING~IYUWUHE / mo macon</t>
  </si>
  <si>
    <t>'15300.0000</t>
  </si>
  <si>
    <t>'9789661.0000</t>
  </si>
  <si>
    <t>FTCM25279ZGNAGTRV</t>
  </si>
  <si>
    <t>Push to MOMO Charges : AC-100068155597 / 250781192754 ciment pavee imenaThe~oneste HAKIZIMANA / ciment pavee ime</t>
  </si>
  <si>
    <t>'9789561.0000</t>
  </si>
  <si>
    <t>MTN MOBILE MONEY NEW MOBISERVE : ciment pavee ime / 250781192754 ciment pavee imenaThe~oneste HAKIZIMANA / ciment pavee ime</t>
  </si>
  <si>
    <t>'7300.0000</t>
  </si>
  <si>
    <t>'9782261.0000</t>
  </si>
  <si>
    <t>FTCM25279NP3BI9WG</t>
  </si>
  <si>
    <t>Push to MOMO Charges : AC-100068155597 / 250785608319 mo menuisier ap4 ap11~Thomas MVUYEKURE / mo menuisier ap4</t>
  </si>
  <si>
    <t>'9782161.0000</t>
  </si>
  <si>
    <t>MTN MOBILE MONEY NEW MOBISERVE : mo menuisier ap4 / 250785608319 mo menuisier ap4 ap11~Thomas MVUYEKURE / mo menuisier ap4</t>
  </si>
  <si>
    <t>'9772161.0000</t>
  </si>
  <si>
    <t>FTCM25279BWJMPOWD</t>
  </si>
  <si>
    <t>New App BK-BK Account Transfer : LIONEL NGENDAKUR / Loyer   Payment CYABUKOMBE ALBERT / LIONEL NGENDAKUR</t>
  </si>
  <si>
    <t>'660000.0000</t>
  </si>
  <si>
    <t>'10432161.0000</t>
  </si>
  <si>
    <t>FTCM25279TVVR0SKB</t>
  </si>
  <si>
    <t>MTN Push to Bank :  / MTNPUSH23330389698250782775756</t>
  </si>
  <si>
    <t>'362000.0000</t>
  </si>
  <si>
    <t>'10794161.0000</t>
  </si>
  <si>
    <t>FTCM25279PQFM2OEP</t>
  </si>
  <si>
    <t>Push to MOMO Charges : AC-100068155597 / 250795353970 mo plomerie shutffImm~aculee NYIRANIZEYIMANA / mo plomerie shut</t>
  </si>
  <si>
    <t>'10793961.0000</t>
  </si>
  <si>
    <t>MTN MOBILE MONEY NEW MOBISERVE : mo plomerie shut / 250795353970 mo plomerie shutffImm~aculee NYIRANIZEYIMANA / mo plomerie shut</t>
  </si>
  <si>
    <t>'25000.0000</t>
  </si>
  <si>
    <t>'10768961.0000</t>
  </si>
  <si>
    <t>FTCM25280CHHQORL1</t>
  </si>
  <si>
    <t>Push to MOMO Charges : AC-100068155597 / 250788893350 poubelle ibibora nibit~aboraEric KABAYISA / poubelle ibibora</t>
  </si>
  <si>
    <t>'10768761.0000</t>
  </si>
  <si>
    <t>MTN MOBILE MONEY NEW MOBISERVE : poubelle ibibora / 250788893350 poubelle ibibora nibit~aboraEric KABAYISA / poubelle ibibora</t>
  </si>
  <si>
    <t>'80000.0000</t>
  </si>
  <si>
    <t>'10688761.0000</t>
  </si>
  <si>
    <t>FTCM25280O3HG2RFB</t>
  </si>
  <si>
    <t>Push to MOMO Charges : AC-100068155597 / 250788516588 com ap11 Haruna Christ~ienXxx NGIRIMANA / com ap11 Haruna</t>
  </si>
  <si>
    <t>'10688561.0000</t>
  </si>
  <si>
    <t>MTN MOBILE MONEY NEW MOBISERVE : com ap11 Haruna / 250788516588 com ap11 Haruna Christ~ienXxx NGIRIMANA / com ap11 Haruna</t>
  </si>
  <si>
    <t>'10658561.0000</t>
  </si>
  <si>
    <t>'RWF1000108021009</t>
  </si>
  <si>
    <t>TT25280CR9VJ</t>
  </si>
  <si>
    <t>Cash Deposit : VRS/REEMA JEMAL /  / VRS/REEMA JEMAL</t>
  </si>
  <si>
    <t>'770000.0000</t>
  </si>
  <si>
    <t>'11428561.0000</t>
  </si>
  <si>
    <t>FTCM25280ZM3MT0KW</t>
  </si>
  <si>
    <t>Push to MOMO Charges : AC-100068155597 / 250786265317 mo electriciteJean Da~mascene HABANABAKIZE / mo electricite</t>
  </si>
  <si>
    <t>'11428361.0000</t>
  </si>
  <si>
    <t>MTN MOBILE MONEY NEW MOBISERVE : mo electricite / 250786265317 mo electriciteJean Da~mascene HABANABAKIZE / mo electricite</t>
  </si>
  <si>
    <t>'11413361.0000</t>
  </si>
  <si>
    <t>FTCM25281W6P79GLN</t>
  </si>
  <si>
    <t>MTN MOBILE MONEY NEW MOBISERVE : momo / 250788750184 momoChantal KAYITARE~KAYIRANGWA / momo</t>
  </si>
  <si>
    <t>'11363361.0000</t>
  </si>
  <si>
    <t>FTCM25281UROMW5OS</t>
  </si>
  <si>
    <t>Push to MOMO Charges : AC-100068155597 / 250788507892 9 chaufeaux ap ImenaR~ene UMUHIRE / 9 chaufeaux ap I</t>
  </si>
  <si>
    <t>'11362011.0000</t>
  </si>
  <si>
    <t>MTN MOBILE MONEY NEW MOBISERVE : 9 chaufeaux ap I / 250788507892 9 chaufeaux ap ImenaR~ene UMUHIRE / 9 chaufeaux ap I</t>
  </si>
  <si>
    <t>'1207000.0000</t>
  </si>
  <si>
    <t>'10155011.0000</t>
  </si>
  <si>
    <t>FTCM25281FFGXSDFF</t>
  </si>
  <si>
    <t>'10105011.0000</t>
  </si>
  <si>
    <t>FT25282VDZ6C</t>
  </si>
  <si>
    <t>Cheque Deposit : CYATENGWA /  -  / CYATENGWA</t>
  </si>
  <si>
    <t>'320100.0000</t>
  </si>
  <si>
    <t>'10425111.0000</t>
  </si>
  <si>
    <t>FTCM25282WPDECKKF</t>
  </si>
  <si>
    <t>Push to MOMO Charges : AC-100068155597 / 250792401095 remb bal deposit Ap 13~and 15MOHAMAD EL ASSAAD / remb bal deposit</t>
  </si>
  <si>
    <t>'10424911.0000</t>
  </si>
  <si>
    <t>MTN MOBILE MONEY NEW MOBISERVE : remb bal deposit / 250792401095 remb bal deposit Ap 13~and 15MOHAMAD EL ASSAAD / remb bal deposit</t>
  </si>
  <si>
    <t>'10324911.0000</t>
  </si>
  <si>
    <t>FTCM25282GT6Z19KQ</t>
  </si>
  <si>
    <t>Push to MOMO Charges : AC-100068155597 / 250788893350 mo  Eric soudeur ibibo~ra nibitaboraEric KABAYISA / mo  Eric soudeur</t>
  </si>
  <si>
    <t>'10324711.0000</t>
  </si>
  <si>
    <t>MTN MOBILE MONEY NEW MOBISERVE : mo  Eric soudeur / 250788893350 mo  Eric soudeur ibibo~ra nibitaboraEric KABAYISA / mo  Eric soudeur</t>
  </si>
  <si>
    <t>'41000.0000</t>
  </si>
  <si>
    <t>'10283711.0000</t>
  </si>
  <si>
    <t>FTCM25283NMEYPM9J</t>
  </si>
  <si>
    <t>'10183711.0000</t>
  </si>
  <si>
    <t>FTCM25283QTNG6V6P</t>
  </si>
  <si>
    <t>MTN MOBILE MONEY NEW MOBISERVE : printer epson / 250788750184 printer epsonChantal~KAYITARE KAYIRANGWA / printer epson</t>
  </si>
  <si>
    <t>'250000.0000</t>
  </si>
  <si>
    <t>'9933711.0000</t>
  </si>
  <si>
    <t>FTCM25283MHLNNNK6</t>
  </si>
  <si>
    <t>MTN MOBILE MONEY NEW MOBISERVE : mat electric Im3 / 250788750184 mat electric Im3naCha~ntal KAYITARE KAYIRANGWA / mat electric Im3</t>
  </si>
  <si>
    <t>'58000.0000</t>
  </si>
  <si>
    <t>'9875711.0000</t>
  </si>
  <si>
    <t>FTCM25283FS0LJEKG</t>
  </si>
  <si>
    <t>New App BK-BK Account Transfer : MOHAMEDYASSIN SA / Ola Rent CYABUKOMBE ALBERT / MOHAMEDYASSIN SA</t>
  </si>
  <si>
    <t>'500000.0000</t>
  </si>
  <si>
    <t>'10375711.0000</t>
  </si>
  <si>
    <t>FTCM252833FF7JWDG</t>
  </si>
  <si>
    <t>'10475711.0000</t>
  </si>
  <si>
    <t>FTCM25283UN8Y1YK3</t>
  </si>
  <si>
    <t>'10425711.0000</t>
  </si>
  <si>
    <t>FTCM25283M9VR72ND</t>
  </si>
  <si>
    <t>Push to MOMO Charges : AC-100068155597 / 250795353970 plombier shutoff appar~tement ImenaImmaculee NYIRANIZEYIM / plombier shutoff</t>
  </si>
  <si>
    <t>'10425511.0000</t>
  </si>
  <si>
    <t>MTN MOBILE MONEY NEW MOBISERVE : plombier shutoff / 250795353970 plombier shutoff appar~tement ImenaImmaculee NYIRANIZEYIM / plombier shutoff</t>
  </si>
  <si>
    <t>'10375511.0000</t>
  </si>
  <si>
    <t>FTCM25283YIF5UE9P</t>
  </si>
  <si>
    <t>Push to MOMO Charges : AC-100068155597 / 250786265317 mo electricity toilets~app ImenaJean Damascene HABANABAK / mo electricity t</t>
  </si>
  <si>
    <t>'10375311.0000</t>
  </si>
  <si>
    <t>MTN MOBILE MONEY NEW MOBISERVE : mo electricity t / 250786265317 mo electricity toilets~app ImenaJean Damascene HABANABAK / mo electricity t</t>
  </si>
  <si>
    <t>'10363311.0000</t>
  </si>
  <si>
    <t>FTCM25283APUFFTYW</t>
  </si>
  <si>
    <t>Push to MOMO Charges : AC-100068155597 / 250783709858 mo cameras Inganji Muv~unyiPatrick MUVUNYI / mo cameras Ingan</t>
  </si>
  <si>
    <t>'10363211.0000</t>
  </si>
  <si>
    <t>MTN MOBILE MONEY NEW MOBISERVE : mo cameras Ingan / 250783709858 mo cameras Inganji Muv~unyiPatrick MUVUNYI / mo cameras Ingan</t>
  </si>
  <si>
    <t>'10353211.0000</t>
  </si>
  <si>
    <t>FTCM25284ADJKAZGP</t>
  </si>
  <si>
    <t>Cash deposit-BK YACU : TUCLEM FAMILY LT / PAYMENT 0793190257 NSENGIYUMVA YVA~N / TUCLEM FAMILY LT</t>
  </si>
  <si>
    <t>'11313211.0000</t>
  </si>
  <si>
    <t>FTCM25284SLMAZS0B</t>
  </si>
  <si>
    <t>Push to MOMO Charges : AC-100068155597 / 250783130021 jeefJoseph Rukwago / jeef</t>
  </si>
  <si>
    <t>'11313111.0000</t>
  </si>
  <si>
    <t>MTN MOBILE MONEY NEW MOBISERVE : jeef / 250783130021 jeefJoseph Rukwago / jeef</t>
  </si>
  <si>
    <t>'11303111.0000</t>
  </si>
  <si>
    <t>FTCM25284ZBCL3OUN</t>
  </si>
  <si>
    <t>Cash deposit-BK YACU : NKESHIMANA JOSEP / house rent 0796919747Alaa Ahmed Ab~aid Allah / NKESHIMANA JOSEP</t>
  </si>
  <si>
    <t>'580000.0000</t>
  </si>
  <si>
    <t>'11883111.0000</t>
  </si>
  <si>
    <t>FTCM25284MWDS1I8G</t>
  </si>
  <si>
    <t>Push to MOMO Charges : AC-100068155597 / 250782528462 comm EmmyEmmanuel NIY~ONSABA / comm Emmy</t>
  </si>
  <si>
    <t>'11883011.0000</t>
  </si>
  <si>
    <t>MTN MOBILE MONEY NEW MOBISERVE : comm Emmy / 250782528462 comm EmmyEmmanuel NIY~ONSABA / comm Emmy</t>
  </si>
  <si>
    <t>'11878011.0000</t>
  </si>
  <si>
    <t>FTCM25285CQNJYLHX</t>
  </si>
  <si>
    <t>Push to MOMO Charges : AC-100068155597 / 250781510235 Electricite Ap 1Eric~NTAKIRUTIMANA / Electricite Ap 1</t>
  </si>
  <si>
    <t>'11877811.0000</t>
  </si>
  <si>
    <t>MTN MOBILE MONEY NEW MOBISERVE : Electricite Ap 1 / 250781510235 Electricite Ap 1Eric~NTAKIRUTIMANA / Electricite Ap 1</t>
  </si>
  <si>
    <t>'20000.0000</t>
  </si>
  <si>
    <t>'11857811.0000</t>
  </si>
  <si>
    <t>FTCM25285WY0TAUPJ</t>
  </si>
  <si>
    <t>Push to MOMO Charges : AC-100068155597 / 250788879641 Ap1 casseroles assiste~d panne poubelleChantal UWIMANA / Ap1 casseroles a</t>
  </si>
  <si>
    <t>'11857611.0000</t>
  </si>
  <si>
    <t>MTN MOBILE MONEY NEW MOBISERVE : Ap1 casseroles a / 250788879641 Ap1 casseroles assiste~d panne poubelleChantal UWIMANA / Ap1 casseroles a</t>
  </si>
  <si>
    <t>'86000.0000</t>
  </si>
  <si>
    <t>'11771611.0000</t>
  </si>
  <si>
    <t>FTCM25285ZEC7RUN1</t>
  </si>
  <si>
    <t>Push to MOMO Charges : AC-100068155597 / 250794574040 Ap 1 drapsValerie MUK~ANKURUNZIZA / Ap 1 draps</t>
  </si>
  <si>
    <t>'11771411.0000</t>
  </si>
  <si>
    <t>MTN MOBILE MONEY NEW MOBISERVE : Ap 1 draps / 250794574040 Ap 1 drapsValerie MUK~ANKURUNZIZA / Ap 1 draps</t>
  </si>
  <si>
    <t>'17000.0000</t>
  </si>
  <si>
    <t>'11754411.0000</t>
  </si>
  <si>
    <t>FTCM25285GHMDXVOD</t>
  </si>
  <si>
    <t>'11704411.0000</t>
  </si>
  <si>
    <t>FTCM25285G9FKXFBA</t>
  </si>
  <si>
    <t>Push to MOMO Charges : AC-100068155597 / 250784525945 Ap 1  bouteil a gasEm~manuel HAKIZIMANA / Ap 1  bouteil a</t>
  </si>
  <si>
    <t>'11704211.0000</t>
  </si>
  <si>
    <t>MTN MOBILE MONEY NEW MOBISERVE : Ap 1  bouteil a / 250784525945 Ap 1  bouteil a gasEm~manuel HAKIZIMANA / Ap 1  bouteil a</t>
  </si>
  <si>
    <t>'75000.0000</t>
  </si>
  <si>
    <t>'11629211.0000</t>
  </si>
  <si>
    <t>FT25286NLNV4</t>
  </si>
  <si>
    <t>Incoming  Trsf frm local banks :  / ROAD BUILDER LTD 000002215439 IB Lo~cal Transfer appr</t>
  </si>
  <si>
    <t>'5500000.0000</t>
  </si>
  <si>
    <t>'17129211.0000</t>
  </si>
  <si>
    <t>FTCM25285Z1HIB2FP</t>
  </si>
  <si>
    <t>Internal Transfer charges : AC-100036761754 / transfer Savings Account</t>
  </si>
  <si>
    <t>'17129111.0000</t>
  </si>
  <si>
    <t>IB Account transfer : Savings Account / transfer Savings Account</t>
  </si>
  <si>
    <t>'12629111.0000</t>
  </si>
  <si>
    <t>FTCM25286X3W42LXJ</t>
  </si>
  <si>
    <t>MTN MOBILE MONEY NEW MOBISERVE : poubelle garbage / 250788750184 poubelle garbage Imena~appartementsChantal KAYITARE KAYI / poubelle garbage</t>
  </si>
  <si>
    <t>'12604111.0000</t>
  </si>
  <si>
    <t>FTCM252862LIAMZKG</t>
  </si>
  <si>
    <t>Push to MOMO Charges : AC-100068155597 / 250788841868 Ap 9 comm FelicienFel~ecien Ndayisenga / Ap 9 comm Felici</t>
  </si>
  <si>
    <t>'12603911.0000</t>
  </si>
  <si>
    <t>MTN MOBILE MONEY NEW MOBISERVE : Ap 9 comm Felici / 250788841868 Ap 9 comm FelicienFel~ecien Ndayisenga / Ap 9 comm Felici</t>
  </si>
  <si>
    <t>'12573911.0000</t>
  </si>
  <si>
    <t>FTCM25286FV3BBWKZ</t>
  </si>
  <si>
    <t>'12573811.0000</t>
  </si>
  <si>
    <t>'1000000.0000</t>
  </si>
  <si>
    <t>'11573811.0000</t>
  </si>
  <si>
    <t>FTCM25286EGWXYARV</t>
  </si>
  <si>
    <t>Push to MOMO Charges : AC-100068155597 / 250795583293 Ap 14 1b balance depos~it MenghisTECLEAB MENGHIS / Ap 14 1b balance</t>
  </si>
  <si>
    <t>'11572461.0000</t>
  </si>
  <si>
    <t>MTN MOBILE MONEY NEW MOBISERVE : Ap 14 1b balance / 250795583293 Ap 14 1b balance depos~it MenghisTECLEAB MENGHIS / Ap 14 1b balance</t>
  </si>
  <si>
    <t>'221000.0000</t>
  </si>
  <si>
    <t>'11351461.0000</t>
  </si>
  <si>
    <t>FTCM25287JYKBQT6C</t>
  </si>
  <si>
    <t>Push to MOMO Charges : AC-100068155597 / 250788718055 3shutoff toilet en bas~boutiques et disabilityMartin NDO / 3shutoff toilet</t>
  </si>
  <si>
    <t>'11351261.0000</t>
  </si>
  <si>
    <t>MTN MOBILE MONEY NEW MOBISERVE : 3shutoff toilet / 250788718055 3shutoff toilet en bas~boutiques et disabilityMartin NDO / 3shutoff toilet</t>
  </si>
  <si>
    <t>'76000.0000</t>
  </si>
  <si>
    <t>'11275261.0000</t>
  </si>
  <si>
    <t>FTCM25287SG8EFPMF</t>
  </si>
  <si>
    <t>Push to MOMO Charges : AC-100068155597 / 250785480225 imena mo peintureIsai~e GASASIRA / imena mo peintur</t>
  </si>
  <si>
    <t>'11275061.0000</t>
  </si>
  <si>
    <t>MTN MOBILE MONEY NEW MOBISERVE : imena mo peintur / 250785480225 imena mo peintureIsai~e GASASIRA / imena mo peintur</t>
  </si>
  <si>
    <t>'11263061.0000</t>
  </si>
  <si>
    <t>FTCM2528823MAWLS4</t>
  </si>
  <si>
    <t>Push to MOMO Charges : AC-100068155597 / 250781550829 DavidDavid CYABUKOMBE / David</t>
  </si>
  <si>
    <t>'11262861.0000</t>
  </si>
  <si>
    <t>MTN MOBILE MONEY NEW MOBISERVE : David / 250781550829 DavidDavid CYABUKOMBE / David</t>
  </si>
  <si>
    <t>'11162861.0000</t>
  </si>
  <si>
    <t>FTCM25288LNKVALVY</t>
  </si>
  <si>
    <t>Push to MOMO Charges : AC-100068155597 / 250783809437 imifuko ya macademiaA~ugustin SINGIRANKABO / imifuko ya macad</t>
  </si>
  <si>
    <t>'11162761.0000</t>
  </si>
  <si>
    <t>MTN MOBILE MONEY NEW MOBISERVE : imifuko ya macad / 250783809437 imifuko ya macademiaA~ugustin SINGIRANKABO / imifuko ya macad</t>
  </si>
  <si>
    <t>'4000.0000</t>
  </si>
  <si>
    <t>'11158761.0000</t>
  </si>
  <si>
    <t>FTCM25288MISIQRAT</t>
  </si>
  <si>
    <t>MTN MOBILE MONEY NEW MOBISERVE : m0m0 / 250788750184 m0m0Chantal KAYITARE~KAYIRANGWA / m0m0</t>
  </si>
  <si>
    <t>'11108761.0000</t>
  </si>
  <si>
    <t>FTCM2528806NZPCU7</t>
  </si>
  <si>
    <t>Push to MOMO Charges : AC-100068155597 / 250788322222 screen protector phone~mamanHassani HAKIZIMANA / screen protector</t>
  </si>
  <si>
    <t>'11108661.0000</t>
  </si>
  <si>
    <t>MTN MOBILE MONEY NEW MOBISERVE : screen protector / 250788322222 screen protector phone~mamanHassani HAKIZIMANA / screen protector</t>
  </si>
  <si>
    <t>'11098661.0000</t>
  </si>
  <si>
    <t>FTCM25288305GVSF8</t>
  </si>
  <si>
    <t>MTN Push to Bank :  / MTNPUSH23496936804250784429394</t>
  </si>
  <si>
    <t>'12058661.0000</t>
  </si>
  <si>
    <t>FTCM25288TU1ZMB8N</t>
  </si>
  <si>
    <t>'137914.0000</t>
  </si>
  <si>
    <t>'11920747.0000</t>
  </si>
  <si>
    <t>FTCM25288SWNOKIJL</t>
  </si>
  <si>
    <t>Push to MOMO Charges : AC-100068155597 / 250788573388 fiel electic Ap 6Clem~entine MUSABYEYEZU / fiel electic Ap</t>
  </si>
  <si>
    <t>'11920547.0000</t>
  </si>
  <si>
    <t>MTN MOBILE MONEY NEW MOBISERVE : fiel electic Ap / 250788573388 fiel electic Ap 6Clem~entine MUSABYEYEZU / fiel electic Ap</t>
  </si>
  <si>
    <t>'22000.0000</t>
  </si>
  <si>
    <t>'11898547.0000</t>
  </si>
  <si>
    <t>FTCM25288K3D1ROCP</t>
  </si>
  <si>
    <t>Push to MOMO Charges : AC-100068155597 / 250781510235 mo reparation electric~ite Ap 6 Sp 11 EricEric NTAKIRUTIM / mo reparation el</t>
  </si>
  <si>
    <t>'11898347.0000</t>
  </si>
  <si>
    <t>MTN MOBILE MONEY NEW MOBISERVE : mo reparation el / 250781510235 mo reparation electric~ite Ap 6 Sp 11 EricEric NTAKIRUTIM / mo reparation el</t>
  </si>
  <si>
    <t>'11883347.0000</t>
  </si>
  <si>
    <t>FTCM25288TJTGWI5C</t>
  </si>
  <si>
    <t>Push to MOMO Charges : AC-100068155597 / m0 Etic sechoir</t>
  </si>
  <si>
    <t>'11883147.0000</t>
  </si>
  <si>
    <t>MTN MOBILE MONEY NEW MOBISERVE : m0 Etic sechoir</t>
  </si>
  <si>
    <t>'11853147.0000</t>
  </si>
  <si>
    <t>FTCM25289VYXXC4CE</t>
  </si>
  <si>
    <t>AC-100079346599 / 224013068 Wasac billCYABUKOMBE Alb~ert</t>
  </si>
  <si>
    <t>'11853047.0000</t>
  </si>
  <si>
    <t>WASAC NEW MOBISERVE :  / 224013068 Wasac billCYABUKOMBE Alb~ert</t>
  </si>
  <si>
    <t>'16183.0000</t>
  </si>
  <si>
    <t>'11836864.0000</t>
  </si>
  <si>
    <t>FTCM252895L7QCS28</t>
  </si>
  <si>
    <t>AC-100079346599 / 224011778 Wasac billKAYIRANGWA CHA~NTAL</t>
  </si>
  <si>
    <t>'11836764.0000</t>
  </si>
  <si>
    <t>WASAC NEW MOBISERVE :  / 224011778 Wasac billKAYIRANGWA CHA~NTAL</t>
  </si>
  <si>
    <t>'61212.0000</t>
  </si>
  <si>
    <t>'11775552.0000</t>
  </si>
  <si>
    <t>FTCM25288RT76DBD5</t>
  </si>
  <si>
    <t>Push to MOMO Charges : AC-100068155597 / kiramurusi 65k a</t>
  </si>
  <si>
    <t>'11775352.0000</t>
  </si>
  <si>
    <t>MTN MOBILE MONEY NEW MOBISERVE : kiramurusi 65k a</t>
  </si>
  <si>
    <t>'150000.0000</t>
  </si>
  <si>
    <t>'11625352.0000</t>
  </si>
  <si>
    <t>FTCM25289KHOMDBRS</t>
  </si>
  <si>
    <t>MTN MOBILE MONEY NEW MOBISERVE : Imena cashpower / 250788750184 Imena cashpower thanks~Chantal KAYITARE KAYIRANGWA / Imena cashpower</t>
  </si>
  <si>
    <t>'11575352.0000</t>
  </si>
  <si>
    <t>FTCM25289VSKEIYUJ</t>
  </si>
  <si>
    <t>Push to MOMO Charges : AC-100068155597 / 250782002220 transport courier maca~demiaAlphonse Mutabazi / transport courie</t>
  </si>
  <si>
    <t>'11575252.0000</t>
  </si>
  <si>
    <t>MTN MOBILE MONEY NEW MOBISERVE : transport courie / 250782002220 transport courier maca~demiaAlphonse Mutabazi / transport courie</t>
  </si>
  <si>
    <t>'9000.0000</t>
  </si>
  <si>
    <t>'11566252.0000</t>
  </si>
  <si>
    <t>FTCM25289HYD0KRET</t>
  </si>
  <si>
    <t>MTN MOBILE MONEY NEW MOBISERVE : 4 fromages / 250788750184 4 fromagesChantal KAY~ITARE KAYIRANGWA / 4 fromages</t>
  </si>
  <si>
    <t>'26600.0000</t>
  </si>
  <si>
    <t>'11539652.0000</t>
  </si>
  <si>
    <t>FTCM25289PKSGMKXQ</t>
  </si>
  <si>
    <t>Push to MOMO Charges : AC-100068155597 / 250782744789 com ap 6 Uwase Vanessa~Christian IKUZWE / com ap 6 Uwase V</t>
  </si>
  <si>
    <t>'11539452.0000</t>
  </si>
  <si>
    <t>MTN MOBILE MONEY NEW MOBISERVE : com ap 6 Uwase V / 250782744789 com ap 6 Uwase Vanessa~Christian IKUZWE / com ap 6 Uwase V</t>
  </si>
  <si>
    <t>'11509452.0000</t>
  </si>
  <si>
    <t>FTCM252901DJK1Q4U</t>
  </si>
  <si>
    <t>Push to MOMO Charges : AC-100068155597 / 250788510819 2 rames de papier et a~gendaKantilalAmratlal SHAH / 2 rames de papie</t>
  </si>
  <si>
    <t>'11509252.0000</t>
  </si>
  <si>
    <t>MTN MOBILE MONEY NEW MOBISERVE : 2 rames de papie / 250788510819 2 rames de papier et a~gendaKantilalAmratlal SHAH / 2 rames de papie</t>
  </si>
  <si>
    <t>'11494252.0000</t>
  </si>
  <si>
    <t>FTCM25290CNLDM0LI</t>
  </si>
  <si>
    <t>Push to MOMO Charges : AC-100068155597 / 250788680376 jus liamFridaus MUKES~HIMANA / jus liam</t>
  </si>
  <si>
    <t>'11494152.0000</t>
  </si>
  <si>
    <t>MTN MOBILE MONEY NEW MOBISERVE : jus liam / 250788680376 jus liamFridaus MUKES~HIMANA / jus liam</t>
  </si>
  <si>
    <t>'2700.0000</t>
  </si>
  <si>
    <t>'11491452.0000</t>
  </si>
  <si>
    <t>FTCM25290UXJWAADI</t>
  </si>
  <si>
    <t>Push to MOMO Charges : AC-100068155597 / 250781192754 corde sechoir rep port~e ap4Theoneste HAKIZIMANA / corde sechoir re</t>
  </si>
  <si>
    <t>'11491352.0000</t>
  </si>
  <si>
    <t>MTN MOBILE MONEY NEW MOBISERVE : corde sechoir re / 250781192754 corde sechoir rep port~e ap4Theoneste HAKIZIMANA / corde sechoir re</t>
  </si>
  <si>
    <t>'11481352.0000</t>
  </si>
  <si>
    <t>FTCM25290G5QGQXLM</t>
  </si>
  <si>
    <t>Push to MOMO Charges : AC-100068155597 / 250788440153 notaryDavid Livingsto~ne MUGISHA / notary</t>
  </si>
  <si>
    <t>'11481252.0000</t>
  </si>
  <si>
    <t>MTN MOBILE MONEY NEW MOBISERVE : notary / 250788440153 notaryDavid Livingsto~ne MUGISHA / notary</t>
  </si>
  <si>
    <t>'7800.0000</t>
  </si>
  <si>
    <t>'11473452.0000</t>
  </si>
  <si>
    <t>FTCM25290D2NAO08R</t>
  </si>
  <si>
    <t>'11423452.0000</t>
  </si>
  <si>
    <t>FTCM25290SV8M70EF</t>
  </si>
  <si>
    <t>Push to MOMO Charges : AC-100068155597 / 250795322234 2e avance dom jado ing~anjiChristine NYIRAMAYIRA / 2e avance dom ja</t>
  </si>
  <si>
    <t>'11423252.0000</t>
  </si>
  <si>
    <t>MTN MOBILE MONEY NEW MOBISERVE : 2e avance dom ja / 250795322234 2e avance dom jado ing~anjiChristine NYIRAMAYIRA / 2e avance dom ja</t>
  </si>
  <si>
    <t>'11403252.0000</t>
  </si>
  <si>
    <t>FTCM25290SBRXZPYQ</t>
  </si>
  <si>
    <t>MTN MOBILE MONEY NEW MOBISERVE : internet inganji / 250788750184 internet inganjiChant~al KAYITARE KAYIRANGWA / internet inganji</t>
  </si>
  <si>
    <t>'11363252.0000</t>
  </si>
  <si>
    <t>FTCM25291GCT7VBIZ</t>
  </si>
  <si>
    <t>Push to MOMO Charges : AC-100068155597 / 250788300153 frais pour macademiaP~ascaline CYATENGWA / frais pour macad</t>
  </si>
  <si>
    <t>'11363152.0000</t>
  </si>
  <si>
    <t>MTN MOBILE MONEY NEW MOBISERVE : frais pour macad / 250788300153 frais pour macademiaP~ascaline CYATENGWA / frais pour macad</t>
  </si>
  <si>
    <t>'11353152.0000</t>
  </si>
  <si>
    <t>FTCM25291UXVCI4SO</t>
  </si>
  <si>
    <t>Push to MOMO Charges : AC-100068155597 / 250788604267 meubles mugangaCesari~e Semuganga / meubles muganga</t>
  </si>
  <si>
    <t>'11352952.0000</t>
  </si>
  <si>
    <t>MTN MOBILE MONEY NEW MOBISERVE : meubles muganga / 250788604267 meubles mugangaCesari~e Semuganga / meubles muganga</t>
  </si>
  <si>
    <t>'11272952.0000</t>
  </si>
  <si>
    <t>FT25294NN316</t>
  </si>
  <si>
    <t>'541200.0000</t>
  </si>
  <si>
    <t>'11814152.0000</t>
  </si>
  <si>
    <t>FTCM25294ABA75LYZ</t>
  </si>
  <si>
    <t>Push to MOMO Charges : AC-100068155597 / 250781192754 reparation porte sh3 e~t ACHAT poubelle IMENATheoneste HA / reparation porte</t>
  </si>
  <si>
    <t>'11813952.0000</t>
  </si>
  <si>
    <t>MTN MOBILE MONEY NEW MOBISERVE : reparation porte / 250781192754 reparation porte sh3 e~t ACHAT poubelle IMENATheoneste HA / reparation porte</t>
  </si>
  <si>
    <t>'11778952.0000</t>
  </si>
  <si>
    <t>FTCM25296SPG5R1WJ</t>
  </si>
  <si>
    <t>New App BK-BK Account Transfer : INNOCENT TUMUSIF / KAYSON FOOD Ltd rent pytCYABUKOMBE~ALBERT / INNOCENT TUMUSIF</t>
  </si>
  <si>
    <t>'12278952.0000</t>
  </si>
  <si>
    <t>FTCM25296KGWIYFRK</t>
  </si>
  <si>
    <t>New App BK-BK Account Transfer : INNOCENT TUMUSIF / KAYSON FOOD rent pytCYABUKOMBE ALB~ERT / INNOCENT TUMUSIF</t>
  </si>
  <si>
    <t>'12528952.0000</t>
  </si>
  <si>
    <t>FT25297HLZ5J</t>
  </si>
  <si>
    <t>CREDIT CARD PAYMENT : 1T25102417042197 / 471375X2181/250788750184/Cyabukom~Rwf cc pyt 09/25 / 1T25102417042197</t>
  </si>
  <si>
    <t>'57770.0000</t>
  </si>
  <si>
    <t>'12471182.0000</t>
  </si>
  <si>
    <t>FTCM25298AISP01I9</t>
  </si>
  <si>
    <t>MTN MOBILE MONEY NEW MOBISERVE : Innoncent Dedeli / 250788750184 Innoncent Dedeli 20k e~t momo 10kChantal KAYITARE KAYIRAN / Innoncent Dedeli</t>
  </si>
  <si>
    <t>'12441182.0000</t>
  </si>
  <si>
    <t>'RWF1000136161037</t>
  </si>
  <si>
    <t>TT253005K3GG</t>
  </si>
  <si>
    <t>Cash Deposit : ALUEL MAKEIR AJACK/SECURITY DEPOSI /  / ALUEL MAKEIR AJACK/SECURITY DEPOSI</t>
  </si>
  <si>
    <t>'300000.0000</t>
  </si>
  <si>
    <t>'12741182.0000</t>
  </si>
  <si>
    <t>FTCM25298N77FLGWE</t>
  </si>
  <si>
    <t>Cash deposit-BK YACU : J amp amp GB SQU / RENT  0792622968RICHARD OLUKA / J amp amp GB SQU</t>
  </si>
  <si>
    <t>'13701182.0000</t>
  </si>
  <si>
    <t>TT25300TL6NX</t>
  </si>
  <si>
    <t>Cash Deposit : VRS/INYAMIBWA /  / VRS/INYAMIBWA SH 6 SH 7</t>
  </si>
  <si>
    <t>'1500000.0000</t>
  </si>
  <si>
    <t>'15201182.0000</t>
  </si>
  <si>
    <t>FTCM25298V5T0SVAM</t>
  </si>
  <si>
    <t>Push to MOMO Charges : AC-100068155597 / 250795353970 mo plombier John Immac~ule shutoff 4 toilets rep 2 toilets / mo plombier John</t>
  </si>
  <si>
    <t>'15200982.0000</t>
  </si>
  <si>
    <t>MTN MOBILE MONEY NEW MOBISERVE : mo plombier John / 250795353970 mo plombier John Immac~ule shutoff 4 toilets rep 2 toilets / mo plombier John</t>
  </si>
  <si>
    <t>'38000.0000</t>
  </si>
  <si>
    <t>'15162982.0000</t>
  </si>
  <si>
    <t>FTCM25299IJMLFV7J</t>
  </si>
  <si>
    <t>Push to MOMO Charges : AC-100068155597 / 250788300153 service macaPascaline~CYATENGWA / service maca</t>
  </si>
  <si>
    <t>'15162882.0000</t>
  </si>
  <si>
    <t>MTN MOBILE MONEY NEW MOBISERVE : service maca / 250788300153 service macaPascaline~CYATENGWA / service maca</t>
  </si>
  <si>
    <t>'15152882.0000</t>
  </si>
  <si>
    <t>FTCM252994MQJ6X53</t>
  </si>
  <si>
    <t>Push to MOMO Charges : AC-100068155597 / 250788688841 Ryan transport macadem~ia RwamaganaEritier WASE / Ryan transport m</t>
  </si>
  <si>
    <t>'15152682.0000</t>
  </si>
  <si>
    <t>MTN MOBILE MONEY NEW MOBISERVE : Ryan transport m / 250788688841 Ryan transport macadem~ia RwamaganaEritier WASE / Ryan transport m</t>
  </si>
  <si>
    <t>'15122682.0000</t>
  </si>
  <si>
    <t>FTCM25300PXISCMOH</t>
  </si>
  <si>
    <t>Push to MOMO Charges : AC-100068155597 / 250787152796 umutekano InganjiYvet~te MUKABAZIGA / umutekano Inganj</t>
  </si>
  <si>
    <t>'15122582.0000</t>
  </si>
  <si>
    <t>MTN MOBILE MONEY NEW MOBISERVE : umutekano Inganj / 250787152796 umutekano InganjiYvet~te MUKABAZIGA / umutekano Inganj</t>
  </si>
  <si>
    <t>'15113582.0000</t>
  </si>
  <si>
    <t>FT25300WQCY4</t>
  </si>
  <si>
    <t>Cheque Deposit : PASCAL /  -  / PASCAL</t>
  </si>
  <si>
    <t>'520074.0000</t>
  </si>
  <si>
    <t>'15633656.0000</t>
  </si>
  <si>
    <t>FTCM25300ZFENIAW5</t>
  </si>
  <si>
    <t>Push to MOMO Charges : AC-100068155597 / 250791499646 commission Ap 1 2 Rich~ardNoel NIYOMWUNGERI / commission Ap 1</t>
  </si>
  <si>
    <t>'15633456.0000</t>
  </si>
  <si>
    <t>MTN MOBILE MONEY NEW MOBISERVE : commission Ap 1 / 250791499646 commission Ap 1 2 Rich~ardNoel NIYOMWUNGERI / commission Ap 1</t>
  </si>
  <si>
    <t>'15603456.0000</t>
  </si>
  <si>
    <t>FTCM25300XAAUV34U</t>
  </si>
  <si>
    <t>Push to MOMO Charges : AC-100068155597 / 250787084968 8 locks shops inganji~Straton GASHAYIJA / 8 locks shops in</t>
  </si>
  <si>
    <t>'15603256.0000</t>
  </si>
  <si>
    <t>MTN MOBILE MONEY NEW MOBISERVE : 8 locks shops in / 250787084968 8 locks shops inganji~Straton GASHAYIJA / 8 locks shops in</t>
  </si>
  <si>
    <t>'16500.0000</t>
  </si>
  <si>
    <t>'15586756.0000</t>
  </si>
  <si>
    <t>FTCM25300I0PSSDRN</t>
  </si>
  <si>
    <t>MTN Push to Bank :  / MTNPUSH23748687437250795593803</t>
  </si>
  <si>
    <t>'15886756.0000</t>
  </si>
  <si>
    <t>FTCM25300VNYYQXHJ</t>
  </si>
  <si>
    <t>MTN Push to Bank :  / MTNPUSH23748705241250795593803</t>
  </si>
  <si>
    <t>'16186756.0000</t>
  </si>
  <si>
    <t>FTCM25300EDSH62AU</t>
  </si>
  <si>
    <t>MTN Push to Bank :  / MTNPUSH23748725162250795593803</t>
  </si>
  <si>
    <t>'16246756.0000</t>
  </si>
  <si>
    <t>FTCM25301ZK50AGOO</t>
  </si>
  <si>
    <t>Push to MOMO Charges : AC-100068155597 / 250790419946 mo isukuAlphonsine IN~EZA / mo isuku</t>
  </si>
  <si>
    <t>'16246556.0000</t>
  </si>
  <si>
    <t>MTN MOBILE MONEY NEW MOBISERVE : mo isuku / 250790419946 mo isukuAlphonsine IN~EZA / mo isuku</t>
  </si>
  <si>
    <t>'16231556.0000</t>
  </si>
  <si>
    <t>FTCM25301DFPCQBDT</t>
  </si>
  <si>
    <t>Cash deposit-BK YACU : SMART ARK LTD / DEP 0796681086SELF / SMART ARK LTD</t>
  </si>
  <si>
    <t>'17191556.0000</t>
  </si>
  <si>
    <t>FT25301X04NK</t>
  </si>
  <si>
    <t>Incoming  Trsf frm local banks :  / SIBUSISIWE DUBE RENTALS AND DEPOSIT</t>
  </si>
  <si>
    <t>'600000.0000</t>
  </si>
  <si>
    <t>'17791556.0000</t>
  </si>
  <si>
    <t>FTCM25301FNU2YCWP</t>
  </si>
  <si>
    <t>Push to MOMO Charges : AC-100068155597 / 250790204738 ntwari  scanJean Loui~s RUGANINTWARI / ntwari  scan</t>
  </si>
  <si>
    <t>'17791456.0000</t>
  </si>
  <si>
    <t>MTN MOBILE MONEY NEW MOBISERVE : ntwari  scan / 250790204738 ntwari  scanJean Loui~s RUGANINTWARI / ntwari  scan</t>
  </si>
  <si>
    <t>'6500.0000</t>
  </si>
  <si>
    <t>'17784956.0000</t>
  </si>
  <si>
    <t>FTCM25301HAIHJNXQ</t>
  </si>
  <si>
    <t>Push to MOMO Charges : AC-100068155597 / 250788893350 mo soudureEric KABAYI~SA / mo soudure</t>
  </si>
  <si>
    <t>'17784856.0000</t>
  </si>
  <si>
    <t>MTN MOBILE MONEY NEW MOBISERVE : mo soudure / 250788893350 mo soudureEric KABAYI~SA / mo soudure</t>
  </si>
  <si>
    <t>'17774856.0000</t>
  </si>
  <si>
    <t>FTCM25301YLDFD3QQ</t>
  </si>
  <si>
    <t>Push to MOMO Charges : AC-100068155597 / 250796681086 refund rents and depos~itABDULQADIR NESREDIN OMER / refund rents and</t>
  </si>
  <si>
    <t>'17773506.0000</t>
  </si>
  <si>
    <t>MTN MOBILE MONEY NEW MOBISERVE : refund rents and / 250796681086 refund rents and depos~itABDULQADIR NESREDIN OMER / refund rents and</t>
  </si>
  <si>
    <t>'16813506.0000</t>
  </si>
  <si>
    <t>FTCM25301MPSZBHLW</t>
  </si>
  <si>
    <t>Internal Transfer charges : AC-100009482398 / DavidCYABUKOMBE DAVID</t>
  </si>
  <si>
    <t>'16813406.0000</t>
  </si>
  <si>
    <t>BK to BK NEW MOBISERVE : CYABUKOMBE DAVID / DavidCYABUKOMBE DAVID</t>
  </si>
  <si>
    <t>'2100000.0000</t>
  </si>
  <si>
    <t>'14713406.0000</t>
  </si>
  <si>
    <t>FTCM25302AUIUTLRZ</t>
  </si>
  <si>
    <t>Push to MOMO Charges : AC-100068155597 / 250782528462 com Emmy Ap 12 YaiEmm~anuel NIYONSABA / com Emmy Ap 12 Y</t>
  </si>
  <si>
    <t>'14713206.0000</t>
  </si>
  <si>
    <t>MTN MOBILE MONEY NEW MOBISERVE : com Emmy Ap 12 Y / 250782528462 com Emmy Ap 12 YaiEmm~anuel NIYONSABA / com Emmy Ap 12 Y</t>
  </si>
  <si>
    <t>'14683206.0000</t>
  </si>
  <si>
    <t>FTCM25302FHIC8XW4</t>
  </si>
  <si>
    <t>Push to MOMO Charges : AC-100068155597 / 250781510235 reparation electr ap7~Eric NTAKIRUTIMANA / reparation elect</t>
  </si>
  <si>
    <t>'14683006.0000</t>
  </si>
  <si>
    <t>MTN MOBILE MONEY NEW MOBISERVE : reparation elect / 250781510235 reparation electr ap7~Eric NTAKIRUTIMANA / reparation elect</t>
  </si>
  <si>
    <t>'14671006.0000</t>
  </si>
  <si>
    <t>FTCM253021EOQH3FL</t>
  </si>
  <si>
    <t>Push to MOMO Charges : AC-100068155597 / 250780532142 aide accident ngororer~oInnocent NDAYISABA / aide accident ng</t>
  </si>
  <si>
    <t>'14670906.0000</t>
  </si>
  <si>
    <t>MTN MOBILE MONEY NEW MOBISERVE : aide accident ng / 250780532142 aide accident ngororer~oInnocent NDAYISABA / aide accident ng</t>
  </si>
  <si>
    <t>'14660906.0000</t>
  </si>
  <si>
    <t>FTCM253025A2DUKQZ</t>
  </si>
  <si>
    <t>Push to MOMO Charges : AC-100068155597 / 250786378547 commission ap 15 Frank~Sudan novemberXxx NSHIMIYIMANA / commission ap 15</t>
  </si>
  <si>
    <t>'14660706.0000</t>
  </si>
  <si>
    <t>MTN MOBILE MONEY NEW MOBISERVE : commission ap 15 / 250786378547 commission ap 15 Frank~Sudan novemberXxx NSHIMIYIMANA / commission ap 15</t>
  </si>
  <si>
    <t>'17500.0000</t>
  </si>
  <si>
    <t>'14643206.0000</t>
  </si>
  <si>
    <t>FTCM25302NVRPEC2E</t>
  </si>
  <si>
    <t>Push to MOMO Charges : AC-100068155597 / 250783492569 aide maman HodariStep~hanie MUKAKARENZI / aide maman Hodar</t>
  </si>
  <si>
    <t>'14643106.0000</t>
  </si>
  <si>
    <t>MTN MOBILE MONEY NEW MOBISERVE : aide maman Hodar / 250783492569 aide maman HodariStep~hanie MUKAKARENZI / aide maman Hodar</t>
  </si>
  <si>
    <t>'14633106.0000</t>
  </si>
  <si>
    <t>FT253040LHYG</t>
  </si>
  <si>
    <t xml:space="preserve">Loan Repayment :  /  - </t>
  </si>
  <si>
    <t>'5188767.0000</t>
  </si>
  <si>
    <t>'9444339.0000</t>
  </si>
  <si>
    <t>FTCM25304CS7NWM98</t>
  </si>
  <si>
    <t>New App BK-BK Account Transfer : LIONEL NGENDAKUR / Rent Loyer November 2025CYABUKOMBE~ALBERT / LIONEL NGENDAKUR</t>
  </si>
  <si>
    <t>'1014000.0000</t>
  </si>
  <si>
    <t>'10458339.0000</t>
  </si>
  <si>
    <t>FTCM25304BSJ3CHWF</t>
  </si>
  <si>
    <t>Push to MOMO Charges : AC-100068155597 / kiramuruzi imiti</t>
  </si>
  <si>
    <t>'10458139.0000</t>
  </si>
  <si>
    <t>MTN MOBILE MONEY NEW MOBISERVE : kiramuruzi imiti</t>
  </si>
  <si>
    <t>'29000.0000</t>
  </si>
  <si>
    <t>'10429139.0000</t>
  </si>
  <si>
    <t>FTCM25304DWQISLCL</t>
  </si>
  <si>
    <t>Push to MOMO Charges : AC-100068155597 / 250788248158 Pelagie kayitani maria~ge son filsPelagie Cyamazima / Pelagie kayitani</t>
  </si>
  <si>
    <t>'10428939.0000</t>
  </si>
  <si>
    <t>MTN MOBILE MONEY NEW MOBISERVE : Pelagie kayitani / 250788248158 Pelagie kayitani maria~ge son filsPelagie Cyamazima / Pelagie kayitani</t>
  </si>
  <si>
    <t>'10378939.0000</t>
  </si>
  <si>
    <t>FTCM25305SZLXEWJM</t>
  </si>
  <si>
    <t>Push to MOMO Charges : AC-100068155597 / 250788300153 charges macademia P M~Pascaline CYATENGWA / charges macademi</t>
  </si>
  <si>
    <t>'10378839.0000</t>
  </si>
  <si>
    <t>MTN MOBILE MONEY NEW MOBISERVE : charges macademi / 250788300153 charges macademia P M~Pascaline CYATENGWA / charges macademi</t>
  </si>
  <si>
    <t>'10368839.0000</t>
  </si>
  <si>
    <t>FTCM25305VWWZNBAO</t>
  </si>
  <si>
    <t>MTN Push to Bank :  / MTNPUSH23842316598250792872303</t>
  </si>
  <si>
    <t>'10968839.0000</t>
  </si>
  <si>
    <t>FTCM25305JGFJINZC</t>
  </si>
  <si>
    <t>Push to MOMO Charges : AC-100068155597 / 250795322234 salaire dom IngaHakima~na jean de Dieu no Nyiramatira chri / salaire dom Inga</t>
  </si>
  <si>
    <t>'10968639.0000</t>
  </si>
  <si>
    <t>MTN MOBILE MONEY NEW MOBISERVE : salaire dom Inga / 250795322234 salaire dom IngaHakima~na jean de Dieu no Nyiramatira chri / salaire dom Inga</t>
  </si>
  <si>
    <t>'65000.0000</t>
  </si>
  <si>
    <t>'10903639.0000</t>
  </si>
  <si>
    <t>FTCM253052L23TPTX</t>
  </si>
  <si>
    <t>Push to MOMO Charges : AC-100068155597 / 250788688841 transport retour macad~emia from chineEritier WASE / transport retour</t>
  </si>
  <si>
    <t>'10903539.0000</t>
  </si>
  <si>
    <t>MTN MOBILE MONEY NEW MOBISERVE : transport retour / 250788688841 transport retour macad~emia from chineEritier WASE / transport retour</t>
  </si>
  <si>
    <t>'8000.0000</t>
  </si>
  <si>
    <t>'10895539.0000</t>
  </si>
  <si>
    <t>FTCM25305GK3KPXVG</t>
  </si>
  <si>
    <t>Push to MOMO Charges : AC-100068155597 / 250782284996 gutabara imiryango yab~uze ababo mu ImenaAlice ABANABEZA / gutabara imiryan</t>
  </si>
  <si>
    <t>'10895339.0000</t>
  </si>
  <si>
    <t>MTN MOBILE MONEY NEW MOBISERVE : gutabara imiryan / 250782284996 gutabara imiryango yab~uze ababo mu ImenaAlice ABANABEZA / gutabara imiryan</t>
  </si>
  <si>
    <t>'10880339.0000</t>
  </si>
  <si>
    <t>FTCM25306RBZFQVVZ</t>
  </si>
  <si>
    <t>Push to MOMO Charges : AC-100068155597 / 250785480225 avance mo peint ingaji~Isaie GASASIRA / avance mo peint</t>
  </si>
  <si>
    <t>'10880139.0000</t>
  </si>
  <si>
    <t>MTN MOBILE MONEY NEW MOBISERVE : avance mo peint / 250785480225 avance mo peint ingaji~Isaie GASASIRA / avance mo peint</t>
  </si>
  <si>
    <t>'10860139.0000</t>
  </si>
  <si>
    <t>FTCM25306HW2KETTX</t>
  </si>
  <si>
    <t>Push to MOMO Charges : AC-100068155597 / 250781192754 sal Hakiza Octobre 25~Theoneste HAKIZIMANA / sal Hakiza Octob</t>
  </si>
  <si>
    <t>'10859939.0000</t>
  </si>
  <si>
    <t>MTN MOBILE MONEY NEW MOBISERVE : sal Hakiza Octob / 250781192754 sal Hakiza Octobre 25~Theoneste HAKIZIMANA / sal Hakiza Octob</t>
  </si>
  <si>
    <t>'95000.0000</t>
  </si>
  <si>
    <t>'10764939.0000</t>
  </si>
  <si>
    <t>FTCM253066QZGLWVW</t>
  </si>
  <si>
    <t>MTN Push to Bank :  / MTNPUSH23867458227250796397877</t>
  </si>
  <si>
    <t>'416000.0000</t>
  </si>
  <si>
    <t>'11180939.0000</t>
  </si>
  <si>
    <t>FTCM25306IDDV7FML</t>
  </si>
  <si>
    <t>Push to MOMO Charges : AC-100068155597 / 250788688841 kira salariesEritier~WASE / kira salaries</t>
  </si>
  <si>
    <t>'11179589.0000</t>
  </si>
  <si>
    <t>MTN MOBILE MONEY NEW MOBISERVE : kira salaries / 250788688841 kira salariesEritier~WASE / kira salaries</t>
  </si>
  <si>
    <t>'472000.0000</t>
  </si>
  <si>
    <t>'10707589.0000</t>
  </si>
  <si>
    <t>FTCM25307YE1EBQCT</t>
  </si>
  <si>
    <t>Push to MOMO Charges : AC-100068155597 / 250784153885 Ap 13 1A 2kg peintures~Joie Claire UWITONZE / Ap 13 1A 2kg pei</t>
  </si>
  <si>
    <t>'10707489.0000</t>
  </si>
  <si>
    <t>MTN MOBILE MONEY NEW MOBISERVE : Ap 13 1A 2kg pei / 250784153885 Ap 13 1A 2kg peintures~Joie Claire UWITONZE / Ap 13 1A 2kg pei</t>
  </si>
  <si>
    <t>'10698489.0000</t>
  </si>
  <si>
    <t>FTCM253072CI8J6ME</t>
  </si>
  <si>
    <t>Push to MOMO Charges : AC-100068155597 / 250788686761 ap 13 1a ciment stuck~indasaBeatrice NYIRAMUTUNZI / ap 13 1a ciment</t>
  </si>
  <si>
    <t>'10698289.0000</t>
  </si>
  <si>
    <t>MTN MOBILE MONEY NEW MOBISERVE : ap 13 1a ciment / 250788686761 ap 13 1a ciment stuck~indasaBeatrice NYIRAMUTUNZI / ap 13 1a ciment</t>
  </si>
  <si>
    <t>'20300.0000</t>
  </si>
  <si>
    <t>'10677989.0000</t>
  </si>
  <si>
    <t>FTCM25307HSRVCMRW</t>
  </si>
  <si>
    <t>Push to MOMO Charges : AC-100068155597 / 250788460843 Inganji umucanga na tr~ansport rufaniPhilippe NTIBIMENYA / Inganji umucanga</t>
  </si>
  <si>
    <t>'10677789.0000</t>
  </si>
  <si>
    <t>MTN MOBILE MONEY NEW MOBISERVE : Inganji umucanga / 250788460843 Inganji umucanga na tr~ansport rufaniPhilippe NTIBIMENYA / Inganji umucanga</t>
  </si>
  <si>
    <t>'10660789.0000</t>
  </si>
  <si>
    <t>FTCM25307OHXU7AAZ</t>
  </si>
  <si>
    <t>Push to MOMO Charges : AC-100068155597 / 250789664487 transport gutandaEgid~e UWASE / transport gutand</t>
  </si>
  <si>
    <t>'10660689.0000</t>
  </si>
  <si>
    <t>MTN MOBILE MONEY NEW MOBISERVE : transport gutand / 250789664487 transport gutandaEgid~e UWASE / transport gutand</t>
  </si>
  <si>
    <t>'3000.0000</t>
  </si>
  <si>
    <t>'10657689.0000</t>
  </si>
  <si>
    <t>FTCM25307RLCICEB5</t>
  </si>
  <si>
    <t>Internal Transfer charges : AC-100022911378 / Imena IREME SECURITY 3 PIREME COOP~ERATIVE SECURITY amp amp amp HYG / IREME COOPERATIV</t>
  </si>
  <si>
    <t>'10657589.0000</t>
  </si>
  <si>
    <t>BK to BK NEW MOBISERVE : IREME COOPERATIV / Imena IREME SECURITY 3 PIREME COOP~ERATIVE SECURITY amp amp amp HYG / IREME COOPERATIV</t>
  </si>
  <si>
    <t>'10357589.0000</t>
  </si>
  <si>
    <t>FTCM25307LEDZUVH1</t>
  </si>
  <si>
    <t>MTN Push to Bank :  / MTNPUSH23886191905250796397877</t>
  </si>
  <si>
    <t>'10773589.0000</t>
  </si>
  <si>
    <t>FTCM25307RTCHAFYW</t>
  </si>
  <si>
    <t>Cash deposit-BK YACU : UVERO BORA SOLUT / DEPOSIT 0788750184MOHAMED ESAM / UVERO BORA SOLUT</t>
  </si>
  <si>
    <t>'350000.0000</t>
  </si>
  <si>
    <t>'11123589.0000</t>
  </si>
  <si>
    <t>FT25308S9SQ1</t>
  </si>
  <si>
    <t>Incoming  Trsf frm local banks :  / NCUBE CHIDOCHASHE SITHABISO 0000022~49230 MB Local Transfer Outs</t>
  </si>
  <si>
    <t>'360000.0000</t>
  </si>
  <si>
    <t>'11483589.0000</t>
  </si>
  <si>
    <t>'RWF1000107101008</t>
  </si>
  <si>
    <t>TT25308JC8T8</t>
  </si>
  <si>
    <t>Cash Deposit : CYATENGWA PASCALINE/MAKADAMIYA /  / CYATENGWA PASCALINE/MAKADAMIYA</t>
  </si>
  <si>
    <t>'547000.0000</t>
  </si>
  <si>
    <t>'12030589.0000</t>
  </si>
  <si>
    <t>FTCM25308CAMBDD5T</t>
  </si>
  <si>
    <t>Push to MOMO Charges : AC-100068155597 / 250783986662 decoder canal 20k tele~repation 3 tvAngelo MUTONIWABO / decoder canal 20</t>
  </si>
  <si>
    <t>'12030389.0000</t>
  </si>
  <si>
    <t>MTN MOBILE MONEY NEW MOBISERVE : decoder canal 20 / 250783986662 decoder canal 20k tele~repation 3 tvAngelo MUTONIWABO / decoder canal 20</t>
  </si>
  <si>
    <t>'11980389.0000</t>
  </si>
  <si>
    <t>FTCM25309D2TVMZOA</t>
  </si>
  <si>
    <t>MTN MOBILE MONEY NEW MOBISERVE : electricite Imen / 250788750184 electricite ImenaChan~tal KAYITARE KAYIRANGWA / electricite Imen</t>
  </si>
  <si>
    <t>'11930389.0000</t>
  </si>
  <si>
    <t>FTCM25309JSBDQZUP</t>
  </si>
  <si>
    <t>MTN MOBILE MONEY NEW MOBISERVE : fuel Prado / 250788750184 fuel PradoChantal KAY~ITARE KAYIRANGWA / fuel Prado</t>
  </si>
  <si>
    <t>'132500.0000</t>
  </si>
  <si>
    <t>'11797889.0000</t>
  </si>
  <si>
    <t>FTCM25309W4CWYRPX</t>
  </si>
  <si>
    <t>Push to MOMO Charges : AC-100068155597 / 250789796790 commission ap13 1a ing~anji KeturaInnocent MUSHINZIMANA / commission ap13</t>
  </si>
  <si>
    <t>'11797689.0000</t>
  </si>
  <si>
    <t>MTN MOBILE MONEY NEW MOBISERVE : commission ap13 / 250789796790 commission ap13 1a ing~anji KeturaInnocent MUSHINZIMANA / commission ap13</t>
  </si>
  <si>
    <t>'11757689.0000</t>
  </si>
  <si>
    <t>FTCM25309D0SCPMPZ</t>
  </si>
  <si>
    <t>Push to MOMO Charges : AC-100068155597 / 250788306807 Contribution deuil Pap~a Gakinahe par Fam Cyabukombe Alber / Contribution deu</t>
  </si>
  <si>
    <t>'11757489.0000</t>
  </si>
  <si>
    <t>MTN MOBILE MONEY NEW MOBISERVE : Contribution deu / 250788306807 Contribution deuil Pap~a Gakinahe par Fam Cyabukombe Alber / Contribution deu</t>
  </si>
  <si>
    <t>'11657489.0000</t>
  </si>
  <si>
    <t>FTCM25309QW9F9D29</t>
  </si>
  <si>
    <t>MTN Push to Bank :  / MTNPUSH23932526224250793108407</t>
  </si>
  <si>
    <t>'12073489.0000</t>
  </si>
  <si>
    <t>FTCM25309P5YJGAK2</t>
  </si>
  <si>
    <t>Push to MOMO Charges : AC-100068155597 / 250785480225 Inganji avance macons~Isaie GASASIRA / Inganji avance m</t>
  </si>
  <si>
    <t>'12073389.0000</t>
  </si>
  <si>
    <t>MTN MOBILE MONEY NEW MOBISERVE : Inganji avance m / 250785480225 Inganji avance macons~Isaie GASASIRA / Inganji avance m</t>
  </si>
  <si>
    <t>'12068389.0000</t>
  </si>
  <si>
    <t>FTCM25310R30QYZ0T</t>
  </si>
  <si>
    <t>MTN Push to Bank :  / MTNPUSH23940825933250792872537</t>
  </si>
  <si>
    <t>'12428389.0000</t>
  </si>
  <si>
    <t>FTCM25310KY3BIRMR</t>
  </si>
  <si>
    <t>Push to MOMO Charges : AC-100068155597 / 250788686761 ciment inganjiBeatric~e NYIRAMUTUNZI / ciment inganji</t>
  </si>
  <si>
    <t>'12428189.0000</t>
  </si>
  <si>
    <t>MTN MOBILE MONEY NEW MOBISERVE : ciment inganji / 250788686761 ciment inganjiBeatric~e NYIRAMUTUNZI / ciment inganji</t>
  </si>
  <si>
    <t>'12416189.0000</t>
  </si>
  <si>
    <t>FTCM25310SKRHOXIV</t>
  </si>
  <si>
    <t>Push to MOMO Charges : AC-100068155597 / 250785480225 mo macon InganjiIsaie~GASASIRA / mo macon Inganji</t>
  </si>
  <si>
    <t>'12415989.0000</t>
  </si>
  <si>
    <t>MTN MOBILE MONEY NEW MOBISERVE : mo macon Inganji / 250785480225 mo macon InganjiIsaie~GASASIRA / mo macon Inganji</t>
  </si>
  <si>
    <t>'24000.0000</t>
  </si>
  <si>
    <t>'12391989.0000</t>
  </si>
  <si>
    <t>FTCM25311YPXRFNAP</t>
  </si>
  <si>
    <t>Push to MOMO Charges : AC-100068155597 / 250784146626 2sceau induits Inganji~Louise KAYITESI / 2sceau induits I</t>
  </si>
  <si>
    <t>'12391789.0000</t>
  </si>
  <si>
    <t>MTN MOBILE MONEY NEW MOBISERVE : 2sceau induits I / 250784146626 2sceau induits Inganji~Louise KAYITESI / 2sceau induits I</t>
  </si>
  <si>
    <t>'28000.0000</t>
  </si>
  <si>
    <t>'12363789.0000</t>
  </si>
  <si>
    <t>FTCM253112RIP3NRE</t>
  </si>
  <si>
    <t>MTN MOBILE MONEY NEW MOBISERVE : balance kiramuru / 250788750184 balance kiramuruzi 200~kgs MakehomeChantal KAYITARE KAYIR / balance kiramuru</t>
  </si>
  <si>
    <t>'110000.0000</t>
  </si>
  <si>
    <t>'12253789.0000</t>
  </si>
  <si>
    <t>FTCM25311JQGMZBZ2</t>
  </si>
  <si>
    <t>Push to MOMO Charges : AC-100068155597 / refund deposit A</t>
  </si>
  <si>
    <t>'12253589.0000</t>
  </si>
  <si>
    <t>MTN MOBILE MONEY NEW MOBISERVE : refund deposit A</t>
  </si>
  <si>
    <t>'12153589.0000</t>
  </si>
  <si>
    <t>FTCM25312KYFEYJAB</t>
  </si>
  <si>
    <t>Push to MOMO Charges : AC-100068155597 / torche sentinell</t>
  </si>
  <si>
    <t>'12153489.0000</t>
  </si>
  <si>
    <t>MTN MOBILE MONEY NEW MOBISERVE : torche sentinell</t>
  </si>
  <si>
    <t>'6000.0000</t>
  </si>
  <si>
    <t>'12147489.0000</t>
  </si>
  <si>
    <t>FTCM25312QRKTCBL8</t>
  </si>
  <si>
    <t>Push to MOMO Charges : AC-100068155597 / mo macon et pein</t>
  </si>
  <si>
    <t>'12147289.0000</t>
  </si>
  <si>
    <t>MTN MOBILE MONEY NEW MOBISERVE : mo macon et pein</t>
  </si>
  <si>
    <t>'12123289.0000</t>
  </si>
  <si>
    <t>FTCM2531282F1VIDC</t>
  </si>
  <si>
    <t>Push to MOMO Charges : AC-100068155597 / charges macademi</t>
  </si>
  <si>
    <t>'12123189.0000</t>
  </si>
  <si>
    <t>MTN MOBILE MONEY NEW MOBISERVE : charges macademi</t>
  </si>
  <si>
    <t>'12113189.0000</t>
  </si>
  <si>
    <t>FTCM25312TWY7UPOV</t>
  </si>
  <si>
    <t>Push to MOMO Charges : AC-100068155597 / mo comm Didace A</t>
  </si>
  <si>
    <t>'12112989.0000</t>
  </si>
  <si>
    <t>MTN MOBILE MONEY NEW MOBISERVE : mo comm Didace A</t>
  </si>
  <si>
    <t>'12082989.0000</t>
  </si>
  <si>
    <t>FTCM25312R6MFDFWP</t>
  </si>
  <si>
    <t>Push to MOMO Charges : AC-100068155597 / amata Bosco Rwam</t>
  </si>
  <si>
    <t>'12082889.0000</t>
  </si>
  <si>
    <t>MTN MOBILE MONEY NEW MOBISERVE : amata Bosco Rwam</t>
  </si>
  <si>
    <t>'12074889.0000</t>
  </si>
  <si>
    <t>FTCM25312KTYATXRX</t>
  </si>
  <si>
    <t>Push to MOMO Charges : AC-100068155597 / planches</t>
  </si>
  <si>
    <t>'12074689.0000</t>
  </si>
  <si>
    <t>MTN MOBILE MONEY NEW MOBISERVE : planches</t>
  </si>
  <si>
    <t>'23000.0000</t>
  </si>
  <si>
    <t>'12051689.0000</t>
  </si>
  <si>
    <t>FTCM25312AARLJ3RO</t>
  </si>
  <si>
    <t>Push to MOMO Charges : AC-100068155597 / kiramuruzi carre</t>
  </si>
  <si>
    <t>'12051489.0000</t>
  </si>
  <si>
    <t>MTN MOBILE MONEY NEW MOBISERVE : kiramuruzi carre</t>
  </si>
  <si>
    <t>'77000.0000</t>
  </si>
  <si>
    <t>'11974489.0000</t>
  </si>
  <si>
    <t>FTCM25312U2TD8OIO</t>
  </si>
  <si>
    <t>'11974289.0000</t>
  </si>
  <si>
    <t>'11950289.0000</t>
  </si>
  <si>
    <t>FTCM25312IPUJMMME</t>
  </si>
  <si>
    <t>Internal Transfer charges : AC-100022016371 / UMUHOZA NEEMA</t>
  </si>
  <si>
    <t>'11950189.0000</t>
  </si>
  <si>
    <t>BK to BK NEW MOBISERVE : UMUHOZA NEEMA</t>
  </si>
  <si>
    <t>'125000.0000</t>
  </si>
  <si>
    <t>'11825189.0000</t>
  </si>
  <si>
    <t>FTCM25314HKXKBF5D</t>
  </si>
  <si>
    <t xml:space="preserve">MTN Push to Bank : </t>
  </si>
  <si>
    <t>'11885189.0000</t>
  </si>
  <si>
    <t>FT253154YMC5</t>
  </si>
  <si>
    <t>Cheque Deposit : PASCALINE C /  -  / PASCALINE C</t>
  </si>
  <si>
    <t>'632000.0000</t>
  </si>
  <si>
    <t>'12517189.0000</t>
  </si>
  <si>
    <t>CURR.100001734827.0000014</t>
  </si>
  <si>
    <t xml:space="preserve">Cheque Issued Commission Dr : </t>
  </si>
  <si>
    <t>'7000.0000</t>
  </si>
  <si>
    <t>'12510189.0000</t>
  </si>
  <si>
    <t>FTCM25315DG6GFDMI</t>
  </si>
  <si>
    <t>Push to MOMO Charges : AC-100068155597 / 250785480225 mo peinture 10 et 11 n~ov  et meniisierIsaie GASASIRA / mo peinture 10 e</t>
  </si>
  <si>
    <t>'12509989.0000</t>
  </si>
  <si>
    <t>MTN MOBILE MONEY NEW MOBISERVE : mo peinture 10 e / 250785480225 mo peinture 10 et 11 n~ov  et meniisierIsaie GASASIRA / mo peinture 10 e</t>
  </si>
  <si>
    <t>'12449989.0000</t>
  </si>
  <si>
    <t>FTCM253165YRO1RMY</t>
  </si>
  <si>
    <t>Push to MOMO Charges : AC-100068155597 / 250788688841 kiramuruzi jwimura imi~kindo hagatiEritier WASE / kiramuruzi jwimu</t>
  </si>
  <si>
    <t>'12449789.0000</t>
  </si>
  <si>
    <t>MTN MOBILE MONEY NEW MOBISERVE : kiramuruzi jwimu / 250788688841 kiramuruzi jwimura imi~kindo hagatiEritier WASE / kiramuruzi jwimu</t>
  </si>
  <si>
    <t>'12409789.0000</t>
  </si>
  <si>
    <t>FTCM253161HN4GIH7</t>
  </si>
  <si>
    <t>Push to MOMO Charges : AC-100068155597 / 250784146626 inganji tinnelLouise~KAYITESI / inganji tinnel</t>
  </si>
  <si>
    <t>'12409589.0000</t>
  </si>
  <si>
    <t>MTN MOBILE MONEY NEW MOBISERVE : inganji tinnel / 250784146626 inganji tinnelLouise~KAYITESI / inganji tinnel</t>
  </si>
  <si>
    <t>'12389589.0000</t>
  </si>
  <si>
    <t>FTCM25316CCCK3KFA</t>
  </si>
  <si>
    <t>MTN Push to Bank :  / MTNPUSH24073285865250796397877KETURA AP13 INGANJI</t>
  </si>
  <si>
    <t>'406000.0000</t>
  </si>
  <si>
    <t>'12795589.0000</t>
  </si>
  <si>
    <t>FTCM25316YZUI4MF1</t>
  </si>
  <si>
    <t>Push to MOMO Charges : AC-100068155597 / 250795322234 Inganji avance dom Jad~oChristine NYIRAMAYIRA / Inganji avance d</t>
  </si>
  <si>
    <t>'12795389.0000</t>
  </si>
  <si>
    <t>MTN MOBILE MONEY NEW MOBISERVE : Inganji avance d / 250795322234 Inganji avance dom Jad~oChristine NYIRAMAYIRA / Inganji avance d</t>
  </si>
  <si>
    <t>'12775389.0000</t>
  </si>
  <si>
    <t>FTCM25317LHQEH6X1</t>
  </si>
  <si>
    <t>Internal Transfer charges : AC-100022016371 / peinture InganjiUMUHOZA NEEMA</t>
  </si>
  <si>
    <t>'12775289.0000</t>
  </si>
  <si>
    <t>BK to BK NEW MOBISERVE : UMUHOZA NEEMA / peinture InganjiUMUHOZA NEEMA</t>
  </si>
  <si>
    <t>'1339500.0000</t>
  </si>
  <si>
    <t>'11435789.0000</t>
  </si>
  <si>
    <t>FTCM253176RUM3IYE</t>
  </si>
  <si>
    <t>Push to MOMO Charges : AC-100068155597 / 250782805725 igikwa peinture inganj~iHarid RURANGIRWA / igikwa peinture</t>
  </si>
  <si>
    <t>'11435589.0000</t>
  </si>
  <si>
    <t>MTN MOBILE MONEY NEW MOBISERVE : igikwa peinture / 250782805725 igikwa peinture inganj~iHarid RURANGIRWA / igikwa peinture</t>
  </si>
  <si>
    <t>'19200.0000</t>
  </si>
  <si>
    <t>'11416389.0000</t>
  </si>
  <si>
    <t>FTCM25318KNVHCKOK</t>
  </si>
  <si>
    <t>Push to MOMO Charges : AC-100068155597 / 250785480225 avance ko peinture Ing~anjiIsaie GASASIRA / avance ko peintu</t>
  </si>
  <si>
    <t>'11416189.0000</t>
  </si>
  <si>
    <t>MTN MOBILE MONEY NEW MOBISERVE : avance ko peintu / 250785480225 avance ko peinture Ing~anjiIsaie GASASIRA / avance ko peintu</t>
  </si>
  <si>
    <t>'115000.0000</t>
  </si>
  <si>
    <t>'11301189.0000</t>
  </si>
  <si>
    <t>FTCM25318JW6YE9W1</t>
  </si>
  <si>
    <t>'144647.0000</t>
  </si>
  <si>
    <t>'11156542.0000</t>
  </si>
  <si>
    <t>FTCM25319O1DUAN2P</t>
  </si>
  <si>
    <t>Push to MOMO Charges : AC-100068155597 / 250788688841 transport macademia ri~fan RwamaganaEritier WASE / transport macade</t>
  </si>
  <si>
    <t>'11156342.0000</t>
  </si>
  <si>
    <t>MTN MOBILE MONEY NEW MOBISERVE : transport macade / 250788688841 transport macademia ri~fan RwamaganaEritier WASE / transport macade</t>
  </si>
  <si>
    <t>'11126342.0000</t>
  </si>
  <si>
    <t>FTCM25319Y7S0IX3O</t>
  </si>
  <si>
    <t>Push to MOMO Charges : AC-100068155597 / 250788355842 gusaka coupe JackiJac~queline MUKARWEGO / gusaka coupe Jac</t>
  </si>
  <si>
    <t>'11126142.0000</t>
  </si>
  <si>
    <t>MTN MOBILE MONEY NEW MOBISERVE : gusaka coupe Jac / 250788355842 gusaka coupe JackiJac~queline MUKARWEGO / gusaka coupe Jac</t>
  </si>
  <si>
    <t>'11066142.0000</t>
  </si>
  <si>
    <t>FTCM25319GSXHFJ8T</t>
  </si>
  <si>
    <t>MTN Push to Bank :  / MTNPUSH24136821437250793145770 AP 1 PHILIP</t>
  </si>
  <si>
    <t>'1050000.0000</t>
  </si>
  <si>
    <t>'12116142.0000</t>
  </si>
  <si>
    <t>FTCM25319ALJO3GUO</t>
  </si>
  <si>
    <t>MTN MOBILE MONEY NEW MOBISERVE : marche / 250788750184 marcheChantal KAYITAR~E KAYIRANGWA / marche</t>
  </si>
  <si>
    <t>'12086142.0000</t>
  </si>
  <si>
    <t>FTCM25319DOBQ65AO</t>
  </si>
  <si>
    <t>Push to MOMO Charges : AC-100068155597 / 250783361715 vitre fenetre vc  en h~aute ImenaCelestin NSENGIYUMVA / vitre fenetre vc</t>
  </si>
  <si>
    <t>'12085942.0000</t>
  </si>
  <si>
    <t>MTN MOBILE MONEY NEW MOBISERVE : vitre fenetre vc / 250783361715 vitre fenetre vc  en h~aute ImenaCelestin NSENGIYUMVA / vitre fenetre vc</t>
  </si>
  <si>
    <t>'39000.0000</t>
  </si>
  <si>
    <t>'12046942.0000</t>
  </si>
  <si>
    <t>FTCM25319D6D5YZP4</t>
  </si>
  <si>
    <t>Push to MOMO Charges : AC-100068155597 / 250795353970 m0 plomberie Sp 8 Ap 1~0Immaculee NYIRANIZEYIMANA / m0 plomberie Sp</t>
  </si>
  <si>
    <t>'12046842.0000</t>
  </si>
  <si>
    <t>MTN MOBILE MONEY NEW MOBISERVE : m0 plomberie Sp / 250795353970 m0 plomberie Sp 8 Ap 1~0Immaculee NYIRANIZEYIMANA / m0 plomberie Sp</t>
  </si>
  <si>
    <t>'12041842.0000</t>
  </si>
  <si>
    <t>FTCM25319ISW81KLU</t>
  </si>
  <si>
    <t>Push to MOMO Charges : AC-100068155597 / 250788300153 frais macademiaPascal~ine CYATENGWA / frais macademia</t>
  </si>
  <si>
    <t>'12041742.0000</t>
  </si>
  <si>
    <t>MTN MOBILE MONEY NEW MOBISERVE : frais macademia / 250788300153 frais macademiaPascal~ine CYATENGWA / frais macademia</t>
  </si>
  <si>
    <t>'12031742.0000</t>
  </si>
  <si>
    <t>FTCM253206NPAAXBX</t>
  </si>
  <si>
    <t>Push to MOMO Charges : AC-100068155597 / 250780127688 gutwara ibishingweAle~xis HARINDINTWARI / gutwara ibishing</t>
  </si>
  <si>
    <t>'12031642.0000</t>
  </si>
  <si>
    <t>MTN MOBILE MONEY NEW MOBISERVE : gutwara ibishing / 250780127688 gutwara ibishingweAle~xis HARINDINTWARI / gutwara ibishing</t>
  </si>
  <si>
    <t>'12024642.0000</t>
  </si>
  <si>
    <t>FTCM25320EBUWMSOE</t>
  </si>
  <si>
    <t>MTN MOBILE MONEY NEW MOBISERVE : umutekano wu mud / 250788750184 umutekano wu mudugudu~Chantal KAYITARE KAYIRANGWA / umutekano wu mud</t>
  </si>
  <si>
    <t>'12009642.0000</t>
  </si>
  <si>
    <t>FTCM25320B9XH3AKX</t>
  </si>
  <si>
    <t>Push to MOMO Charges : AC-100068155597 / 250785480225 2e avance peinture Ing~anjiIsaie GASASIRA / 2e avance peintu</t>
  </si>
  <si>
    <t>'12009442.0000</t>
  </si>
  <si>
    <t>MTN MOBILE MONEY NEW MOBISERVE : 2e avance peintu / 250785480225 2e avance peinture Ing~anjiIsaie GASASIRA / 2e avance peintu</t>
  </si>
  <si>
    <t>'11909442.0000</t>
  </si>
  <si>
    <t>FTCM25320BADUCJHV</t>
  </si>
  <si>
    <t>'11869442.0000</t>
  </si>
  <si>
    <t>FTCM25320MM2E32NS</t>
  </si>
  <si>
    <t>MTN MOBILE MONEY NEW MOBISERVE : 2 birthday cake / 250788750184 2 birthday cake Liam a~nd DavidChantal KAYITARE KAYIRANGW / 2 birthday cake</t>
  </si>
  <si>
    <t>'11855442.0000</t>
  </si>
  <si>
    <t>FTCM25321CRUSHHEF</t>
  </si>
  <si>
    <t>'11805442.0000</t>
  </si>
  <si>
    <t>FTCM25321AOEXYRCJ</t>
  </si>
  <si>
    <t>Push to MOMO Charges : AC-100068155597 / 250782002220 transport valise Yahoo~busAlphonse Mutabazi / transport valise</t>
  </si>
  <si>
    <t>'11805342.0000</t>
  </si>
  <si>
    <t>MTN MOBILE MONEY NEW MOBISERVE : transport valise / 250782002220 transport valise Yahoo~busAlphonse Mutabazi / transport valise</t>
  </si>
  <si>
    <t>'11800342.0000</t>
  </si>
  <si>
    <t>FTCM253218ISHFZRQ</t>
  </si>
  <si>
    <t>Push to MOMO Charges : AC-100068155597 / 250788513642 John pour examen Isaac~John Kayitare Mukotanyi / John pour examen</t>
  </si>
  <si>
    <t>'11800142.0000</t>
  </si>
  <si>
    <t>MTN MOBILE MONEY NEW MOBISERVE : John pour examen / 250788513642 John pour examen Isaac~John Kayitare Mukotanyi / John pour examen</t>
  </si>
  <si>
    <t>'11740142.0000</t>
  </si>
  <si>
    <t>FTCM25321VD3QK4NB</t>
  </si>
  <si>
    <t>Push to MOMO Charges : AC-100068155597 / 250795353970 mo plombier JohnImmac~ulee NYIRANIZEYIMANA / mo plombier John</t>
  </si>
  <si>
    <t>'11740042.0000</t>
  </si>
  <si>
    <t>MTN MOBILE MONEY NEW MOBISERVE : mo plombier John / 250795353970 mo plombier JohnImmac~ulee NYIRANIZEYIMANA / mo plombier John</t>
  </si>
  <si>
    <t>'11735042.0000</t>
  </si>
  <si>
    <t>FTCM25322JQV4GAQV</t>
  </si>
  <si>
    <t>Push to MOMO Charges : AC-100068155597 / 250781192754 lalonge Ap 1 ImenaThe~oneste HAKIZIMANA / lalonge Ap 1 Ime</t>
  </si>
  <si>
    <t>'11734942.0000</t>
  </si>
  <si>
    <t>MTN MOBILE MONEY NEW MOBISERVE : lalonge Ap 1 Ime / 250781192754 lalonge Ap 1 ImenaThe~oneste HAKIZIMANA / lalonge Ap 1 Ime</t>
  </si>
  <si>
    <t>'11724942.0000</t>
  </si>
  <si>
    <t>FTCM253221K8WYINK</t>
  </si>
  <si>
    <t>Push to MOMO Charges : AC-100068155597 / 250785480225 mo 3 e avanceIsaie GA~SASIRA / mo 3 e avance</t>
  </si>
  <si>
    <t>'11724742.0000</t>
  </si>
  <si>
    <t>MTN MOBILE MONEY NEW MOBISERVE : mo 3 e avance / 250785480225 mo 3 e avanceIsaie GA~SASIRA / mo 3 e avance</t>
  </si>
  <si>
    <t>'11574742.0000</t>
  </si>
  <si>
    <t>FTCM25323LJBCTY9D</t>
  </si>
  <si>
    <t>Internal Transfer charges : AC-100022016371 / peinture 3 weathergyarg 5firstdry~2 dinner inganjiUMUHOZA NEEMA</t>
  </si>
  <si>
    <t>'11574642.0000</t>
  </si>
  <si>
    <t>BK to BK NEW MOBISERVE : UMUHOZA NEEMA / peinture 3 weathergyarg 5firstdry~2 dinner inganjiUMUHOZA NEEMA</t>
  </si>
  <si>
    <t>'393000.0000</t>
  </si>
  <si>
    <t>'11181642.0000</t>
  </si>
  <si>
    <t>FT25323SH8CH</t>
  </si>
  <si>
    <t>'440500.0000</t>
  </si>
  <si>
    <t>'11622142.0000</t>
  </si>
  <si>
    <t>'RWF1000159011060</t>
  </si>
  <si>
    <t>TT25324K5QZG</t>
  </si>
  <si>
    <t xml:space="preserve">Cash Deposit : UWASE /  / UWASE  </t>
  </si>
  <si>
    <t>'700000.0000</t>
  </si>
  <si>
    <t>'12322142.0000</t>
  </si>
  <si>
    <t>FTCM25324PQKFQENH</t>
  </si>
  <si>
    <t>Push to MOMO Charges : AC-100068155597 / kubaka aho gushy</t>
  </si>
  <si>
    <t>'12321942.0000</t>
  </si>
  <si>
    <t>MTN MOBILE MONEY NEW MOBISERVE : kubaka aho gushy</t>
  </si>
  <si>
    <t>'107000.0000</t>
  </si>
  <si>
    <t>'12214942.0000</t>
  </si>
  <si>
    <t>FTCM25324W9UEKRHC</t>
  </si>
  <si>
    <t>Push to MOMO Charges : AC-100068155597 / 250788308405 hospitality cell umusa~nzu w umuryango CFtRaphael NGARAMB / hospitality cell</t>
  </si>
  <si>
    <t>'12214842.0000</t>
  </si>
  <si>
    <t>MTN MOBILE MONEY NEW MOBISERVE : hospitality cell / 250788308405 hospitality cell umusa~nzu w umuryango CFtRaphael NGARAMB / hospitality cell</t>
  </si>
  <si>
    <t>'12204842.0000</t>
  </si>
  <si>
    <t>FTCM25325EH74OABN</t>
  </si>
  <si>
    <t>Push to MOMO Charges : AC-100068155597 / 250795353970 Ap 7 heater repair Joh~n plombierImmaculee NYIRANIZEYIMAN / Ap 7 heater repa</t>
  </si>
  <si>
    <t>'12204742.0000</t>
  </si>
  <si>
    <t>MTN MOBILE MONEY NEW MOBISERVE : Ap 7 heater repa / 250795353970 Ap 7 heater repair Joh~n plombierImmaculee NYIRANIZEYIMAN / Ap 7 heater repa</t>
  </si>
  <si>
    <t>'12194742.0000</t>
  </si>
  <si>
    <t>FTCM25325FRK7EWRA</t>
  </si>
  <si>
    <t>Push to MOMO Charges : AC-100068155597 / 250785480225 4e avance peintre mo i~nganji EsaieIsaie GASASIRA / 4e avance peintr</t>
  </si>
  <si>
    <t>'12194542.0000</t>
  </si>
  <si>
    <t>MTN MOBILE MONEY NEW MOBISERVE : 4e avance peintr / 250785480225 4e avance peintre mo i~nganji EsaieIsaie GASASIRA / 4e avance peintr</t>
  </si>
  <si>
    <t>'12094542.0000</t>
  </si>
  <si>
    <t>FTCM25326XUX4R2UW</t>
  </si>
  <si>
    <t>Push to MOMO Charges : AC-100068155597 / 250788688841 transport macademia  r~wamaganaEritier WASE / transport macade</t>
  </si>
  <si>
    <t>'12094342.0000</t>
  </si>
  <si>
    <t>MTN MOBILE MONEY NEW MOBISERVE : transport macade / 250788688841 transport macademia  r~wamaganaEritier WASE / transport macade</t>
  </si>
  <si>
    <t>'12059342.0000</t>
  </si>
  <si>
    <t>FTCM253263EKP8XHK</t>
  </si>
  <si>
    <t>Push to MOMO Charges : AC-100068155597 / 250788300153 services macademiaPas~caline CYATENGWA / services macadem</t>
  </si>
  <si>
    <t>'12059242.0000</t>
  </si>
  <si>
    <t>MTN MOBILE MONEY NEW MOBISERVE : services macadem / 250788300153 services macademiaPas~caline CYATENGWA / services macadem</t>
  </si>
  <si>
    <t>'12049242.0000</t>
  </si>
  <si>
    <t>FTCM25326UWYQBUAM</t>
  </si>
  <si>
    <t>Internal Transfer charges : AC-100022016371 / peinture Inganji Ap 15 and 20UMUHO~ZA NEEMA / UMUHOZA NEEMA</t>
  </si>
  <si>
    <t>'12049142.0000</t>
  </si>
  <si>
    <t>BK to BK NEW MOBISERVE : UMUHOZA NEEMA / peinture Inganji Ap 15 and 20UMUHO~ZA NEEMA / UMUHOZA NEEMA</t>
  </si>
  <si>
    <t>'36000.0000</t>
  </si>
  <si>
    <t>'12013142.0000</t>
  </si>
  <si>
    <t>FTCM25326HMR9Y8FU</t>
  </si>
  <si>
    <t>Cash deposit-BK YACU : UWINEZA CLEMENTI / Rent Payment 0782815573Daniel UKWI~SHATSE / UWINEZA CLEMENTI AP 18 INGANJI</t>
  </si>
  <si>
    <t>'12613142.0000</t>
  </si>
  <si>
    <t>FTCM25326HDUB3BGT</t>
  </si>
  <si>
    <t>Push to MOMO Charges : AC-100068155597 / 250781192754 poubelle ImenaTheones~te HAKIZIMANA / poubelle Imena</t>
  </si>
  <si>
    <t>'12612942.0000</t>
  </si>
  <si>
    <t>MTN MOBILE MONEY NEW MOBISERVE : poubelle Imena / 250781192754 poubelle ImenaTheones~te HAKIZIMANA / poubelle Imena</t>
  </si>
  <si>
    <t>'26000.0000</t>
  </si>
  <si>
    <t>'12586942.0000</t>
  </si>
  <si>
    <t>FTCM25327C5MVBW2U</t>
  </si>
  <si>
    <t>'12536942.0000</t>
  </si>
  <si>
    <t>FTCM25327A0ICYGCT</t>
  </si>
  <si>
    <t>Cash deposit-BK YACU : NYIRANEZA JOSELI / HOUSE RENT 0795293326YOUSIF MOHAME~D / NYIRANEZA JOSELI</t>
  </si>
  <si>
    <t>'12636942.0000</t>
  </si>
  <si>
    <t>FTCM25328C9FAQXN7</t>
  </si>
  <si>
    <t>Push to MOMO Charges : AC-100068155597 / 250781510235 reparation prise machi~ne a laver InganjiEric NTAKIRUTIMA / reparation prise</t>
  </si>
  <si>
    <t>'12636742.0000</t>
  </si>
  <si>
    <t>MTN MOBILE MONEY NEW MOBISERVE : reparation prise / 250781510235 reparation prise machi~ne a laver InganjiEric NTAKIRUTIMA / reparation prise</t>
  </si>
  <si>
    <t>'13000.0000</t>
  </si>
  <si>
    <t>'12623742.0000</t>
  </si>
  <si>
    <t>FTCM25328E5PQOI2G</t>
  </si>
  <si>
    <t>MTN MOBILE MONEY NEW MOBISERVE : water Inganji No / 250788750184 water Inganji Nov 25C~hantal KAYITARE KAYIRANGWA / water Inganji No</t>
  </si>
  <si>
    <t>'25991.0000</t>
  </si>
  <si>
    <t>'12597751.0000</t>
  </si>
  <si>
    <t>FTCM25328A1RZWMUH</t>
  </si>
  <si>
    <t>MTN MOBILE MONEY NEW MOBISERVE : water Imena nov / 250788750184 water Imena nov 25Cha~ntal KAYITARE KAYIRANGWA / water Imena nov</t>
  </si>
  <si>
    <t>'149399.0000</t>
  </si>
  <si>
    <t>'12448352.0000</t>
  </si>
  <si>
    <t>FTCM25328AZ5DFQ9C</t>
  </si>
  <si>
    <t>Push to MOMO Charges : AC-100068155597 / 250785480225 mo peinture reste 10k~Isaie GASASIRA / mo peinture rest</t>
  </si>
  <si>
    <t>'12448152.0000</t>
  </si>
  <si>
    <t>MTN MOBILE MONEY NEW MOBISERVE : mo peinture rest / 250785480225 mo peinture reste 10k~Isaie GASASIRA / mo peinture rest</t>
  </si>
  <si>
    <t>'12408152.0000</t>
  </si>
  <si>
    <t>FTCM25328XM7T0RDB</t>
  </si>
  <si>
    <t>Cash deposit-BK YACU : RUGIRA SAMUEL / RENT 0795293326MEHAD KHALIDA ABDAL~LAH ELSHAIKH / RUGIRA SAMUEL INGANJI AP 20</t>
  </si>
  <si>
    <t>'13108152.0000</t>
  </si>
  <si>
    <t>FTCM25329CVDHEGXX</t>
  </si>
  <si>
    <t>Push to MOMO Charges : AC-100068155597 / 250788686761 inganji 1ciment 1kg ir~angi blackBeatrice NYIRAMUTUNZI / inganji 1ciment</t>
  </si>
  <si>
    <t>'13107952.0000</t>
  </si>
  <si>
    <t>MTN MOBILE MONEY NEW MOBISERVE : inganji 1ciment / 250788686761 inganji 1ciment 1kg ir~angi blackBeatrice NYIRAMUTUNZI / inganji 1ciment</t>
  </si>
  <si>
    <t>'13089952.0000</t>
  </si>
  <si>
    <t>FTCM25329JIENQ7IX</t>
  </si>
  <si>
    <t>MTN Push to Bank :  / MTNPUSH24336746644250781464264 LAMU INVESTIMENT SH 10 DECEMBER AND JANUARY RENTS PLUS DEPOSIT</t>
  </si>
  <si>
    <t>'2400000.0000</t>
  </si>
  <si>
    <t>'15489952.0000</t>
  </si>
  <si>
    <t>FTCM253297LWQLUXT</t>
  </si>
  <si>
    <t>CREDIT CARD PAYMENT :  / PYT 251125 47137521810 Cyabuk~ombe Albert 250788750184</t>
  </si>
  <si>
    <t>'44355.0000</t>
  </si>
  <si>
    <t>'15445597.0000</t>
  </si>
  <si>
    <t>FTCM253294KA89FHD</t>
  </si>
  <si>
    <t>Push to MOMO Charges : AC-100068155597 / 250782528462 commission Ap 20Emman~uel NIYONSABA / commission Ap 20</t>
  </si>
  <si>
    <t>'15445397.0000</t>
  </si>
  <si>
    <t>MTN MOBILE MONEY NEW MOBISERVE : commission Ap 20 / 250782528462 commission Ap 20Emman~uel NIYONSABA / commission Ap 20</t>
  </si>
  <si>
    <t>'15425397.0000</t>
  </si>
  <si>
    <t>FTCM25329SR9EOYVY</t>
  </si>
  <si>
    <t>Push to MOMO Charges : AC-100068155597 / 250785480225 mo umufundi ni umucang~a InganjiIsaie GASASIRA / mo umufundi ni u</t>
  </si>
  <si>
    <t>'15425197.0000</t>
  </si>
  <si>
    <t>MTN MOBILE MONEY NEW MOBISERVE : mo umufundi ni u / 250785480225 mo umufundi ni umucang~a InganjiIsaie GASASIRA / mo umufundi ni u</t>
  </si>
  <si>
    <t>'15407197.0000</t>
  </si>
  <si>
    <t>FTCM25330MROTH8BK</t>
  </si>
  <si>
    <t>'15407097.0000</t>
  </si>
  <si>
    <t>'15398097.0000</t>
  </si>
  <si>
    <t>FT253315G79Z</t>
  </si>
  <si>
    <t>'541000.0000</t>
  </si>
  <si>
    <t>'15939097.0000</t>
  </si>
  <si>
    <t>FTCM25331GWE9OQSV</t>
  </si>
  <si>
    <t>Push to MOMO Charges : AC-100068155597 / 250789163409 cashpower ImenaThierr~y NGIRABAKUNZI / cashpower Imena</t>
  </si>
  <si>
    <t>'15938897.0000</t>
  </si>
  <si>
    <t>MTN MOBILE MONEY NEW MOBISERVE : cashpower Imena / 250789163409 cashpower ImenaThierr~y NGIRABAKUNZI / cashpower Imena</t>
  </si>
  <si>
    <t>'15350.0000</t>
  </si>
  <si>
    <t>'15923547.0000</t>
  </si>
  <si>
    <t>FTCM25331R78F2YBF</t>
  </si>
  <si>
    <t>Push to MOMO Charges : AC-100068155597 / 250791636444 gutabara Modeste kayon~za jardinShemsa MUTUYIMANA / gutabara Modeste</t>
  </si>
  <si>
    <t>'15923347.0000</t>
  </si>
  <si>
    <t>MTN MOBILE MONEY NEW MOBISERVE : gutabara Modeste / 250791636444 gutabara Modeste kayon~za jardinShemsa MUTUYIMANA / gutabara Modeste</t>
  </si>
  <si>
    <t>'15908347.0000</t>
  </si>
  <si>
    <t>FTCM253318LA7ABKG</t>
  </si>
  <si>
    <t>Push to MOMO Charges : AC-100068155597 / 250788688841 transport macademia to~RwamaganaEritier WASE / transport macade</t>
  </si>
  <si>
    <t>'15908147.0000</t>
  </si>
  <si>
    <t>MTN MOBILE MONEY NEW MOBISERVE : transport macade / 250788688841 transport macademia to~RwamaganaEritier WASE / transport macade</t>
  </si>
  <si>
    <t>'15873147.0000</t>
  </si>
  <si>
    <t>FTCM25332QTV1MLQ7</t>
  </si>
  <si>
    <t>New App BK-BK Account Transfer : LIONEL NGENDAKUR / Loyer DecemberCYABUKOMBE ALBERT / LIONEL NGENDAKUR</t>
  </si>
  <si>
    <t>'1015000.0000</t>
  </si>
  <si>
    <t>'16888147.0000</t>
  </si>
  <si>
    <t>FT25332FXG1K</t>
  </si>
  <si>
    <t xml:space="preserve">Loan Repayment : </t>
  </si>
  <si>
    <t>'5187508.0000</t>
  </si>
  <si>
    <t>'11700639.0000</t>
  </si>
  <si>
    <t>FTCM25334MXKKHRA1</t>
  </si>
  <si>
    <t>MTN MOBILE MONEY NEW MOBISERVE : momo</t>
  </si>
  <si>
    <t>'11650639.0000</t>
  </si>
  <si>
    <t>FTCM25335MEAATDS5</t>
  </si>
  <si>
    <t>Push to MOMO Charges : AC-100068155597 / 250783850263 comm Ap 15 1cNdagijim~ana GAFUKU / comm Ap 15 1c</t>
  </si>
  <si>
    <t>'11650439.0000</t>
  </si>
  <si>
    <t>MTN MOBILE MONEY NEW MOBISERVE : comm Ap 15 1c / 250783850263 comm Ap 15 1cNdagijim~ana GAFUKU / comm Ap 15 1c</t>
  </si>
  <si>
    <t>'11630439.0000</t>
  </si>
  <si>
    <t>FTCM25335NMX1NE2L</t>
  </si>
  <si>
    <t>MTN Push to Bank :  / MTNPUSH24470170055250793108407 AP 16 AHABWE AGNES LYNN</t>
  </si>
  <si>
    <t>'816000.0000</t>
  </si>
  <si>
    <t>'12446439.0000</t>
  </si>
  <si>
    <t>FTCM25335TBGLIW9A</t>
  </si>
  <si>
    <t>Push to MOMO Charges : AC-100068155597 / 250788401224 marcheEsperance NIYON~SENGA / marche</t>
  </si>
  <si>
    <t>'12446239.0000</t>
  </si>
  <si>
    <t>MTN MOBILE MONEY NEW MOBISERVE : marche / 250788401224 marcheEsperance NIYON~SENGA / marche</t>
  </si>
  <si>
    <t>'12426239.0000</t>
  </si>
  <si>
    <t>FTCM25335ZFPETZLA</t>
  </si>
  <si>
    <t>MTN MOBILE MONEY NEW MOBISERVE : cashpower Imena / 250788750184 cashpower ImenaChanta~l KAYITARE KAYIRANGWA / cashpower Imena</t>
  </si>
  <si>
    <t>'12346239.0000</t>
  </si>
  <si>
    <t>FTCM25335N6T0U5I7</t>
  </si>
  <si>
    <t>Push to MOMO Charges : AC-100068155597 / 250795322234 sal Jado InganjiChris~tine NYIRAMAYIRA / sal Jado Inganji</t>
  </si>
  <si>
    <t>'12346039.0000</t>
  </si>
  <si>
    <t>MTN MOBILE MONEY NEW MOBISERVE : sal Jado Inganji / 250795322234 sal Jado InganjiChris~tine NYIRAMAYIRA / sal Jado Inganji</t>
  </si>
  <si>
    <t>'12286039.0000</t>
  </si>
  <si>
    <t>FTCM25335IU3RSMSV</t>
  </si>
  <si>
    <t>Push to MOMO Charges : AC-100068155597 / 250781192754 sal Hakiza ImenaTheon~este HAKIZIMANA / sal Hakiza Imena</t>
  </si>
  <si>
    <t>'12285839.0000</t>
  </si>
  <si>
    <t>MTN MOBILE MONEY NEW MOBISERVE : sal Hakiza Imena / 250781192754 sal Hakiza ImenaTheon~este HAKIZIMANA / sal Hakiza Imena</t>
  </si>
  <si>
    <t>'12190839.0000</t>
  </si>
  <si>
    <t>FTCM25335TQBUIDL5</t>
  </si>
  <si>
    <t>MTN Push to Bank :  / MTNPUSH24476684576250781464264 LAMU INVESTIMENT SH5 JOSEPH</t>
  </si>
  <si>
    <t>'13190839.0000</t>
  </si>
  <si>
    <t>FTCM25336ASOH3F4F</t>
  </si>
  <si>
    <t>Push to MOMO Charges : AC-100068155597 / 250788688841 kira sal communication~Eritier WASE / kira sal communi</t>
  </si>
  <si>
    <t>'13189489.0000</t>
  </si>
  <si>
    <t>MTN MOBILE MONEY NEW MOBISERVE : kira sal communi / 250788688841 kira sal communication~Eritier WASE / kira sal communi</t>
  </si>
  <si>
    <t>'486000.0000</t>
  </si>
  <si>
    <t>'12703489.0000</t>
  </si>
  <si>
    <t>FTCM25336YLDU3OIY</t>
  </si>
  <si>
    <t>Cash deposit-BK YACU : MARIE AIME INGAB / Rent 0788476530Eco laundry / MARIE AIME INGAB SH 2</t>
  </si>
  <si>
    <t>'400000.0000</t>
  </si>
  <si>
    <t>'13103489.0000</t>
  </si>
  <si>
    <t>FTCM253362S1FUDJ9</t>
  </si>
  <si>
    <t>Push to MOMO Charges : AC-100068155597 / 250798619929 Ecolaundry 2 vestesSa~rah NTEZE / Ecolaundry 2 ves</t>
  </si>
  <si>
    <t>'13103389.0000</t>
  </si>
  <si>
    <t>MTN MOBILE MONEY NEW MOBISERVE : Ecolaundry 2 ves / 250798619929 Ecolaundry 2 vestesSa~rah NTEZE / Ecolaundry 2 ves</t>
  </si>
  <si>
    <t>'13098389.0000</t>
  </si>
  <si>
    <t>FTCM25337XDJGXHKW</t>
  </si>
  <si>
    <t>Push to MOMO Charges : AC-100068155597 / 250785480225 solde mo peinture inga~nji gasasiraIsaie GASASIRA / solde mo peintur</t>
  </si>
  <si>
    <t>'13098189.0000</t>
  </si>
  <si>
    <t>MTN MOBILE MONEY NEW MOBISERVE : solde mo peintur / 250785480225 solde mo peinture inga~nji gasasiraIsaie GASASIRA / solde mo peintur</t>
  </si>
  <si>
    <t>'12998189.0000</t>
  </si>
  <si>
    <t>FTCM25337WYHAXBE9</t>
  </si>
  <si>
    <t>Push to MOMO Charges : AC-100068155597 / 250788300153 MacademiaPascaline CY~ATENGWA / Macademia</t>
  </si>
  <si>
    <t>'12998089.0000</t>
  </si>
  <si>
    <t>MTN MOBILE MONEY NEW MOBISERVE : Macademia / 250788300153 MacademiaPascaline CY~ATENGWA / Macademia</t>
  </si>
  <si>
    <t>'12988089.0000</t>
  </si>
  <si>
    <t>FTCM25337OKE6VY0W</t>
  </si>
  <si>
    <t>Push to MOMO Charges : AC-100068155597 / 250781094763 comm sh 10 MonicaMoni~que MUKAREMERA / comm sh 10 Monic</t>
  </si>
  <si>
    <t>'12987889.0000</t>
  </si>
  <si>
    <t>MTN MOBILE MONEY NEW MOBISERVE : comm sh 10 Monic / 250781094763 comm sh 10 MonicaMoni~que MUKAREMERA / comm sh 10 Monic</t>
  </si>
  <si>
    <t>'12907889.0000</t>
  </si>
  <si>
    <t>FTCM25337V6F1RJ2F</t>
  </si>
  <si>
    <t>BK to BK NEW MOBISERVE : Kelvin KAGAME</t>
  </si>
  <si>
    <t>'13407889.0000</t>
  </si>
  <si>
    <t>FTCM25337RJPJHM4K</t>
  </si>
  <si>
    <t>MTN MOBILE MONEY NEW MOBISERVE : caspower Inganji / 250788750184 caspower InganjiChant~al KAYITARE KAYIRANGWA / caspower Inganji</t>
  </si>
  <si>
    <t>'13367889.0000</t>
  </si>
  <si>
    <t>FTCM253388TT5RUPD</t>
  </si>
  <si>
    <t>'140000.0000</t>
  </si>
  <si>
    <t>'13227889.0000</t>
  </si>
  <si>
    <t>FTCM25338SPBQRHPJ</t>
  </si>
  <si>
    <t>'13207889.0000</t>
  </si>
  <si>
    <t>OCNT.100001734827.0000003</t>
  </si>
  <si>
    <t>'13204889.0000</t>
  </si>
  <si>
    <t>TT25338WFWTD</t>
  </si>
  <si>
    <t>Cash Withdrawal(Local Ccy) : KAYITARE KAYIRANGWA CHANTAL/SIGN /  / KAYITARE KAYIRANGWA CHANTAL/SIGN / 41052977</t>
  </si>
  <si>
    <t>'5000000.0000</t>
  </si>
  <si>
    <t>'8204889.0000</t>
  </si>
  <si>
    <t>FTCM25338WO7KYCYI</t>
  </si>
  <si>
    <t>Internal Transfer charges : AC-100001000947 / la vita forexLA VITA FOREX BUREAU~LTD / LA VITA FOREX BU</t>
  </si>
  <si>
    <t>'8204789.0000</t>
  </si>
  <si>
    <t>BK to BK NEW MOBISERVE : LA VITA FOREX BU / la vita forexLA VITA FOREX BUREAU~LTD / LA VITA FOREX BU</t>
  </si>
  <si>
    <t>'3500000.0000</t>
  </si>
  <si>
    <t>'4704789.0000</t>
  </si>
  <si>
    <t>FTCM25338OVHPAUBX</t>
  </si>
  <si>
    <t>Push to MOMO Charges : AC-100068155597 / 250783453230 achat maisonJacquelin~e NYIRAMUGISHA / achat maison</t>
  </si>
  <si>
    <t>'4704589.0000</t>
  </si>
  <si>
    <t>MTN MOBILE MONEY NEW MOBISERVE : achat maison / 250783453230 achat maisonJacquelin~e NYIRAMUGISHA / achat maison</t>
  </si>
  <si>
    <t>'4689239.0000</t>
  </si>
  <si>
    <t>FTCM25339ONV4W9CW</t>
  </si>
  <si>
    <t>Push to MOMO Charges : AC-100068155597 / 250788468309 achat kiramuruziHassa~n NGABONZIZA / achat kiramuruzi</t>
  </si>
  <si>
    <t>'4689139.0000</t>
  </si>
  <si>
    <t>MTN MOBILE MONEY NEW MOBISERVE : achat kiramuruzi / 250788468309 achat kiramuruziHassa~n NGABONZIZA / achat kiramuruzi</t>
  </si>
  <si>
    <t>'7200.0000</t>
  </si>
  <si>
    <t>'4681939.0000</t>
  </si>
  <si>
    <t>FT25339J5W8F</t>
  </si>
  <si>
    <t>Cheque Deposit : PSCL CYATENGW /  -  / PSCL CYATENGW</t>
  </si>
  <si>
    <t>'472446.0000</t>
  </si>
  <si>
    <t>'5154385.0000</t>
  </si>
  <si>
    <t>FTCM25339JX0YYLIV</t>
  </si>
  <si>
    <t>Cash deposit-BK YACU : UWAMAHORO ANGE / RENT PAYMENT 0795850501AMANI IBRAH~IM AHMED ELSAYEH / UWAMAHORO ANGE</t>
  </si>
  <si>
    <t>'5454385.0000</t>
  </si>
  <si>
    <t>'RWF1000108091009</t>
  </si>
  <si>
    <t>TT25339VNSXP</t>
  </si>
  <si>
    <t>Cash Deposit : OLA HASHIM/APARTMENT /  / OLA HASHIM/APARTMENT AP 2</t>
  </si>
  <si>
    <t>'5754385.0000</t>
  </si>
  <si>
    <t>TT25339K1WHM</t>
  </si>
  <si>
    <t>Cash Deposit : OLA HASHIM/SHOP AND SUPERMARKET /  / OLA HASHIM/SHOP4  AND SUPERMARKET SH 4</t>
  </si>
  <si>
    <t>'200000.0000</t>
  </si>
  <si>
    <t>'5954385.0000</t>
  </si>
  <si>
    <t>FTCM25339FG3WGGE6</t>
  </si>
  <si>
    <t>MTN MOBILE MONEY NEW MOBISERVE : momo  canal kira / 250788750184 momo  canal kiramuruzi~Chantal KAYITARE KAYIRANGWA / momo  canal kira</t>
  </si>
  <si>
    <t>'5934385.0000</t>
  </si>
  <si>
    <t>FTCM25339DIR8G1BT</t>
  </si>
  <si>
    <t>Push to MOMO Charges : AC-100068155597 / 250783270985 kiramuruzi imiti ya ma~cademiaJean D Amour MUCYO / kiramuruzi imiti</t>
  </si>
  <si>
    <t>'5934185.0000</t>
  </si>
  <si>
    <t>MTN MOBILE MONEY NEW MOBISERVE : kiramuruzi imiti / 250783270985 kiramuruzi imiti ya ma~cademiaJean D Amour MUCYO / kiramuruzi imiti</t>
  </si>
  <si>
    <t>'5908185.0000</t>
  </si>
  <si>
    <t>FTCM25340W921K7A4</t>
  </si>
  <si>
    <t>New App BK-BK Account Transfer : ABIYINGOMA CHRIS / Rent payment DecemberCYABUKOMBE AL~BERT / ABIYINGOMA CHRIS  AP 11</t>
  </si>
  <si>
    <t>'330000.0000</t>
  </si>
  <si>
    <t>'6238185.0000</t>
  </si>
  <si>
    <t>FTCM25340XD1X3UEN</t>
  </si>
  <si>
    <t>Push to MOMO Charges : AC-100068155597 / 250788300153 charges macademiaPasc~aline CYATENGWA / charges macademi</t>
  </si>
  <si>
    <t>'6238085.0000</t>
  </si>
  <si>
    <t>MTN MOBILE MONEY NEW MOBISERVE : charges macademi / 250788300153 charges macademiaPasc~aline CYATENGWA / charges macademi</t>
  </si>
  <si>
    <t>'6228085.0000</t>
  </si>
  <si>
    <t>FTCM25340M2XSWIOZ</t>
  </si>
  <si>
    <t>Push to MOMO Charges : AC-100068155597 / 250788759335 mo Gadi macademiaGad~MUTARAMBIRWA / mo Gadi macademi</t>
  </si>
  <si>
    <t>'6227985.0000</t>
  </si>
  <si>
    <t>MTN MOBILE MONEY NEW MOBISERVE : mo Gadi macademi / 250788759335 mo Gadi macademiaGad~MUTARAMBIRWA / mo Gadi macademi</t>
  </si>
  <si>
    <t>'6222985.0000</t>
  </si>
  <si>
    <t>FTCM253402JCOYJTK</t>
  </si>
  <si>
    <t>Push to MOMO Charges : AC-100068155597 / 250788688841 nouriture mana mo abak~oziEritier WASE / nouriture mana m</t>
  </si>
  <si>
    <t>'6222785.0000</t>
  </si>
  <si>
    <t>MTN MOBILE MONEY NEW MOBISERVE : nouriture mana m / 250788688841 nouriture mana mo abak~oziEritier WASE / nouriture mana m</t>
  </si>
  <si>
    <t>'6210785.0000</t>
  </si>
  <si>
    <t>FTCM25340MPU0CEBB</t>
  </si>
  <si>
    <t>MTN MOBILE MONEY NEW MOBISERVE : fruitsra / 250788750184 fruitsraChantal KAYIT~ARE KAYIRANGWA / fruitsra</t>
  </si>
  <si>
    <t>'6185785.0000</t>
  </si>
  <si>
    <t>FTCM253409YP8SGMI</t>
  </si>
  <si>
    <t>MTN MOBILE MONEY NEW MOBISERVE : isuku Inganji / 250788750184 isuku InganjiChantal~KAYITARE KAYIRANGWA / isuku Inganji</t>
  </si>
  <si>
    <t>'6175785.0000</t>
  </si>
  <si>
    <t>FTCM253408E2G0ICS</t>
  </si>
  <si>
    <t>'29500.0000</t>
  </si>
  <si>
    <t>'6146285.0000</t>
  </si>
  <si>
    <t>FTCM253411VOIQQRO</t>
  </si>
  <si>
    <t>MTN MOBILE MONEY NEW MOBISERVE : amaturo / 250788750184 amaturoChantal KAYITA~RE KAYIRANGWA / amaturo</t>
  </si>
  <si>
    <t>'6136285.0000</t>
  </si>
  <si>
    <t>FTCM25341TAAIAM9A</t>
  </si>
  <si>
    <t>Push to MOMO Charges : AC-100068155597 / 250782822557 bibianeBibiana MUGORE~WERA / bibiane</t>
  </si>
  <si>
    <t>'6136185.0000</t>
  </si>
  <si>
    <t>MTN MOBILE MONEY NEW MOBISERVE : bibiane / 250782822557 bibianeBibiana MUGORE~WERA / bibiane</t>
  </si>
  <si>
    <t>'6131185.0000</t>
  </si>
  <si>
    <t>FTCM25341T5EQIHCT</t>
  </si>
  <si>
    <t>Push to MOMO Charges : AC-100068155597 / 250792763071 oeufEgide HAGENIAMANA / oeuf</t>
  </si>
  <si>
    <t>'6131085.0000</t>
  </si>
  <si>
    <t>MTN MOBILE MONEY NEW MOBISERVE : oeuf / 250792763071 oeufEgide HAGENIAMANA / oeuf</t>
  </si>
  <si>
    <t>'9300.0000</t>
  </si>
  <si>
    <t>'6121785.0000</t>
  </si>
  <si>
    <t>FTCM25341ISCBHR92</t>
  </si>
  <si>
    <t>Push to MOMO Charges : AC-100068155597 / 250789893874 commission Meshak Ap1~Nigeria PhilipMeshake NIYONGABO / commission Mesha</t>
  </si>
  <si>
    <t>'6121585.0000</t>
  </si>
  <si>
    <t>MTN MOBILE MONEY NEW MOBISERVE : commission Mesha / 250789893874 commission Meshak Ap1~Nigeria PhilipMeshake NIYONGABO / commission Mesha</t>
  </si>
  <si>
    <t>'6081585.0000</t>
  </si>
  <si>
    <t>FTCM25341GCZTB9EF</t>
  </si>
  <si>
    <t>Push to MOMO Charges : AC-100068155597 / 250790419946 cleaning ImenaAlphons~ine INEZA / cleaning Imena</t>
  </si>
  <si>
    <t>'6081385.0000</t>
  </si>
  <si>
    <t>MTN MOBILE MONEY NEW MOBISERVE : cleaning Imena / 250790419946 cleaning ImenaAlphons~ine INEZA / cleaning Imena</t>
  </si>
  <si>
    <t>'6021385.0000</t>
  </si>
  <si>
    <t>FTCM25342U6QIJASA</t>
  </si>
  <si>
    <t>'6021185.0000</t>
  </si>
  <si>
    <t>'5921185.0000</t>
  </si>
  <si>
    <t>TT25342CC5WM</t>
  </si>
  <si>
    <t>Cash Deposit : ARWA MOHAMMED AHMED ABDALLA/RENT /  / ARWA MOHAMMED AHMED ABDALLA/RENT AP 7</t>
  </si>
  <si>
    <t>'6251185.0000</t>
  </si>
  <si>
    <t>FTCM25342QNUKGXAV</t>
  </si>
  <si>
    <t>'6231185.0000</t>
  </si>
  <si>
    <t>FTCM25342J1JUJKZD</t>
  </si>
  <si>
    <t>MTN Push to Bank :  / MTNPUSH24615272760250788750184 RENT FATIMA YASSIN SHARAFELDIN BABIKER AP 4</t>
  </si>
  <si>
    <t>'6561185.0000</t>
  </si>
  <si>
    <t>FTCM25342V1DDQTAR</t>
  </si>
  <si>
    <t>Push to MOMO Charges : AC-100068155597 / 250783423299 chainetteEsther MAPEN~DO / chainette</t>
  </si>
  <si>
    <t>'6560985.0000</t>
  </si>
  <si>
    <t>MTN MOBILE MONEY NEW MOBISERVE : chainette / 250783423299 chainetteEsther MAPEN~DO / chainette</t>
  </si>
  <si>
    <t>'6549985.0000</t>
  </si>
  <si>
    <t>FTCM25342JSQQRVXS</t>
  </si>
  <si>
    <t>Push to MOMO Charges : AC-100068155597 / 250796590211 cadeaux LevisYVONNE M~UHAWENIMANA / cadeaux Levis</t>
  </si>
  <si>
    <t>'6549785.0000</t>
  </si>
  <si>
    <t>MTN MOBILE MONEY NEW MOBISERVE : cadeaux Levis / 250796590211 cadeaux LevisYVONNE M~UHAWENIMANA / cadeaux Levis</t>
  </si>
  <si>
    <t>'6521785.0000</t>
  </si>
  <si>
    <t>FTCM25343AFMDT8LY</t>
  </si>
  <si>
    <t>Push to MOMO Charges : AC-100068155597 / 250788766582 chase toilet injanji d~omAlphonse GATO / chase toilet inj</t>
  </si>
  <si>
    <t>'6521685.0000</t>
  </si>
  <si>
    <t>MTN MOBILE MONEY NEW MOBISERVE : chase toilet inj / 250788766582 chase toilet injanji d~omAlphonse GATO / chase toilet inj</t>
  </si>
  <si>
    <t>'6511685.0000</t>
  </si>
  <si>
    <t>FT253434S1F0</t>
  </si>
  <si>
    <t>Cheque Deposit : CYATENGWA PASC /  -  / CYATENGWA PASC MAC</t>
  </si>
  <si>
    <t>'419000.0000</t>
  </si>
  <si>
    <t>'6930685.0000</t>
  </si>
  <si>
    <t>FTCM25343I9OSNDFH</t>
  </si>
  <si>
    <t>Push to MOMO Charges : AC-100068155597 / plomberie Inganj</t>
  </si>
  <si>
    <t>'6930485.0000</t>
  </si>
  <si>
    <t>MTN MOBILE MONEY NEW MOBISERVE : plomberie Inganj</t>
  </si>
  <si>
    <t>'67500.0000</t>
  </si>
  <si>
    <t>'6862985.0000</t>
  </si>
  <si>
    <t>FTCM25343JFST9IRA</t>
  </si>
  <si>
    <t>'6812985.0000</t>
  </si>
  <si>
    <t>FTCM25343SPQKGR5K</t>
  </si>
  <si>
    <t>Push to MOMO Charges : AC-100068155597 / 250788400604 contribution i ki Rio~brother Doreen mama GabyGabriella / contribution i k</t>
  </si>
  <si>
    <t>'6812785.0000</t>
  </si>
  <si>
    <t>MTN MOBILE MONEY NEW MOBISERVE : contribution i k / 250788400604 contribution i ki Rio~brother Doreen mama GabyGabriella / contribution i k</t>
  </si>
  <si>
    <t>'6712785.0000</t>
  </si>
  <si>
    <t>TT253442FD6R</t>
  </si>
  <si>
    <t>Cash Withdrawal(Local Ccy) : KAYITARE CHANTAL/SIGNATORY /  / KAYITARE CHANTAL/SIGNATORY / 26287739</t>
  </si>
  <si>
    <t>'591500.0000</t>
  </si>
  <si>
    <t>'6121285.0000</t>
  </si>
  <si>
    <t>FTCM25344KFTW2SB2</t>
  </si>
  <si>
    <t>Push to MOMO Charges : AC-100068155597 / 250788893350 soudure porte toilet e~xterior InganjiEric KABAYISA / soudure porte to</t>
  </si>
  <si>
    <t>'6121085.0000</t>
  </si>
  <si>
    <t>MTN MOBILE MONEY NEW MOBISERVE : soudure porte to / 250788893350 soudure porte toilet e~xterior InganjiEric KABAYISA / soudure porte to</t>
  </si>
  <si>
    <t>'6110585.0000</t>
  </si>
  <si>
    <t>FTCM25344KUC2JX8R</t>
  </si>
  <si>
    <t>Cash deposit-BK YACU : TUCLEM FAMILY LT / payment 0791390257nsengiyumva yvan / TUCLEM FAMILY LT AP  9</t>
  </si>
  <si>
    <t>'6440585.0000</t>
  </si>
  <si>
    <t>FTCM25344NIAJUUFL</t>
  </si>
  <si>
    <t>Push to MOMO Charges : AC-100068155597 / 250788893350 mo soudure porte we do~m InganjiEric KABAYISA / mo soudure porte</t>
  </si>
  <si>
    <t>'6440385.0000</t>
  </si>
  <si>
    <t>MTN MOBILE MONEY NEW MOBISERVE : mo soudure porte / 250788893350 mo soudure porte we do~m InganjiEric KABAYISA / mo soudure porte</t>
  </si>
  <si>
    <t>'6425385.0000</t>
  </si>
  <si>
    <t>FTCM25345A8IWFQND</t>
  </si>
  <si>
    <t>Internal Transfer charges : AC-100022016371 / 1UMUHOZA NEEMA</t>
  </si>
  <si>
    <t>'6425285.0000</t>
  </si>
  <si>
    <t>BK to BK NEW MOBISERVE : UMUHOZA NEEMA / 1UMUHOZA NEEMA</t>
  </si>
  <si>
    <t>'191000.0000</t>
  </si>
  <si>
    <t>'6234285.0000</t>
  </si>
  <si>
    <t>FTCM25345NPGUNSQL</t>
  </si>
  <si>
    <t>Internal Transfer charges : AC-100022911378 / securite ImenaIREME COOPERATIVE SE~CURITY amp amp amp HYG / IREME COOPERATIV</t>
  </si>
  <si>
    <t>'6234185.0000</t>
  </si>
  <si>
    <t>BK to BK NEW MOBISERVE : IREME COOPERATIV / securite ImenaIREME COOPERATIVE SE~CURITY amp amp amp HYG / IREME COOPERATIV</t>
  </si>
  <si>
    <t>'6034185.0000</t>
  </si>
  <si>
    <t>FTCM25346HM4CLAZV</t>
  </si>
  <si>
    <t>'140429.0000</t>
  </si>
  <si>
    <t>'5893756.0000</t>
  </si>
  <si>
    <t>FTCM25346KTKJSEC3</t>
  </si>
  <si>
    <t>Push to MOMO Charges : AC-100068155597 / 250788670021 simonise product prado~Zacharie BIZIMANA / simonise product</t>
  </si>
  <si>
    <t>'5893556.0000</t>
  </si>
  <si>
    <t>MTN MOBILE MONEY NEW MOBISERVE : simonise product / 250788670021 simonise product prado~Zacharie BIZIMANA / simonise product</t>
  </si>
  <si>
    <t>'43000.0000</t>
  </si>
  <si>
    <t>'5850556.0000</t>
  </si>
  <si>
    <t>FTCM25346OVLSQ4RN</t>
  </si>
  <si>
    <t>Push to MOMO Charges : AC-100068155597 / 250788513638 approvisionnement Via~nney RUTARE / approvisionnemen</t>
  </si>
  <si>
    <t>'5849206.0000</t>
  </si>
  <si>
    <t>Momo Outward transfer : approvisionnemen / 250788513638 approvisionnement Via~nney RUTARE / approvisionnemen</t>
  </si>
  <si>
    <t>'1600000.0000</t>
  </si>
  <si>
    <t>'4249206.0000</t>
  </si>
  <si>
    <t>TT25346FPNHV</t>
  </si>
  <si>
    <t>Cash Withdrawal(Local Ccy) : KAYITARE KAYIRANGWA CHANTAL /  / KAYITARE KAYIRANGWA CHANTAL / 26287741</t>
  </si>
  <si>
    <t>'2749206.0000</t>
  </si>
  <si>
    <t>TT253468KBC2</t>
  </si>
  <si>
    <t>Cash Withdrawal(Local Ccy) : KAYITARE KAYIRANGWA CHANTAL /  / KAYITARE KAYIRANGWA CHANTAL / 26287744</t>
  </si>
  <si>
    <t>'2052000.0000</t>
  </si>
  <si>
    <t>'697206.0000</t>
  </si>
  <si>
    <t>FTCM25346X5WC7MWZ</t>
  </si>
  <si>
    <t>MTN MOBILE MONEY NEW MOBISERVE : momo euro / 250788750184 momo euroChantal KAYI~TARE KAYIRANGWA / momo euro</t>
  </si>
  <si>
    <t>'52000.0000</t>
  </si>
  <si>
    <t>'645206.0000</t>
  </si>
  <si>
    <t>FTCM25346MUBJ97ZS</t>
  </si>
  <si>
    <t>AC-100072077975 / 1331197673 / 26287740</t>
  </si>
  <si>
    <t>'500.0000</t>
  </si>
  <si>
    <t>'644706.0000</t>
  </si>
  <si>
    <t>Outward Cheque - Dr :  / 1331197673 / 26287740</t>
  </si>
  <si>
    <t>'53000.0000</t>
  </si>
  <si>
    <t>'591706.0000</t>
  </si>
  <si>
    <t>FTCM25347OKRYNNLW</t>
  </si>
  <si>
    <t>Push to MOMO Charges : AC-100068155597 / 250788759335 macademia gadyGad MUT~ARAMBIRWA / macademia gady</t>
  </si>
  <si>
    <t>'591606.0000</t>
  </si>
  <si>
    <t>MTN MOBILE MONEY NEW MOBISERVE : macademia gady / 250788759335 macademia gadyGad MUT~ARAMBIRWA / macademia gady</t>
  </si>
  <si>
    <t>'586606.0000</t>
  </si>
  <si>
    <t>FTCM25347KYRHW9YJ</t>
  </si>
  <si>
    <t>Push to MOMO Charges : AC-100068155597 / 250788688841 macademiaEritier WASE / macademia</t>
  </si>
  <si>
    <t>'586506.0000</t>
  </si>
  <si>
    <t>MTN MOBILE MONEY NEW MOBISERVE : macademia / 250788688841 macademiaEritier WASE / macademia</t>
  </si>
  <si>
    <t>'576506.0000</t>
  </si>
  <si>
    <t>FTCM25347NJLUV3AQ</t>
  </si>
  <si>
    <t>Push to MOMO Charges : AC-100068155597 / mo plombier John</t>
  </si>
  <si>
    <t>'576306.0000</t>
  </si>
  <si>
    <t>MTN MOBILE MONEY NEW MOBISERVE : mo plombier John</t>
  </si>
  <si>
    <t>'536306.0000</t>
  </si>
  <si>
    <t>FTCM25347TC5X3VXU</t>
  </si>
  <si>
    <t>'536206.0000</t>
  </si>
  <si>
    <t>'526206.0000</t>
  </si>
  <si>
    <t>FTCM25347TEV9K9TH</t>
  </si>
  <si>
    <t>MTN MOBILE MONEY NEW MOBISERVE : momo fruit / 250788750184 momo fruitChantal KAY~ITARE KAYIRANGWA / momo fruit</t>
  </si>
  <si>
    <t>'516206.0000</t>
  </si>
  <si>
    <t>FTCM25347WGZGQBXU</t>
  </si>
  <si>
    <t>MTN MOBILE MONEY NEW MOBISERVE : fruit / 250788750184 fruitChantal KAYITARE~KAYIRANGWA / fruit</t>
  </si>
  <si>
    <t>'511206.0000</t>
  </si>
  <si>
    <t>FTCM25347JWQULHVF</t>
  </si>
  <si>
    <t>Push to MOMO Charges : AC-100068155597 / 250785480225 sh 11 big reparation a~hiyashije et peintureIsaie GASASIR / sh 11 big repara</t>
  </si>
  <si>
    <t>'511006.0000</t>
  </si>
  <si>
    <t>MTN MOBILE MONEY NEW MOBISERVE : sh 11 big repara / 250785480225 sh 11 big reparation a~hiyashije et peintureIsaie GASASIR / sh 11 big repara</t>
  </si>
  <si>
    <t>'59000.0000</t>
  </si>
  <si>
    <t>'452006.0000</t>
  </si>
  <si>
    <t>FTCM25347ZWEVJ2G1</t>
  </si>
  <si>
    <t>MTN MOBILE MONEY NEW MOBISERVE : Imena isuku garb / 250788750184 Imena isuku garbagesC~hantal KAYITARE KAYIRANGWA / Imena isuku garb</t>
  </si>
  <si>
    <t>'427006.0000</t>
  </si>
  <si>
    <t>FTCM25347AZMVCURU</t>
  </si>
  <si>
    <t>MTN MOBILE MONEY NEW MOBISERVE : lamps corridors / 250788750184 lamps corridors Inganj~iChantal KAYITARE KAYIRANGWA / lamps corridors</t>
  </si>
  <si>
    <t>'11400.0000</t>
  </si>
  <si>
    <t>'415606.0000</t>
  </si>
  <si>
    <t>FTCM253484VVLEPQI</t>
  </si>
  <si>
    <t>MTN MOBILE MONEY NEW MOBISERVE : momo aero divers / 250788750184 momo aero diversChant~al KAYITARE KAYIRANGWA / momo aero divers</t>
  </si>
  <si>
    <t>'385606.0000</t>
  </si>
  <si>
    <t>FTCM25348DI9ZMILV</t>
  </si>
  <si>
    <t>'100530.0000</t>
  </si>
  <si>
    <t>'285076.0000</t>
  </si>
  <si>
    <t>FTCM25349ISCH2CXZ</t>
  </si>
  <si>
    <t>Push to MOMO Charges : AC-100068155597 / 250788688841 mo abahingiye macademi~aEritier WASE / mo abahingiye ma</t>
  </si>
  <si>
    <t>'284876.0000</t>
  </si>
  <si>
    <t>MTN MOBILE MONEY NEW MOBISERVE : mo abahingiye ma / 250788688841 mo abahingiye macademi~aEritier WASE / mo abahingiye ma</t>
  </si>
  <si>
    <t>'13800.0000</t>
  </si>
  <si>
    <t>'271076.0000</t>
  </si>
  <si>
    <t>FTCM2534991MUG2VA</t>
  </si>
  <si>
    <t>MTN MOBILE MONEY NEW MOBISERVE : cashpowe ap  17 / 250788750184 cashpowe ap  17Chanta~l KAYITARE KAYIRANGWA / cashpowe ap  17</t>
  </si>
  <si>
    <t>'251076.0000</t>
  </si>
  <si>
    <t>FTCM2534973AMTYHA</t>
  </si>
  <si>
    <t>Push to MOMO Charges : AC-100068155597 / 250795353970 mo solde plombier John~inganji ImenaImmaculee NYIRANIZEY / mo solde plombie</t>
  </si>
  <si>
    <t>'250976.0000</t>
  </si>
  <si>
    <t>MTN MOBILE MONEY NEW MOBISERVE : mo solde plombie / 250795353970 mo solde plombier John~inganji ImenaImmaculee NYIRANIZEY / mo solde plombie</t>
  </si>
  <si>
    <t>'240976.0000</t>
  </si>
  <si>
    <t>FTCM25349FF2OZDXZ</t>
  </si>
  <si>
    <t>BK to BK NEW MOBISERVE : KELVIN KAGAME / rentCYABUKOMBE ALBERT / KELVIN KAGAME</t>
  </si>
  <si>
    <t>'946000.0000</t>
  </si>
  <si>
    <t>'1186976.0000</t>
  </si>
  <si>
    <t>FT25350CG451</t>
  </si>
  <si>
    <t>Cheque Deposit : PASCALINE C /  -  / PASCALINE C MAC</t>
  </si>
  <si>
    <t>'293062.0000</t>
  </si>
  <si>
    <t>'1480038.0000</t>
  </si>
  <si>
    <t>FTCM25350JRRBNM9V</t>
  </si>
  <si>
    <t>MTN MOBILE MONEY NEW MOBISERVE : cashpiwe ap 17 2 / 250788750184 cashpiwe ap 17 2bChan~tal KAYITARE KAYIRANGWA / cashpiwe ap 17 2</t>
  </si>
  <si>
    <t>'1460038.0000</t>
  </si>
  <si>
    <t>FTCM25350NNECMT7D</t>
  </si>
  <si>
    <t>Push to MOMO Charges : AC-100068155597 / 250781510235 mo electricite Ap 3 et~7Eric NTAKIRUTIMANA / mo electricite A</t>
  </si>
  <si>
    <t>'1459838.0000</t>
  </si>
  <si>
    <t>MTN MOBILE MONEY NEW MOBISERVE : mo electricite A / 250781510235 mo electricite Ap 3 et~7Eric NTAKIRUTIMANA / mo electricite A</t>
  </si>
  <si>
    <t>'1444838.0000</t>
  </si>
  <si>
    <t>FTCM25351ODVWBPJX</t>
  </si>
  <si>
    <t>MTN MOBILE MONEY NEW MOBISERVE : onternet canal b / 250788750184 onternet canal box Ing~anjChantal KAYITARE KAYIRANGWA / onternet canal b</t>
  </si>
  <si>
    <t>'1404838.0000</t>
  </si>
  <si>
    <t>FTCM25351DJMVLX3L</t>
  </si>
  <si>
    <t>Push to MOMO Charges : AC-100068155597 / 250783222630 mo Elias consultation~Elias Ngendahayo / mo Elias consult</t>
  </si>
  <si>
    <t>'1404638.0000</t>
  </si>
  <si>
    <t>MTN MOBILE MONEY NEW MOBISERVE : mo Elias consult / 250783222630 mo Elias consultation~Elias Ngendahayo / mo Elias consult</t>
  </si>
  <si>
    <t>'1374638.0000</t>
  </si>
  <si>
    <t>FTCM25351ENLOOV1S</t>
  </si>
  <si>
    <t>MTN MOBILE MONEY NEW MOBISERVE : rra doc / 250788750184 rra docChantal KAYITA~RE KAYIRANGWA / rra doc</t>
  </si>
  <si>
    <t>'1364638.0000</t>
  </si>
  <si>
    <t>FTCM253527ZEAM51S</t>
  </si>
  <si>
    <t>MTN MOBILE MONEY NEW MOBISERVE : achat / 250788750184 achatChantal KAYITARE~KAYIRANGWA / achat</t>
  </si>
  <si>
    <t>'1354638.0000</t>
  </si>
  <si>
    <t>FTCM25352LBZMAQVI</t>
  </si>
  <si>
    <t>Push to MOMO Charges : AC-100068155597 / 250795353970 mo plombier koza ikige~ga gitoImmaculee NYIRANIZEYIMANA / mo plombier koza</t>
  </si>
  <si>
    <t>'1354538.0000</t>
  </si>
  <si>
    <t>MTN MOBILE MONEY NEW MOBISERVE : mo plombier koza / 250795353970 mo plombier koza ikige~ga gitoImmaculee NYIRANIZEYIMANA / mo plombier koza</t>
  </si>
  <si>
    <t>'1347538.0000</t>
  </si>
  <si>
    <t>FTCM253524MDEWEAO</t>
  </si>
  <si>
    <t>Bill Payment RRA : AC-100072077975 / 1332328098 KAYITARE KAYIRANGWA CHAN~TAL  95991  1288841165  11960700024~41079  191  Land Lease   23  GASABO</t>
  </si>
  <si>
    <t>'1347338.0000</t>
  </si>
  <si>
    <t>Bill Payment RRA :  / 1332328098 KAYITARE KAYIRANGWA CHAN~TAL  95991  1288841165  11960700024~41079  191  Land Lease   23  GASABO</t>
  </si>
  <si>
    <t>'95991.0000</t>
  </si>
  <si>
    <t>'1251347.0000</t>
  </si>
  <si>
    <t>FTCM25352BJWROWPV</t>
  </si>
  <si>
    <t>Bill Payment RRA : AC-100072077975 / 1332330453 KAYITARE KAYIRANGWA CHAN~TAL  7999  1288843439  119607000244~1079  191  Land Lease   23  GASABO</t>
  </si>
  <si>
    <t>'1251147.0000</t>
  </si>
  <si>
    <t>Bill Payment RRA :  / 1332330453 KAYITARE KAYIRANGWA CHAN~TAL  7999  1288843439  119607000244~1079  191  Land Lease   23  GASABO</t>
  </si>
  <si>
    <t>'7999.0000</t>
  </si>
  <si>
    <t>'1243148.0000</t>
  </si>
  <si>
    <t>FTCM25352Q1REF4SA</t>
  </si>
  <si>
    <t>Bill Payment RRA : AC-100072077975 / 1332329402 KAYITARE KAYIRANGWA CHAN~TAL  95991  1288843155  11960700024~41079  191  Land Lease   23  GASABO</t>
  </si>
  <si>
    <t>'1242948.0000</t>
  </si>
  <si>
    <t>Bill Payment RRA :  / 1332329402 KAYITARE KAYIRANGWA CHAN~TAL  95991  1288843155  11960700024~41079  191  Land Lease   23  GASABO</t>
  </si>
  <si>
    <t>'1146957.0000</t>
  </si>
  <si>
    <t>FTCM25352LALOP2AO</t>
  </si>
  <si>
    <t>Bill Payment RRA : AC-100072077975 / 1332328766 KAYITARE KAYIRANGWA CHAN~TAL  95991  1288842907  11960700024~41079  191  Land Lease   23  GASABO</t>
  </si>
  <si>
    <t>'1146757.0000</t>
  </si>
  <si>
    <t>Bill Payment RRA :  / 1332328766 KAYITARE KAYIRANGWA CHAN~TAL  95991  1288842907  11960700024~41079  191  Land Lease   23  GASABO</t>
  </si>
  <si>
    <t>'1050766.0000</t>
  </si>
  <si>
    <t>FTCM25352IY0LZHQK</t>
  </si>
  <si>
    <t>Bill Payment RRA : AC-100072077975 / 1331992742 CYABUKOMBE ALBERT  28000~1287209223  108734414  191  Prope~rty Tax  23  GASABO TC  64177204  6</t>
  </si>
  <si>
    <t>'1050566.0000</t>
  </si>
  <si>
    <t>Bill Payment RRA :  / 1331992742 CYABUKOMBE ALBERT  28000~1287209223  108734414  191  Prope~rty Tax  23  GASABO TC  64177204  6</t>
  </si>
  <si>
    <t>'1022566.0000</t>
  </si>
  <si>
    <t>FTCM25352YAVQCIRJ</t>
  </si>
  <si>
    <t>Bill Payment RRA : AC-100072094667 / 1331992791 CYABUKOMBE ALBERT  23000~1287210961  108734414  191  Prope~rty Tax  20  GATSIBO TC  64177235</t>
  </si>
  <si>
    <t>'1022366.0000</t>
  </si>
  <si>
    <t>Bill Payment RRA :  / 1331992791 CYABUKOMBE ALBERT  23000~1287210961  108734414  191  Prope~rty Tax  20  GATSIBO TC  64177235</t>
  </si>
  <si>
    <t>'999366.0000</t>
  </si>
  <si>
    <t>FTCM25352Y5CQOQB9</t>
  </si>
  <si>
    <t>Bill Payment RRA : AC-100072094667 / 1331992815 CYABUKOMBE ALBERT  1000~1287211075  108734414  191  Proper~ty Tax  20  GATSIBO TC  64177261  6</t>
  </si>
  <si>
    <t>'999166.0000</t>
  </si>
  <si>
    <t>Bill Payment RRA :  / 1331992815 CYABUKOMBE ALBERT  1000~1287211075  108734414  191  Proper~ty Tax  20  GATSIBO TC  64177261  6</t>
  </si>
  <si>
    <t>'1000.0000</t>
  </si>
  <si>
    <t>'998166.0000</t>
  </si>
  <si>
    <t>FTCM25353R8NKT3PP</t>
  </si>
  <si>
    <t>Push to MOMO Charges : AC-100068155597 / 250788677726 fooflaskOmega HAKIZIM~ANA / fooflask</t>
  </si>
  <si>
    <t>'997966.0000</t>
  </si>
  <si>
    <t>MTN MOBILE MONEY NEW MOBISERVE : fooflask / 250788677726 fooflaskOmega HAKIZIM~ANA / fooflask</t>
  </si>
  <si>
    <t>'984966.0000</t>
  </si>
  <si>
    <t>FTCM25354NSO2Q2VC</t>
  </si>
  <si>
    <t>Incoming  Trsf frm local banks :  / NCUBE CHIDOCHASHE SITHABISO 0000023~23252 MB Local Transfer Janu AP 8</t>
  </si>
  <si>
    <t>'1314966.0000</t>
  </si>
  <si>
    <t>FTCM25354NNYSTKAZ</t>
  </si>
  <si>
    <t>IREMBO NEW MOBISERVE :  / 875354642758 Irembo billIrembo Ser~vice IREMBO COLLECTION ACCOUNT</t>
  </si>
  <si>
    <t>'1289966.0000</t>
  </si>
  <si>
    <t>FTCM25354VBG3ZKGC</t>
  </si>
  <si>
    <t>Bill Payment RRA : AC-100072077975 / 1332579128 CYABUKOMBE ALBERT  4263~1289719081  1195880063397046  191~Land Lease   23  GASABO TC  642310</t>
  </si>
  <si>
    <t>'1289766.0000</t>
  </si>
  <si>
    <t>Bill Payment RRA :  / 1332579128 CYABUKOMBE ALBERT  4263~1289719081  1195880063397046  191~Land Lease   23  GASABO TC  642310</t>
  </si>
  <si>
    <t>'4263.0000</t>
  </si>
  <si>
    <t>'1285503.0000</t>
  </si>
  <si>
    <t>FTCM25354N45S3UQP</t>
  </si>
  <si>
    <t>Bill Payment RRA : AC-100072077975 / 1332578246 CYABUKOMBE ALBERT  51156~1289718601  1195880063397046  191~Land Lease   23  GASABO TC  64230</t>
  </si>
  <si>
    <t>'1285303.0000</t>
  </si>
  <si>
    <t>Bill Payment RRA :  / 1332578246 CYABUKOMBE ALBERT  51156~1289718601  1195880063397046  191~Land Lease   23  GASABO TC  64230</t>
  </si>
  <si>
    <t>'51156.0000</t>
  </si>
  <si>
    <t>'1234147.0000</t>
  </si>
  <si>
    <t>FTCM25354OSV3D9SJ</t>
  </si>
  <si>
    <t>Bill Payment RRA : AC-100072077975 / 1332577101 CYABUKOMBE ALBERT  51156~1289716375  1195880063397046  191~Land Lease   23  GASABO TC  64230</t>
  </si>
  <si>
    <t>'1233947.0000</t>
  </si>
  <si>
    <t>Bill Payment RRA :  / 1332577101 CYABUKOMBE ALBERT  51156~1289716375  1195880063397046  191~Land Lease   23  GASABO TC  64230</t>
  </si>
  <si>
    <t>'1182791.0000</t>
  </si>
  <si>
    <t>FTCM25354MKPHRWUL</t>
  </si>
  <si>
    <t>Bill Payment RRA : AC-100072077975 / 1332569336 CYABUKOMBE ALBERT  51156~1289701319  1195880063397046  191~Land Lease   23  GASABO TC  64230</t>
  </si>
  <si>
    <t>'1182591.0000</t>
  </si>
  <si>
    <t>Bill Payment RRA :  / 1332569336 CYABUKOMBE ALBERT  51156~1289701319  1195880063397046  191~Land Lease   23  GASABO TC  64230</t>
  </si>
  <si>
    <t>'1131435.0000</t>
  </si>
  <si>
    <t>FTCM25354CWIXNYBG</t>
  </si>
  <si>
    <t>Push to MOMO Charges : AC-100068155597 / 250790204738 rra declaration Imena~inganjiJean Louis RUGANINTWARI / rra declaration</t>
  </si>
  <si>
    <t>'1131235.0000</t>
  </si>
  <si>
    <t>MTN MOBILE MONEY NEW MOBISERVE : rra declaration / 250790204738 rra declaration Imena~inganjiJean Louis RUGANINTWARI / rra declaration</t>
  </si>
  <si>
    <t>'10800.0000</t>
  </si>
  <si>
    <t>'1120435.0000</t>
  </si>
  <si>
    <t>FTCM25355Y1MVCNKJ</t>
  </si>
  <si>
    <t>MTN MOBILE MONEY NEW MOBISERVE : momo church / 250788750184 momo churchChantal KA~YITARE KAYIRANGWA / momo church</t>
  </si>
  <si>
    <t>'1110435.0000</t>
  </si>
  <si>
    <t>FTCM25355KIRGJKVI</t>
  </si>
  <si>
    <t>Push to MOMO Charges : AC-100068155597 / 250784659369 2 ananasxxx BIZIMANA / 2 ananas</t>
  </si>
  <si>
    <t>'1110335.0000</t>
  </si>
  <si>
    <t>MTN MOBILE MONEY NEW MOBISERVE : 2 ananas / 250784659369 2 ananasxxx BIZIMANA / 2 ananas</t>
  </si>
  <si>
    <t>'1108335.0000</t>
  </si>
  <si>
    <t>FTCM25355AHFHXQMZ</t>
  </si>
  <si>
    <t>Push to MOMO Charges : AC-100068155597 / 250782822557 bibiana helpBibiana M~UGOREWERA / bibiana help</t>
  </si>
  <si>
    <t>'1108235.0000</t>
  </si>
  <si>
    <t>MTN MOBILE MONEY NEW MOBISERVE : bibiana help / 250782822557 bibiana helpBibiana M~UGOREWERA / bibiana help</t>
  </si>
  <si>
    <t>'1103235.0000</t>
  </si>
  <si>
    <t>FTCM253557OMCR9BG</t>
  </si>
  <si>
    <t>'1093235.0000</t>
  </si>
  <si>
    <t>FTCM25356WSGXHMAJ</t>
  </si>
  <si>
    <t>MTN MOBILE MONEY NEW MOBISERVE : momo mtn calls / 250788750184 momo mtn callsChantal~KAYITARE KAYIRANGWA / momo mtn calls</t>
  </si>
  <si>
    <t>'1083235.0000</t>
  </si>
  <si>
    <t>FTCM25356ALKEBXAZ</t>
  </si>
  <si>
    <t>Push to MOMO Charges : AC-100068155597 / 250788893350 soudure dehors EricEr~ic KABAYISA / soudure dehors E</t>
  </si>
  <si>
    <t>'1083035.0000</t>
  </si>
  <si>
    <t>MTN MOBILE MONEY NEW MOBISERVE : soudure dehors E / 250788893350 soudure dehors EricEr~ic KABAYISA / soudure dehors E</t>
  </si>
  <si>
    <t>'1063035.0000</t>
  </si>
  <si>
    <t>FTCM25356FJNRVYLT</t>
  </si>
  <si>
    <t>Push to MOMO Charges : AC-100068155597 / 250788766582 plomberie evier Imena~Alphonse GATO / plomberie evier</t>
  </si>
  <si>
    <t>'1062835.0000</t>
  </si>
  <si>
    <t>MTN MOBILE MONEY NEW MOBISERVE : plomberie evier / 250788766582 plomberie evier Imena~Alphonse GATO / plomberie evier</t>
  </si>
  <si>
    <t>'1038835.0000</t>
  </si>
  <si>
    <t>FTCM253565KBI5F2P</t>
  </si>
  <si>
    <t>MTN MOBILE MONEY NEW MOBISERVE : medicament toux / 250788750184 medicament touxChanta~l KAYITARE KAYIRANGWA / medicament toux</t>
  </si>
  <si>
    <t>'1028335.0000</t>
  </si>
  <si>
    <t>FTCM25357OKJ2LNNT</t>
  </si>
  <si>
    <t>Push to MOMO Charges : AC-100068155597 / 250788688841 transport macademiaEr~itier WASE / transport macade</t>
  </si>
  <si>
    <t>'1028135.0000</t>
  </si>
  <si>
    <t>MTN MOBILE MONEY NEW MOBISERVE : transport macade / 250788688841 transport macademiaEr~itier WASE / transport macade</t>
  </si>
  <si>
    <t>'992135.0000</t>
  </si>
  <si>
    <t>FTCM25357CAIJXODQ</t>
  </si>
  <si>
    <t>Push to MOMO Charges : AC-100068155597 / 250795353970 mo plomberie J Imena e~vier dehorsImmaculee NYIRANIZEYIMA / mo plomberie J I</t>
  </si>
  <si>
    <t>'992035.0000</t>
  </si>
  <si>
    <t>MTN MOBILE MONEY NEW MOBISERVE : mo plomberie J I / 250795353970 mo plomberie J Imena e~vier dehorsImmaculee NYIRANIZEYIMA / mo plomberie J I</t>
  </si>
  <si>
    <t>'982035.0000</t>
  </si>
  <si>
    <t>FTCM253574ZOZCDXX</t>
  </si>
  <si>
    <t>Cash deposit-BK YACU : NYIRANEZA JOSELI / RENT 0795293326MEHAD KHALIDA ABDAL~LAH ELSHAIKH / NYIRANEZA JOSELI AP 13</t>
  </si>
  <si>
    <t>'1382035.0000</t>
  </si>
  <si>
    <t>FTCM25358VW0BXFH6</t>
  </si>
  <si>
    <t>Push to MOMO Charges : AC-100068155597 / 250788406647 3600Emmanuel NSHIMIYI~MANA / 3600</t>
  </si>
  <si>
    <t>'1381935.0000</t>
  </si>
  <si>
    <t>MTN MOBILE MONEY NEW MOBISERVE : 3600 / 250788406647 3600Emmanuel NSHIMIYI~MANA / 3600</t>
  </si>
  <si>
    <t>'3600.0000</t>
  </si>
  <si>
    <t>'1378335.0000</t>
  </si>
  <si>
    <t>FTCM25358S4IGDKPA</t>
  </si>
  <si>
    <t>MTN Push to Bank :  / MTNPUSH24960344047250781464264 LAMU INVESTIMENT  SH 14 ONE MONTH 1 RENT JANUARY SH14</t>
  </si>
  <si>
    <t>'2378335.0000</t>
  </si>
  <si>
    <t>FTCM25358NM5LVIAE</t>
  </si>
  <si>
    <t>CREDIT CARD PAYMENT :  / PYT 251224 47137521810 Cyabuk~ombe Albert 250788750184</t>
  </si>
  <si>
    <t>'76577.0000</t>
  </si>
  <si>
    <t>'2301758.0000</t>
  </si>
  <si>
    <t>FTCM25358EGVWCZLM</t>
  </si>
  <si>
    <t>Cash deposit-BK YACU : HARERIMANA ENOC / RENT FEES 0791903693REEMA JEMAL / HARERIMANA ENOC SH 8</t>
  </si>
  <si>
    <t>'270000.0000</t>
  </si>
  <si>
    <t>'2571758.0000</t>
  </si>
  <si>
    <t>FTCM253586IIWYQGI</t>
  </si>
  <si>
    <t>AC-100079346599</t>
  </si>
  <si>
    <t>'2571658.0000</t>
  </si>
  <si>
    <t xml:space="preserve">WASAC NEW MOBISERVE : </t>
  </si>
  <si>
    <t>'215798.0000</t>
  </si>
  <si>
    <t>'2355860.0000</t>
  </si>
  <si>
    <t>FTCM253593CZAC63A</t>
  </si>
  <si>
    <t>Push to MOMO Charges : AC-100068155597 / 250782822557 Noel BibianeBibiana M~UGOREWERA / Noel Bibiane</t>
  </si>
  <si>
    <t>'2355760.0000</t>
  </si>
  <si>
    <t>MTN MOBILE MONEY NEW MOBISERVE : Noel Bibiane / 250782822557 Noel BibianeBibiana M~UGOREWERA / Noel Bibiane</t>
  </si>
  <si>
    <t>'2350760.0000</t>
  </si>
  <si>
    <t>FTCM25359NNMHHGV5</t>
  </si>
  <si>
    <t>New App BK-BK Account Transfer : MUSA MAHORO / Rent for Apartment 6CYABUKOMBE ALB~ERT / MUSA MAHORO UWASE VANESSA</t>
  </si>
  <si>
    <t>'2680760.0000</t>
  </si>
  <si>
    <t>FTCM25359ZDJ6J1KR</t>
  </si>
  <si>
    <t>'2630760.0000</t>
  </si>
  <si>
    <t>FTCM25359OQBVHMBO</t>
  </si>
  <si>
    <t>MTN Push to Bank :  / MTNPUSH24993858786250796895100 BABRA  GUTENGA SH 3</t>
  </si>
  <si>
    <t>'290000.0000</t>
  </si>
  <si>
    <t>'2920760.0000</t>
  </si>
  <si>
    <t>FTCM25360LUVBO6TK</t>
  </si>
  <si>
    <t>MTN MOBILE MONEY NEW MOBISERVE : fuel veh sylvie / 250788750184 fuel veh sylvieChanta~l KAYITARE KAYIRANGWA / fuel veh sylvie</t>
  </si>
  <si>
    <t>'26852.0000</t>
  </si>
  <si>
    <t>'2893908.0000</t>
  </si>
  <si>
    <t>FTCM25360OQ7U1YH7</t>
  </si>
  <si>
    <t>MTN MOBILE MONEY NEW MOBISERVE : achants marine / 250788750184 achants marineChantal~KAYITARE KAYIRANGWA / achants marine</t>
  </si>
  <si>
    <t>'120000.0000</t>
  </si>
  <si>
    <t>'2773908.0000</t>
  </si>
  <si>
    <t>FTCM25360VFUP2TCA</t>
  </si>
  <si>
    <t>Push to MOMO Charges : AC-100068155597 / 250788604267 mo Muganga cuisine Ime~naCesarie Semuganga / mo Muganga cuisi</t>
  </si>
  <si>
    <t>'2773708.0000</t>
  </si>
  <si>
    <t>MTN MOBILE MONEY NEW MOBISERVE : mo Muganga cuisi / 250788604267 mo Muganga cuisine Ime~naCesarie Semuganga / mo Muganga cuisi</t>
  </si>
  <si>
    <t>'2713708.0000</t>
  </si>
  <si>
    <t>FTCM25361AXKB6LOC</t>
  </si>
  <si>
    <t>MTN MOBILE MONEY NEW MOBISERVE : fuel vehicule / 250788750184 fuel vehiculeChantal~KAYITARE KAYIRANGWA / fuel vehicule</t>
  </si>
  <si>
    <t>'2703708.0000</t>
  </si>
  <si>
    <t>FTCM25361SS8IMCKR</t>
  </si>
  <si>
    <t>Push to MOMO Charges : AC-100068155597 / 250788462932 gutwerera ubukwe bw um~wanaVestine MUTUNGE / gutwerera ubukwe</t>
  </si>
  <si>
    <t>'2703508.0000</t>
  </si>
  <si>
    <t>MTN MOBILE MONEY NEW MOBISERVE : gutwerera ubukwe / 250788462932 gutwerera ubukwe bw um~wanaVestine MUTUNGE / gutwerera ubukwe</t>
  </si>
  <si>
    <t>'2678508.0000</t>
  </si>
  <si>
    <t>FTCM253611WWVEJIJ</t>
  </si>
  <si>
    <t>Push to MOMO Charges : AC-100068155597 / 250788352003 rent  car 2 daysSylvi~e KAYITESI KANIMBA / rent  car 2 days</t>
  </si>
  <si>
    <t>'2678308.0000</t>
  </si>
  <si>
    <t>MTN MOBILE MONEY NEW MOBISERVE : rent  car 2 days / 250788352003 rent  car 2 daysSylvi~e KAYITESI KANIMBA / rent  car 2 days</t>
  </si>
  <si>
    <t>'2558308.0000</t>
  </si>
  <si>
    <t>FTCM2536108OLQVYH</t>
  </si>
  <si>
    <t>MTN MOBILE MONEY NEW MOBISERVE : securite Imena n / 250788750184 securite Imena ni Inga~njiChantal KAYITARE KAYIRANGWA / securite Imena n</t>
  </si>
  <si>
    <t>'2533308.0000</t>
  </si>
  <si>
    <t>FTCM25361H5KWE0LR</t>
  </si>
  <si>
    <t>MTN MOBILE MONEY NEW MOBISERVE : internet / 250788750184 internetChantal KAYIT~ARE KAYIRANGWA / internet</t>
  </si>
  <si>
    <t>'2528308.0000</t>
  </si>
  <si>
    <t>FTCM25361AYW5NTWC</t>
  </si>
  <si>
    <t>Push to MOMO Charges : AC-100068155597 / 250784307099 transport JeanneJeann~e UWIMANA / transport Jeanne</t>
  </si>
  <si>
    <t>'2528208.0000</t>
  </si>
  <si>
    <t>MTN MOBILE MONEY NEW MOBISERVE : transport Jeanne / 250784307099 transport JeanneJeann~e UWIMANA / transport Jeanne</t>
  </si>
  <si>
    <t>'2518208.0000</t>
  </si>
  <si>
    <t>FTCM253614O1K3QOG</t>
  </si>
  <si>
    <t>Internal Transfer charges : AC-100148285386 / 50 percent advance paint and filter~pradoCYABUKOMBE Moses</t>
  </si>
  <si>
    <t>'2518108.0000</t>
  </si>
  <si>
    <t>BK to BK NEW MOBISERVE : CYABUKOMBE Moses / 50 percent advance paint and filter~pradoCYABUKOMBE Moses</t>
  </si>
  <si>
    <t>'311319.0000</t>
  </si>
  <si>
    <t>'2206789.0000</t>
  </si>
  <si>
    <t>FTCM26362YCFZ9O7K</t>
  </si>
  <si>
    <t>MTN MOBILE MONEY NEW MOBISERVE : momo exp isa nae / 250788750184 momo exp isa naelaCha~ntal KAYITARE KAYIRANGWA / momo exp isa nae</t>
  </si>
  <si>
    <t>'2156789.0000</t>
  </si>
  <si>
    <t>FTCM26362E6JJGO46</t>
  </si>
  <si>
    <t>'2136789.0000</t>
  </si>
  <si>
    <t>FTCM26363PYINPZ3X</t>
  </si>
  <si>
    <t>MTN MOBILE MONEY NEW MOBISERVE : Pascaline / 250788750184 PascalineChantal KAYI~TARE KAYIRANGWA / Pascaline</t>
  </si>
  <si>
    <t>'2126789.0000</t>
  </si>
  <si>
    <t>FTCM26364YENXW1OA</t>
  </si>
  <si>
    <t>IB Account transfer : ALBERT CYABUKOMB / approvisionnement Current Account / ALBERT CYABUKOMB</t>
  </si>
  <si>
    <t>'2626789.0000</t>
  </si>
  <si>
    <t>FTCM26364H1CJYNNH</t>
  </si>
  <si>
    <t>IB Account transfer : ALBERT CYABUKOMB / approvisionnementCurrent Account / ALBERT CYABUKOMB</t>
  </si>
  <si>
    <t>'3126789.0000</t>
  </si>
  <si>
    <t>FTCM26364DDDTZ1XH</t>
  </si>
  <si>
    <t>Push to MOMO Charges : AC-100068155597 / 250788208839 return deposit Ap 151c~IradukundaDavid IRADUKUNDA / return deposit A</t>
  </si>
  <si>
    <t>'3125439.0000</t>
  </si>
  <si>
    <t>MTN MOBILE MONEY NEW MOBISERVE : return deposit A / 250788208839 return deposit Ap 151c~IradukundaDavid IRADUKUNDA / return deposit A</t>
  </si>
  <si>
    <t>'180000.0000</t>
  </si>
  <si>
    <t>'2945439.0000</t>
  </si>
  <si>
    <t>FTCM26364U8TTQBPA</t>
  </si>
  <si>
    <t>'3445439.0000</t>
  </si>
  <si>
    <t>FTCM263644WBSTSGZ</t>
  </si>
  <si>
    <t>'3945439.0000</t>
  </si>
  <si>
    <t>TT25364J7SXG</t>
  </si>
  <si>
    <t>Cash Deposit : ALBERT CYABUKOMBE /  / ALBERT CYABUKOMBE</t>
  </si>
  <si>
    <t>'470000.0000</t>
  </si>
  <si>
    <t>'4415439.0000</t>
  </si>
  <si>
    <t>FT253642DK0K</t>
  </si>
  <si>
    <t>Cheque Deposit : CYABUKOMBE /  -  / CYABUKOMBE</t>
  </si>
  <si>
    <t>'1450000.0000</t>
  </si>
  <si>
    <t>'5865439.0000</t>
  </si>
  <si>
    <t>FTCM26364XZGW2JQP</t>
  </si>
  <si>
    <t>Push to MOMO Charges : AC-100068155597 / 250788688841 pay kiramuruziEritier~WASE / pay kiramuruzi</t>
  </si>
  <si>
    <t>'5864089.0000</t>
  </si>
  <si>
    <t>MTN MOBILE MONEY NEW MOBISERVE : pay kiramuruzi / 250788688841 pay kiramuruziEritier~WASE / pay kiramuruzi</t>
  </si>
  <si>
    <t>'552800.0000</t>
  </si>
  <si>
    <t>'5311289.0000</t>
  </si>
  <si>
    <t>FTCM26364HTVHVUAY</t>
  </si>
  <si>
    <t>MTN MOBILE MONEY NEW MOBISERVE : fpr inganji / 250788750184 fpr inganjiChantal KA~YITARE KAYIRANGWA / fpr inganji</t>
  </si>
  <si>
    <t>'5306289.0000</t>
  </si>
  <si>
    <t>FT25365J4S06</t>
  </si>
  <si>
    <t>'5186118.0000</t>
  </si>
  <si>
    <t>'120171.0000</t>
  </si>
  <si>
    <t>FTCM26365CHULHG8B</t>
  </si>
  <si>
    <t>Cash deposit-BK YACU : KANANI ALBERT / RENT PAYMENT 0795850501AMANI IBRAH~IM AHMED ELSAYEH / KANANI ALBERT AP 3</t>
  </si>
  <si>
    <t>'420171.0000</t>
  </si>
  <si>
    <t>FTCM26365JNSLSVGE</t>
  </si>
  <si>
    <t>Push to MOMO Charges : AC-100068155597 / 250781192754 solde sal 70k plus 80k~30decTheoneste HAKIZIMANA / solde sal 70k pl</t>
  </si>
  <si>
    <t>'419971.0000</t>
  </si>
  <si>
    <t>MTN MOBILE MONEY NEW MOBISERVE : solde sal 70k pl / 250781192754 solde sal 70k plus 80k~30decTheoneste HAKIZIMANA / solde sal 70k pl</t>
  </si>
  <si>
    <t>'349971.0000</t>
  </si>
  <si>
    <t>FTCM26365GLLTDJZP</t>
  </si>
  <si>
    <t>Push to MOMO Charges : AC-100068155597 / 250795322234 sal dom jean de Dieu J~ado decChristine NYIRAMAYIRA / sal dom jean de</t>
  </si>
  <si>
    <t>'349771.0000</t>
  </si>
  <si>
    <t>MTN MOBILE MONEY NEW MOBISERVE : sal dom jean de / 250795322234 sal dom jean de Dieu J~ado decChristine NYIRAMAYIRA / sal dom jean de</t>
  </si>
  <si>
    <t>'264771.0000</t>
  </si>
  <si>
    <t>FTCM26365WEUKEALM</t>
  </si>
  <si>
    <t>MTN Push to Bank :  / MTNPUSH25128267023250795593803 ALUEL MAKEIIR AJACK AP 12</t>
  </si>
  <si>
    <t>'564771.0000</t>
  </si>
  <si>
    <t>FTCM26365DJNU8LR4</t>
  </si>
  <si>
    <t>MTN Push to Bank :  / MTNPUSH25128319633250795593803 ALUEL MAKEIR UTILITIES AP 12</t>
  </si>
  <si>
    <t>'594771.0000</t>
  </si>
  <si>
    <t>FTCM26365SWF6X4OY</t>
  </si>
  <si>
    <t>MTN MOBILE MONEY NEW MOBISERVE : cashpowerIm3na / 250788750184 cashpowerIm3naChantal~KAYITARE KAYIRANGWA / cashpowerIm3na</t>
  </si>
  <si>
    <t>'579771.0000</t>
  </si>
  <si>
    <t>FTCM263655EYZY195</t>
  </si>
  <si>
    <t>Push to MOMO Charges : AC-100068155597 / 250788308405 Fpr hospitalityRaphae~l NGARAMBE / Fpr hospitality</t>
  </si>
  <si>
    <t>'579671.0000</t>
  </si>
  <si>
    <t>MTN MOBILE MONEY NEW MOBISERVE : Fpr hospitality / 250788308405 Fpr hospitalityRaphae~l NGARAMBE / Fpr hospitality</t>
  </si>
  <si>
    <t>'569671.0000</t>
  </si>
  <si>
    <t>FTCM2601YUJYVVUM</t>
  </si>
  <si>
    <t>MTN Push to Bank :  / MTNPUSH25147020760250796681084 AISHA YOUSIF RDWAN MOHAMMED AP 18</t>
  </si>
  <si>
    <t>'1269671.0000</t>
  </si>
  <si>
    <t>FTCM2601UJHCCFAZ</t>
  </si>
  <si>
    <t>Push to MOMO Charges : AC-100068155597 / 250780532142 Aide Ngororero Ndayisa~baInnocent NDAYISABA / Aide Ngororero N</t>
  </si>
  <si>
    <t>'1269571.0000</t>
  </si>
  <si>
    <t>MTN MOBILE MONEY NEW MOBISERVE : Aide Ngororero N / 250780532142 Aide Ngororero Ndayisa~baInnocent NDAYISABA / Aide Ngororero N</t>
  </si>
  <si>
    <t>'1259571.0000</t>
  </si>
  <si>
    <t>FTCM2602LDP9JGIJ</t>
  </si>
  <si>
    <t>MTN MOBILE MONEY NEW MOBISERVE : cash power Ingan / 250788750184 cash power IngangiCha~ntal KAYITARE KAYIRANGWA / cash power Ingan</t>
  </si>
  <si>
    <t>'550000.0000</t>
  </si>
  <si>
    <t>'709571.0000</t>
  </si>
  <si>
    <t>FTCM2602AV7IZVUX</t>
  </si>
  <si>
    <t>New App BK-BK Account Transfer : LIONEL NGENDAKUR / Loyer JanvierCYABUKOMBE ALBERT / LIONEL NGENDAKUR</t>
  </si>
  <si>
    <t>'1016500.0000</t>
  </si>
  <si>
    <t>'1726071.0000</t>
  </si>
  <si>
    <t>FTCM2602JOUKLCDX</t>
  </si>
  <si>
    <t>MTN Push to Bank :  / MTNPUSH25166234933250788750184 REFUND COMPTE  SURPLUS CAS POWER INGANJI 55000FRS</t>
  </si>
  <si>
    <t>'490000.0000</t>
  </si>
  <si>
    <t>'2216071.0000</t>
  </si>
  <si>
    <t>FTCM2602DHLKW3ZX</t>
  </si>
  <si>
    <t>Push to MOMO Charges : AC-100068155597 / 250786378547 Ap 18 2c comm FrankXx~x NSHIMIYIMANA / Ap 18 2c comm Fr</t>
  </si>
  <si>
    <t>'2215871.0000</t>
  </si>
  <si>
    <t>MTN MOBILE MONEY NEW MOBISERVE : Ap 18 2c comm Fr / 250786378547 Ap 18 2c comm FrankXx~x NSHIMIYIMANA / Ap 18 2c comm Fr</t>
  </si>
  <si>
    <t>'2198371.0000</t>
  </si>
  <si>
    <t>FTCM2602KQ9UPRFW</t>
  </si>
  <si>
    <t>Push to MOMO Charges : AC-100068155597 / 250790419946 sal Ineza cleanerAlph~onsine INEZA / sal Ineza cleane</t>
  </si>
  <si>
    <t>'2198171.0000</t>
  </si>
  <si>
    <t>MTN MOBILE MONEY NEW MOBISERVE : sal Ineza cleane / 250790419946 sal Ineza cleanerAlph~onsine INEZA / sal Ineza cleane</t>
  </si>
  <si>
    <t>'2138171.0000</t>
  </si>
  <si>
    <t>FTCM2602036RFSZP</t>
  </si>
  <si>
    <t>Push to MOMO Charges : AC-100068155597 / 250794410424 deposit refund to Abda~lla ap 14 1bMOHAMED ESAM MOHAMED H / deposit refund t</t>
  </si>
  <si>
    <t>'2137971.0000</t>
  </si>
  <si>
    <t>MTN MOBILE MONEY NEW MOBISERVE : deposit refund t / 250794410424 deposit refund to Abda~lla ap 14 1bMOHAMED ESAM MOHAMED H / deposit refund t</t>
  </si>
  <si>
    <t>'54000.0000</t>
  </si>
  <si>
    <t>'2083971.0000</t>
  </si>
  <si>
    <t>FTCM2603WHCMUD5M</t>
  </si>
  <si>
    <t>MTN MOBILE MONEY NEW MOBISERVE : cash power gener / 250788750184 cash power general Ime~naChantal KAYITARE KAYIRANGWA / cash power gener</t>
  </si>
  <si>
    <t>'2003971.0000</t>
  </si>
  <si>
    <t>FTCM2603RLAOUG1M</t>
  </si>
  <si>
    <t>Push to MOMO Charges : AC-100068155597 / 250788688841 macademia transportEr~itier WASE / macademia transp</t>
  </si>
  <si>
    <t>'2003771.0000</t>
  </si>
  <si>
    <t>MTN MOBILE MONEY NEW MOBISERVE : macademia transp / 250788688841 macademia transportEr~itier WASE / macademia transp</t>
  </si>
  <si>
    <t>'1967771.0000</t>
  </si>
  <si>
    <t>FTCM2604QNPSWF8L</t>
  </si>
  <si>
    <t>MTN MOBILE MONEY NEW MOBISERVE : soin nedicaux Ab / 250788750184 soin nedicaux Abidjan~enfants BibianeChantal KAYITARE KA / soin nedicaux Ab</t>
  </si>
  <si>
    <t>'1947771.0000</t>
  </si>
  <si>
    <t>FTCM2604NLYCBQKA</t>
  </si>
  <si>
    <t>Push to MOMO Charges : AC-100068155597 / 250788573388 plomberie ap 14 15 18~Clementine MUSABYEYEZU / plomberie ap 14</t>
  </si>
  <si>
    <t>'1947571.0000</t>
  </si>
  <si>
    <t>MTN MOBILE MONEY NEW MOBISERVE : plomberie ap 14 / 250788573388 plomberie ap 14 15 18~Clementine MUSABYEYEZU / plomberie ap 14</t>
  </si>
  <si>
    <t>'51000.0000</t>
  </si>
  <si>
    <t>'1896571.0000</t>
  </si>
  <si>
    <t>FTCM2604HANMKD8T</t>
  </si>
  <si>
    <t>MTN MOBILE MONEY NEW MOBISERVE : cashpower ap 17 / 250788750184 cashpower ap 17Chanta~l KAYITARE KAYIRANGWA / cashpower ap 17</t>
  </si>
  <si>
    <t>'1876571.0000</t>
  </si>
  <si>
    <t>FTCM2605O0DWOJTB</t>
  </si>
  <si>
    <t>Push to MOMO Charges : AC-100068155597 / 250796397877 retour caution ap 13 K~eturaMALEYOMBO HENRIETTA KETURA LA / retour caution a</t>
  </si>
  <si>
    <t>'1876371.0000</t>
  </si>
  <si>
    <t>MTN MOBILE MONEY NEW MOBISERVE : retour caution a / 250796397877 retour caution ap 13 K~eturaMALEYOMBO HENRIETTA KETURA LA / retour caution a</t>
  </si>
  <si>
    <t>'73500.0000</t>
  </si>
  <si>
    <t>'1802871.0000</t>
  </si>
  <si>
    <t>FTCM2605E8QKQZ7T</t>
  </si>
  <si>
    <t>New App BK-BK Account Transfer : ABIYINGOMA CHRIS / Rent payment January CYABUKOMBE AL~BERT / ABIYINGOMA CHRIS AP 11</t>
  </si>
  <si>
    <t>'2132871.0000</t>
  </si>
  <si>
    <t>FTCM2605RLTYDOZN</t>
  </si>
  <si>
    <t>Push to MOMO Charges : AC-100068155597 / 250792840589 ruban rideaux Ap 21Ez~echiel NZAYIRAMBAHO / ruban rideaux Ap</t>
  </si>
  <si>
    <t>'2132671.0000</t>
  </si>
  <si>
    <t>MTN MOBILE MONEY NEW MOBISERVE : ruban rideaux Ap / 250792840589 ruban rideaux Ap 21Ez~echiel NZAYIRAMBAHO / ruban rideaux Ap</t>
  </si>
  <si>
    <t>'48000.0000</t>
  </si>
  <si>
    <t>'2084671.0000</t>
  </si>
  <si>
    <t>FTCM2605LAXTQVRD</t>
  </si>
  <si>
    <t>Push to MOMO Charges : AC-100068155597 / 250784305994 couture rideauMichel~MBYARIYINGOMA / couture rideau</t>
  </si>
  <si>
    <t>'2084571.0000</t>
  </si>
  <si>
    <t>MTN MOBILE MONEY NEW MOBISERVE : couture rideau / 250784305994 couture rideauMichel~MBYARIYINGOMA / couture rideau</t>
  </si>
  <si>
    <t>'2081571.0000</t>
  </si>
  <si>
    <t>FTCM26055ZI9HHAL</t>
  </si>
  <si>
    <t>MTN MOBILE MONEY NEW MOBISERVE : ph the brosse / 250788750184 ph the brosseChantal~KAYITARE KAYIRANGWA / ph the brosse</t>
  </si>
  <si>
    <t>'7500.0000</t>
  </si>
  <si>
    <t>'2074071.0000</t>
  </si>
  <si>
    <t>FTCM26051OYZQQAH</t>
  </si>
  <si>
    <t>Push to MOMO Charges : AC-100068155597 / 250782650382 mo macon FideleFidele~NIRINGIYUWUHE / mo macon Fidele</t>
  </si>
  <si>
    <t>'2073971.0000</t>
  </si>
  <si>
    <t>MTN MOBILE MONEY NEW MOBISERVE : mo macon Fidele / 250782650382 mo macon FideleFidele~NIRINGIYUWUHE / mo macon Fidele</t>
  </si>
  <si>
    <t>'2063971.0000</t>
  </si>
  <si>
    <t>FTCM2605NG2MSVO2</t>
  </si>
  <si>
    <t>'2053971.0000</t>
  </si>
  <si>
    <t>FTCM2606LMZH2MZM</t>
  </si>
  <si>
    <t>Internal Transfer charges : AC-100013520385 / 1m2 carreaux 30 carree Imena sh1KI~GALI CERAMICS LTD / KIGALI CERAMICS</t>
  </si>
  <si>
    <t>'2053871.0000</t>
  </si>
  <si>
    <t>BK to BK NEW MOBISERVE : KIGALI CERAMICS / 1m2 carreaux 30 carree Imena sh1KI~GALI CERAMICS LTD / KIGALI CERAMICS</t>
  </si>
  <si>
    <t>'7600.0000</t>
  </si>
  <si>
    <t>'2046271.0000</t>
  </si>
  <si>
    <t>FTCM260655SIHKCV</t>
  </si>
  <si>
    <t>Incoming  Trsf frm local banks :  / SIBUSISIWE DUBE 000002349240 IB Loc~al Transfer Janu AP 5</t>
  </si>
  <si>
    <t>'2376271.0000</t>
  </si>
  <si>
    <t>FTCM2606VDC62EWT</t>
  </si>
  <si>
    <t>Push to MOMO Charges : AC-100068155597 / 250794105766 coupes carreaus Imena~sh1Ruzindana Diola SHIMWA / coupes carreaus</t>
  </si>
  <si>
    <t>'2376171.0000</t>
  </si>
  <si>
    <t>MTN MOBILE MONEY NEW MOBISERVE : coupes carreaus / 250794105766 coupes carreaus Imena~sh1Ruzindana Diola SHIMWA / coupes carreaus</t>
  </si>
  <si>
    <t>'2373171.0000</t>
  </si>
  <si>
    <t>FTCM2606WTPY8LDG</t>
  </si>
  <si>
    <t>Push to MOMO Charges : AC-100068155597 / 250788686761 coude colle tuyaux cim~ent inganji imenaBeatrice NYIRAMUT / coude colle tuya</t>
  </si>
  <si>
    <t>'2373071.0000</t>
  </si>
  <si>
    <t>MTN MOBILE MONEY NEW MOBISERVE : coude colle tuya / 250788686761 coude colle tuyaux cim~ent inganji imenaBeatrice NYIRAMUT / coude colle tuya</t>
  </si>
  <si>
    <t>'6200.0000</t>
  </si>
  <si>
    <t>'2366871.0000</t>
  </si>
  <si>
    <t>FTCM2606QM000O8O</t>
  </si>
  <si>
    <t>Internal Transfer charges : AC-100022911378 / Securite Janvier 2026IREME COOPERA~TIVE SECURITY amp amp amp HYG / IREME COOPERATIV</t>
  </si>
  <si>
    <t>'2366771.0000</t>
  </si>
  <si>
    <t>BK to BK NEW MOBISERVE : IREME COOPERATIV / Securite Janvier 2026IREME COOPERA~TIVE SECURITY amp amp amp HYG / IREME COOPERATIV</t>
  </si>
  <si>
    <t>'2166771.0000</t>
  </si>
  <si>
    <t>FTCM2606Y70WO5WC</t>
  </si>
  <si>
    <t>Outwards Off-Us Dmstic  Cheque :  / CYABUKOMBE ALBERT00000213ECO LAUNDR~Y AND DRY CLEANER LTD SH 2</t>
  </si>
  <si>
    <t>'2566771.0000</t>
  </si>
  <si>
    <t>FTCM2606WTTQXGI5</t>
  </si>
  <si>
    <t>'2566571.0000</t>
  </si>
  <si>
    <t>'2554571.0000</t>
  </si>
  <si>
    <t>FTCM2606MB5N5XLI</t>
  </si>
  <si>
    <t>Push to MOMO Charges : AC-100068155597 / 250784305994 coutureMichel MBYARIY~INGOMA / couture</t>
  </si>
  <si>
    <t>'2554471.0000</t>
  </si>
  <si>
    <t>MTN MOBILE MONEY NEW MOBISERVE : couture / 250784305994 coutureMichel MBYARIY~INGOMA / couture</t>
  </si>
  <si>
    <t>'2545471.0000</t>
  </si>
  <si>
    <t>FTCM2606Q0EOYNIG</t>
  </si>
  <si>
    <t>MTN MOBILE MONEY NEW MOBISERVE : food / 250788750184 foodChantal KAYITARE~KAYIRANGWA / food</t>
  </si>
  <si>
    <t>'2495471.0000</t>
  </si>
  <si>
    <t>FTCM26075I1NDOML</t>
  </si>
  <si>
    <t>Push to MOMO Charges : AC-100068155597 / 250784330069 kubaga umwana wo kwa g~akundeAlice MUJAWIMANA / kubaga umwana wo</t>
  </si>
  <si>
    <t>'2495271.0000</t>
  </si>
  <si>
    <t>MTN MOBILE MONEY NEW MOBISERVE : kubaga umwana wo / 250784330069 kubaga umwana wo kwa g~akundeAlice MUJAWIMANA / kubaga umwana wo</t>
  </si>
  <si>
    <t>'2444271.0000</t>
  </si>
  <si>
    <t>TT26007TDBXF</t>
  </si>
  <si>
    <t>Cash Deposit : OLA HASHIM/ RENT AB2 /  / OLA HASHIM/ RENT AB2 AP 2 RENT  2 MONTH UTILITIES</t>
  </si>
  <si>
    <t>'2804271.0000</t>
  </si>
  <si>
    <t>FTCM2608FFF30KKD</t>
  </si>
  <si>
    <t>Push to MOMO Charges : AC-100068155597 / 250781510235 mo plomberie InganjiE~ric NTAKIRUTIMANA / mo plomberie Ing</t>
  </si>
  <si>
    <t>'2804071.0000</t>
  </si>
  <si>
    <t>MTN MOBILE MONEY NEW MOBISERVE : mo plomberie Ing / 250781510235 mo plomberie InganjiE~ric NTAKIRUTIMANA / mo plomberie Ing</t>
  </si>
  <si>
    <t>'2786071.0000</t>
  </si>
  <si>
    <t>TT26008DTB8N</t>
  </si>
  <si>
    <t>'3116071.0000</t>
  </si>
  <si>
    <t>FTCM2608NMQSVRER</t>
  </si>
  <si>
    <t>Internal Transfer charges : AC-100013520385 / 4m2 carreaux Ap 13 InganjiKIGALI C~ERAMICS LTD / KIGALI CERAMICS</t>
  </si>
  <si>
    <t>'3115971.0000</t>
  </si>
  <si>
    <t>BK to BK NEW MOBISERVE : KIGALI CERAMICS / 4m2 carreaux Ap 13 InganjiKIGALI C~ERAMICS LTD / KIGALI CERAMICS</t>
  </si>
  <si>
    <t>'3085971.0000</t>
  </si>
  <si>
    <t>FTCM2608EJ9ZRPNM</t>
  </si>
  <si>
    <t>Push to MOMO Charges : AC-100068155597 / 250788930984 epineseJean Bosco MAN~INDERERE / epinese</t>
  </si>
  <si>
    <t>'3085871.0000</t>
  </si>
  <si>
    <t>MTN MOBILE MONEY NEW MOBISERVE : epinese / 250788930984 epineseJean Bosco MAN~INDERERE / epinese</t>
  </si>
  <si>
    <t>'3081871.0000</t>
  </si>
  <si>
    <t>FTCM26084XXVBKGT</t>
  </si>
  <si>
    <t>Push to MOMO Charges : AC-100068155597 / 250788686761 ciment ap 13Beatrice~NYIRAMUTUNZI / ciment ap 13</t>
  </si>
  <si>
    <t>'3081671.0000</t>
  </si>
  <si>
    <t>MTN MOBILE MONEY NEW MOBISERVE : ciment ap 13 / 250788686761 ciment ap 13Beatrice~NYIRAMUTUNZI / ciment ap 13</t>
  </si>
  <si>
    <t>'3058671.0000</t>
  </si>
  <si>
    <t>FT26008PFBMW</t>
  </si>
  <si>
    <t>Cheque Deposit : PASC /  -  / PASC</t>
  </si>
  <si>
    <t>'556700.0000</t>
  </si>
  <si>
    <t>'3615371.0000</t>
  </si>
  <si>
    <t>FTCM2608XEAAKOSQ</t>
  </si>
  <si>
    <t>Push to MOMO Charges : AC-100068155597 / 250782650382 mo fideleFidele NIRIN~GIYUWUHE / mo fidele</t>
  </si>
  <si>
    <t>'3615171.0000</t>
  </si>
  <si>
    <t>MTN MOBILE MONEY NEW MOBISERVE : mo fidele / 250782650382 mo fideleFidele NIRIN~GIYUWUHE / mo fidele</t>
  </si>
  <si>
    <t>'3603171.0000</t>
  </si>
  <si>
    <t>FTCM26085SSSKAOS</t>
  </si>
  <si>
    <t>Push to MOMO Charges : AC-100068155597 / 250784330069 transportAlice MUJAWI~MANA / transport</t>
  </si>
  <si>
    <t>'3603071.0000</t>
  </si>
  <si>
    <t>MTN MOBILE MONEY NEW MOBISERVE : transport / 250784330069 transportAlice MUJAWI~MANA / transport</t>
  </si>
  <si>
    <t>'3597071.0000</t>
  </si>
  <si>
    <t>FTCM2609LEPRTBK9</t>
  </si>
  <si>
    <t>Push to MOMO Charges : AC-100068155597 / 250798682072 mapapaByishimo Evalde~NTWARI / mapapa</t>
  </si>
  <si>
    <t>'3596971.0000</t>
  </si>
  <si>
    <t>MTN MOBILE MONEY NEW MOBISERVE : mapapa / 250798682072 mapapaByishimo Evalde~NTWARI / mapapa</t>
  </si>
  <si>
    <t>'3591971.0000</t>
  </si>
  <si>
    <t>FTCM2609KI1YZO4W</t>
  </si>
  <si>
    <t>Push to MOMO Charges : AC-100068155597 / 250788460843 mucanga Ap 13Philippe~NTIBIMENYA / mucanga Ap 13</t>
  </si>
  <si>
    <t>'3591871.0000</t>
  </si>
  <si>
    <t>MTN MOBILE MONEY NEW MOBISERVE : mucanga Ap 13 / 250788460843 mucanga Ap 13Philippe~NTIBIMENYA / mucanga Ap 13</t>
  </si>
  <si>
    <t>'3584371.0000</t>
  </si>
  <si>
    <t>FTCM2609HY8DKDAZ</t>
  </si>
  <si>
    <t>MTN MOBILE MONEY NEW MOBISERVE : momo pay ibikore / 250788750184 momo pay ibikoreshoCh~antal KAYITARE KAYIRANGWA / momo pay ibikore</t>
  </si>
  <si>
    <t>'3554371.0000</t>
  </si>
  <si>
    <t>FTCM2609WFSUTYOE</t>
  </si>
  <si>
    <t>Push to MOMO Charges : AC-100068155597 / 250781192754 racketeering torchon I~menaTheoneste HAKIZIMANA / racketeering tor</t>
  </si>
  <si>
    <t>'3554271.0000</t>
  </si>
  <si>
    <t>MTN MOBILE MONEY NEW MOBISERVE : racketeering tor / 250781192754 racketeering torchon I~menaTheoneste HAKIZIMANA / racketeering tor</t>
  </si>
  <si>
    <t>'3549271.0000</t>
  </si>
  <si>
    <t>FTCM26090H0KNFRR</t>
  </si>
  <si>
    <t>Push to MOMO Charges : AC-100068155597 / 250782650382 mo carreaux mur Ap 13~inganjiFidele NIRINGIYUWUHE / mo carreaux mur</t>
  </si>
  <si>
    <t>'3549071.0000</t>
  </si>
  <si>
    <t>MTN MOBILE MONEY NEW MOBISERVE : mo carreaux mur / 250782650382 mo carreaux mur Ap 13~inganjiFidele NIRINGIYUWUHE / mo carreaux mur</t>
  </si>
  <si>
    <t>'3529071.0000</t>
  </si>
  <si>
    <t>FTCM2610CYHNIS7N</t>
  </si>
  <si>
    <t>'3528871.0000</t>
  </si>
  <si>
    <t>'3493871.0000</t>
  </si>
  <si>
    <t>FTCM2610MC3ROHWZ</t>
  </si>
  <si>
    <t>Push to MOMO Charges : AC-100068155597 / 250788300153 frais macademia 2 sema~inesPascaline CYATENGWA / frais macademia</t>
  </si>
  <si>
    <t>'3493671.0000</t>
  </si>
  <si>
    <t>MTN MOBILE MONEY NEW MOBISERVE : frais macademia / 250788300153 frais macademia 2 sema~inesPascaline CYATENGWA / frais macademia</t>
  </si>
  <si>
    <t>'3473671.0000</t>
  </si>
  <si>
    <t>FTCM2610JKBKXGIH</t>
  </si>
  <si>
    <t>Push to MOMO Charges : AC-100068155597 / 250788304914 contdeuil famille Nyat~anyiOdette KAYITESI / contdeuil famill</t>
  </si>
  <si>
    <t>'3473471.0000</t>
  </si>
  <si>
    <t>MTN MOBILE MONEY NEW MOBISERVE : contdeuil famill / 250788304914 contdeuil famille Nyat~anyiOdette KAYITESI / contdeuil famill</t>
  </si>
  <si>
    <t>'3443471.0000</t>
  </si>
  <si>
    <t>FTCM26106DFZDGA1</t>
  </si>
  <si>
    <t>MTN Push to Bank :  / MTNPUSH25346934986250793108407 AHABWE AGNES LYNN AP16</t>
  </si>
  <si>
    <t>'3859471.0000</t>
  </si>
  <si>
    <t>FTCM2611J3PNLAG2</t>
  </si>
  <si>
    <t>MTN Push to Bank :  / MTNPUSH25357009430250793190257 YVAN NSENGIYUMVA AP 9</t>
  </si>
  <si>
    <t>'4189471.0000</t>
  </si>
  <si>
    <t>FTCM2611A75R7MCG</t>
  </si>
  <si>
    <t>MTN Push to Bank :  / MTNPUSH25358450300250796510555 EMADELDIN ABUBAKR AHMED AP 15   + 300 USD</t>
  </si>
  <si>
    <t>'261000.0000</t>
  </si>
  <si>
    <t>'4450471.0000</t>
  </si>
  <si>
    <t>FTCM2611M0SIDPEV</t>
  </si>
  <si>
    <t>'139460.0000</t>
  </si>
  <si>
    <t>'4311011.0000</t>
  </si>
  <si>
    <t>FTCM2612INYRYHWW</t>
  </si>
  <si>
    <t>Push to MOMO Charges : AC-100068155597 / 250784153885 irangi Ap 13Joie Clai~re UWITONZE / irangi Ap 13</t>
  </si>
  <si>
    <t>'4310811.0000</t>
  </si>
  <si>
    <t>MTN MOBILE MONEY NEW MOBISERVE : irangi Ap 13 / 250784153885 irangi Ap 13Joie Clai~re UWITONZE / irangi Ap 13</t>
  </si>
  <si>
    <t>'12200.0000</t>
  </si>
  <si>
    <t>'4298611.0000</t>
  </si>
  <si>
    <t>FTCM2612JWJTWLZU</t>
  </si>
  <si>
    <t>Push to MOMO Charges : AC-100068155597 / 250780660206 training quick book ac~counting softwareLolita UMULISA / training quick b</t>
  </si>
  <si>
    <t>'4298411.0000</t>
  </si>
  <si>
    <t>MTN MOBILE MONEY NEW MOBISERVE : training quick b / 250780660206 training quick book ac~counting softwareLolita UMULISA / training quick b</t>
  </si>
  <si>
    <t>'13500.0000</t>
  </si>
  <si>
    <t>'4284911.0000</t>
  </si>
  <si>
    <t>FTCM2612EXV7GT7H</t>
  </si>
  <si>
    <t>Push to MOMO Charges : AC-100068155597 / 250780660206 carte and transport Lo~ritaLolita UMULISA / carte and transp</t>
  </si>
  <si>
    <t>'4284811.0000</t>
  </si>
  <si>
    <t>MTN MOBILE MONEY NEW MOBISERVE : carte and transp / 250780660206 carte and transport Lo~ritaLolita UMULISA / carte and transp</t>
  </si>
  <si>
    <t>'4274811.0000</t>
  </si>
  <si>
    <t>TT26012VN4VX</t>
  </si>
  <si>
    <t>Cash Deposit : OLA HASHIM/ RENT SH4 /  / OLA HASHIM/ RENT SH4</t>
  </si>
  <si>
    <t>'4474811.0000</t>
  </si>
  <si>
    <t>FTCM2612VKQTND6Z</t>
  </si>
  <si>
    <t>Push to MOMO Charges : AC-100068155597 / 250782650382 mo carreaux menuiserie~inganjiFidele NIRINGIYUWUHE / mo carreaux menu</t>
  </si>
  <si>
    <t>'4474611.0000</t>
  </si>
  <si>
    <t>MTN MOBILE MONEY NEW MOBISERVE : mo carreaux menu / 250782650382 mo carreaux menuiserie~inganjiFidele NIRINGIYUWUHE / mo carreaux menu</t>
  </si>
  <si>
    <t>'4462611.0000</t>
  </si>
  <si>
    <t>FTCM2612RO1SOR6U</t>
  </si>
  <si>
    <t>Cash deposit-BK YACU : J amp amp GB SQU / RENT 0792622968RICHARD OLUKA / J amp amp GB SQU AP 10</t>
  </si>
  <si>
    <t>'4792611.0000</t>
  </si>
  <si>
    <t>FTCM2613PWINFQPR</t>
  </si>
  <si>
    <t>Internal Transfer charges : AC-100148285386 / bal prado paintCYABUKOMBE Moses</t>
  </si>
  <si>
    <t>'4792511.0000</t>
  </si>
  <si>
    <t>BK to BK NEW MOBISERVE : CYABUKOMBE Moses / bal prado paintCYABUKOMBE Moses</t>
  </si>
  <si>
    <t>'197000.0000</t>
  </si>
  <si>
    <t>'4595511.0000</t>
  </si>
  <si>
    <t>FTCM2613QIAV121D</t>
  </si>
  <si>
    <t>Internal Transfer charges : AC-100013520385 / 2m2 careaux mur Ap 13 inganjiKIGAL~I CERAMICS LTD / KIGALI CERAMICS</t>
  </si>
  <si>
    <t>'4595411.0000</t>
  </si>
  <si>
    <t>BK to BK NEW MOBISERVE : KIGALI CERAMICS / 2m2 careaux mur Ap 13 inganjiKIGAL~I CERAMICS LTD / KIGALI CERAMICS</t>
  </si>
  <si>
    <t>'4580411.0000</t>
  </si>
  <si>
    <t>FTCM2613HDBAOQKX</t>
  </si>
  <si>
    <t>Push to MOMO Charges : AC-100068155597 / 250782650382 transport macon fidele~Fidele NIRINGIYUWUHE / transport macon</t>
  </si>
  <si>
    <t>'20.0000</t>
  </si>
  <si>
    <t>'4580391.0000</t>
  </si>
  <si>
    <t>MTN MOBILE MONEY NEW MOBISERVE : transport macon / 250782650382 transport macon fidele~Fidele NIRINGIYUWUHE / transport macon</t>
  </si>
  <si>
    <t>'4579391.0000</t>
  </si>
  <si>
    <t>FTCM2613C1ANZFUJ</t>
  </si>
  <si>
    <t>BK to BK NEW MOBISERVE : KELVIN KAGAME / gyCYABUKOMBE ALBERT / KELVIN KAGAME AP 21</t>
  </si>
  <si>
    <t>'366000.0000</t>
  </si>
  <si>
    <t>'4945391.0000</t>
  </si>
  <si>
    <t>FTCM26137NUG2AI0</t>
  </si>
  <si>
    <t>Push to MOMO Charges : AC-100068155597 / 250783197501 Computer Manager LORIT~ARajabali B BHIMANI AMIN MOHAMMAD / Computer Manager</t>
  </si>
  <si>
    <t>'4944041.0000</t>
  </si>
  <si>
    <t>MTN MOBILE MONEY NEW MOBISERVE : Computer Manager / 250783197501 Computer Manager LORIT~ARajabali B BHIMANI AMIN MOHAMMAD / Computer Manager</t>
  </si>
  <si>
    <t>'530000.0000</t>
  </si>
  <si>
    <t>'4414041.0000</t>
  </si>
  <si>
    <t>FTCM2613YBAPXXZG</t>
  </si>
  <si>
    <t>Push to MOMO Charges : AC-100068155597 / 250783197501 computer balanceRajab~ali B BHIMANI AMIN MOHAMMAD / computer balance</t>
  </si>
  <si>
    <t>'4414021.0000</t>
  </si>
  <si>
    <t>MTN MOBILE MONEY NEW MOBISERVE : computer balance / 250783197501 computer balanceRajab~ali B BHIMANI AMIN MOHAMMAD / computer balance</t>
  </si>
  <si>
    <t>'4413021.0000</t>
  </si>
  <si>
    <t>FTCM2613L5JZ4ZHU</t>
  </si>
  <si>
    <t>MTN MOBILE MONEY NEW MOBISERVE : parkin / 250788750184 parkinChantal KAYITAR~E KAYIRANGWA / parkin</t>
  </si>
  <si>
    <t>'4412521.0000</t>
  </si>
  <si>
    <t>FTCM2613AMOJKRU5</t>
  </si>
  <si>
    <t>'4403521.0000</t>
  </si>
  <si>
    <t>FTCM2613TT0GS0FW</t>
  </si>
  <si>
    <t>'4393521.0000</t>
  </si>
  <si>
    <t>FTCM2613AWPJFFNN</t>
  </si>
  <si>
    <t>Push to MOMO Charges : AC-100068155597 / 250783986662 mo technician tv Angel~o Inganji ap 14 15Angelo MUTONIWAB / mo technician tv</t>
  </si>
  <si>
    <t>'4393321.0000</t>
  </si>
  <si>
    <t>MTN MOBILE MONEY NEW MOBISERVE : mo technician tv / 250783986662 mo technician tv Angel~o Inganji ap 14 15Angelo MUTONIWAB / mo technician tv</t>
  </si>
  <si>
    <t>'4381321.0000</t>
  </si>
  <si>
    <t>FTCM2613DJK9TQWX</t>
  </si>
  <si>
    <t>Push to MOMO Charges : AC-100068155597 / 250782650382 mo ap 13 carreaux mur~Fidele NIRINGIYUWUHE / mo ap 13 carreau</t>
  </si>
  <si>
    <t>'4381121.0000</t>
  </si>
  <si>
    <t>MTN MOBILE MONEY NEW MOBISERVE : mo ap 13 carreau / 250782650382 mo ap 13 carreaux mur~Fidele NIRINGIYUWUHE / mo ap 13 carreau</t>
  </si>
  <si>
    <t>'4369121.0000</t>
  </si>
  <si>
    <t>FTCM26137XVBQH1J</t>
  </si>
  <si>
    <t>MTN MOBILE MONEY NEW MOBISERVE : imena isuku / 250788750184 imena isukuChantal KA~YITARE KAYIRANGWA / imena isuku</t>
  </si>
  <si>
    <t>'4344121.0000</t>
  </si>
  <si>
    <t>FTCM2613818JKXAO</t>
  </si>
  <si>
    <t>MTN Push to Bank :  / MTNPUSH25410335735250795602483 YASSIN COMMSIONNAIRE MOHAMMEDZUELFAGAR AP 14    RENTS 2 MONTHS</t>
  </si>
  <si>
    <t>'5044121.0000</t>
  </si>
  <si>
    <t>FTCM2614JXZIFW8P</t>
  </si>
  <si>
    <t>Internal Transfer charges : AC-100013520385 / carreaux mur Ap 13 fenetresKIGALI~CERAMICS LTD / KIGALI CERAMICS</t>
  </si>
  <si>
    <t>'5044021.0000</t>
  </si>
  <si>
    <t>BK to BK NEW MOBISERVE : KIGALI CERAMICS / carreaux mur Ap 13 fenetresKIGALI~CERAMICS LTD / KIGALI CERAMICS</t>
  </si>
  <si>
    <t>'5029021.0000</t>
  </si>
  <si>
    <t>FTCM26144OGRFTKL</t>
  </si>
  <si>
    <t>Push to MOMO Charges : AC-100068155597 / 250783270985 kiramuruzi doudou umud~waJean D Amour MUCYO / kiramuruzi doudo</t>
  </si>
  <si>
    <t>'5028821.0000</t>
  </si>
  <si>
    <t>MTN MOBILE MONEY NEW MOBISERVE : kiramuruzi doudo / 250783270985 kiramuruzi doudou umud~waJean D Amour MUCYO / kiramuruzi doudo</t>
  </si>
  <si>
    <t>'5016821.0000</t>
  </si>
  <si>
    <t>FTCM2614NZWCJQH1</t>
  </si>
  <si>
    <t>Push to MOMO Charges : AC-100068155597 / 250798619929 dry cleaner 2 costSar~ah NTEZE / dry cleaner 2 co</t>
  </si>
  <si>
    <t>'5016721.0000</t>
  </si>
  <si>
    <t>MTN MOBILE MONEY NEW MOBISERVE : dry cleaner 2 co / 250798619929 dry cleaner 2 costSar~ah NTEZE / dry cleaner 2 co</t>
  </si>
  <si>
    <t>'5011721.0000</t>
  </si>
  <si>
    <t>FT26014G57RM</t>
  </si>
  <si>
    <t>Outward bulk Transfer On-Us  : LKWI647911402170 / 6012026 40260106I435282 / LKWI647911402170</t>
  </si>
  <si>
    <t>'5010721.0000</t>
  </si>
  <si>
    <t>FTCM26147LZOA8JF</t>
  </si>
  <si>
    <t>Push to MOMO Charges : AC-100068155597 / 250780660206 communicationsLolita~UMULISA / communications</t>
  </si>
  <si>
    <t>'5010621.0000</t>
  </si>
  <si>
    <t>MTN MOBILE MONEY NEW MOBISERVE : communications / 250780660206 communicationsLolita~UMULISA / communications</t>
  </si>
  <si>
    <t>'5000621.0000</t>
  </si>
  <si>
    <t>FTCM2614GPLIRJYR</t>
  </si>
  <si>
    <t>MTN MOBILE MONEY NEW MOBISERVE : cashpower sh9 / 250788750184 cashpower sh9Chantal~KAYITARE KAYIRANGWA / cashpower sh9</t>
  </si>
  <si>
    <t>'4980621.0000</t>
  </si>
  <si>
    <t>FTCM2614BTLXYQYF</t>
  </si>
  <si>
    <t>MTN MOBILE MONEY NEW MOBISERVE : momo achats / 250788750184 momo achatsChantal KA~YITARE KAYIRANGWA / momo achats</t>
  </si>
  <si>
    <t>'4950621.0000</t>
  </si>
  <si>
    <t>FTCM2614X226GPZH</t>
  </si>
  <si>
    <t>MTN MOBILE MONEY NEW MOBISERVE : classeurs et bic / 250788750184 classeurs et bicsChan~tal KAYITARE KAYIRANGWA / classeurs et bic</t>
  </si>
  <si>
    <t>'16000.0000</t>
  </si>
  <si>
    <t>'4934621.0000</t>
  </si>
  <si>
    <t>FTCM26140JD9WC2I</t>
  </si>
  <si>
    <t>Push to MOMO Charges : AC-100068155597 / 250782650382 mo macon careaux Ap 13~Fidele NIRINGIYUWUHE / mo macon careaux</t>
  </si>
  <si>
    <t>'4934421.0000</t>
  </si>
  <si>
    <t>MTN MOBILE MONEY NEW MOBISERVE : mo macon careaux / 250782650382 mo macon careaux Ap 13~Fidele NIRINGIYUWUHE / mo macon careaux</t>
  </si>
  <si>
    <t>'4922421.0000</t>
  </si>
  <si>
    <t>FTCM2615N5LKGQZB</t>
  </si>
  <si>
    <t>Push to MOMO Charges : AC-100068155597 / 250783809437 urukero macademiaAugu~stin SINGIRANKABO / urukero macademi</t>
  </si>
  <si>
    <t>'4922321.0000</t>
  </si>
  <si>
    <t>MTN MOBILE MONEY NEW MOBISERVE : urukero macademi / 250783809437 urukero macademiaAugu~stin SINGIRANKABO / urukero macademi</t>
  </si>
  <si>
    <t>'4917321.0000</t>
  </si>
  <si>
    <t>FTCM2615CHUGNXQH</t>
  </si>
  <si>
    <t>Push to MOMO Charges : AC-100068155597 / 250795597246 irangi ap 13Marie Ros~e UMURINGA / irangi ap 13</t>
  </si>
  <si>
    <t>'4917221.0000</t>
  </si>
  <si>
    <t>MTN MOBILE MONEY NEW MOBISERVE : irangi ap 13 / 250795597246 irangi ap 13Marie Ros~e UMURINGA / irangi ap 13</t>
  </si>
  <si>
    <t>'4912221.0000</t>
  </si>
  <si>
    <t>FTCM2615UHJSRL75</t>
  </si>
  <si>
    <t>Push to MOMO Charges : AC-100068155597 / 250782093315 indassa itinerary cade~na ingsnjiJean HABYARIMANA / indassa itinerar</t>
  </si>
  <si>
    <t>'4912021.0000</t>
  </si>
  <si>
    <t>MTN MOBILE MONEY NEW MOBISERVE : indassa itinerar / 250782093315 indassa itinerary cade~na ingsnjiJean HABYARIMANA / indassa itinerar</t>
  </si>
  <si>
    <t>'4898021.0000</t>
  </si>
  <si>
    <t>FTCM2615UC9TFHG3</t>
  </si>
  <si>
    <t>MTN MOBILE MONEY NEW MOBISERVE : Mtn  call / 250788750184 Mtn  callChantal KAYI~TARE KAYIRANGWA / Mtn  call</t>
  </si>
  <si>
    <t>'4888021.0000</t>
  </si>
  <si>
    <t>FTCM2615PDGQ3OEF</t>
  </si>
  <si>
    <t>Cash deposit-BK YACU : HARERIMANA ENOC / DEPOSIT 0788330959BERCY / HARERIMANA ENOC</t>
  </si>
  <si>
    <t>'650000.0000</t>
  </si>
  <si>
    <t>'5538021.0000</t>
  </si>
  <si>
    <t>FTCM2615MPKUWN6N</t>
  </si>
  <si>
    <t>Push to MOMO Charges : AC-100068155597 / 250782650382 mo ap 13Fidele NIRING~IYUWUHE / mo ap 13</t>
  </si>
  <si>
    <t>'5537921.0000</t>
  </si>
  <si>
    <t>MTN MOBILE MONEY NEW MOBISERVE : mo ap 13 / 250782650382 mo ap 13Fidele NIRING~IYUWUHE / mo ap 13</t>
  </si>
  <si>
    <t>'5529921.0000</t>
  </si>
  <si>
    <t>FTCM2615VAJAHREB</t>
  </si>
  <si>
    <t>Push to MOMO Charges : AC-100068155597 / 250788876054 couture robe mamanPer~petue UWADEDE / couture robe mam</t>
  </si>
  <si>
    <t>'5529721.0000</t>
  </si>
  <si>
    <t>MTN MOBILE MONEY NEW MOBISERVE : couture robe mam / 250788876054 couture robe mamanPer~petue UWADEDE / couture robe mam</t>
  </si>
  <si>
    <t>'5506721.0000</t>
  </si>
  <si>
    <t>FTCM2615T7WB7TCM</t>
  </si>
  <si>
    <t>'5496721.0000</t>
  </si>
  <si>
    <t>FTCM2616ODANQS8G</t>
  </si>
  <si>
    <t>MTN Push to Bank :  / MTNPUSH25457360003250796681084 AISHA AP 18</t>
  </si>
  <si>
    <t>'5646721.0000</t>
  </si>
  <si>
    <t>FTCM2616TW6LDVGH</t>
  </si>
  <si>
    <t>Push to MOMO Charges : AC-100068155597 / 250785122368 moustiquaire imisumari~Anne UWIZEYE / moustiquaire imi</t>
  </si>
  <si>
    <t>'5646521.0000</t>
  </si>
  <si>
    <t>MTN MOBILE MONEY NEW MOBISERVE : moustiquaire imi / 250785122368 moustiquaire imisumari~Anne UWIZEYE / moustiquaire imi</t>
  </si>
  <si>
    <t>'20320.0000</t>
  </si>
  <si>
    <t>'5626201.0000</t>
  </si>
  <si>
    <t>FTCM2616V80ZLOK3</t>
  </si>
  <si>
    <t>MTN MOBILE MONEY NEW MOBISERVE : ciseaux / 250788750184 ciseauxChantal KAYITA~RE KAYIRANGWA / ciseaux</t>
  </si>
  <si>
    <t>'5624201.0000</t>
  </si>
  <si>
    <t>'RWF1000105051006</t>
  </si>
  <si>
    <t>TT26016W47LH</t>
  </si>
  <si>
    <t>Cash Deposit : EMERALD SUPERMARKET/VRST /  / EMERALD SUPERMARKET/VRST SH 1</t>
  </si>
  <si>
    <t>'1200000.0000</t>
  </si>
  <si>
    <t>'6824201.0000</t>
  </si>
  <si>
    <t>FTCM2616FV0YGRJW</t>
  </si>
  <si>
    <t>RTGS Transfer - Charges : AC-RWF1701400801002 / Paiement Work     SJEC2024 / SJEC Ltd</t>
  </si>
  <si>
    <t>'6823201.0000</t>
  </si>
  <si>
    <t>BK to other Local Bank Transf : SJEC Ltd / Paiement Work     SJEC2024 / SJEC Ltd</t>
  </si>
  <si>
    <t>'1400000.0000</t>
  </si>
  <si>
    <t>'5423201.0000</t>
  </si>
  <si>
    <t>FTCM2616N2TNTIEO</t>
  </si>
  <si>
    <t>Push to MOMO Charges : AC-100068155597 / 250782650382 mo moustiquaires Ap 13~Fidele NIRINGIYUWUHE / mo moustiquaires</t>
  </si>
  <si>
    <t>'5423001.0000</t>
  </si>
  <si>
    <t>MTN MOBILE MONEY NEW MOBISERVE : mo moustiquaires / 250782650382 mo moustiquaires Ap 13~Fidele NIRINGIYUWUHE / mo moustiquaires</t>
  </si>
  <si>
    <t>'5411001.0000</t>
  </si>
  <si>
    <t>FTCM2617FKBCKOKL</t>
  </si>
  <si>
    <t>MTN MOBILE MONEY NEW MOBISERVE : plomberie Inganj / 250788750184 plomberie InganjiChan~tal KAYITARE KAYIRANGWA / plomberie Inganj</t>
  </si>
  <si>
    <t>'5363001.0000</t>
  </si>
  <si>
    <t>FTCM2617T3PQDTKN</t>
  </si>
  <si>
    <t>Push to MOMO Charges : AC-100068155597 / 250786378547 mo ap 18 balanceXxx N~SHIMIYIMANA / mo ap 18 balance</t>
  </si>
  <si>
    <t>'5362801.0000</t>
  </si>
  <si>
    <t>MTN MOBILE MONEY NEW MOBISERVE : mo ap 18 balance / 250786378547 mo ap 18 balanceXxx N~SHIMIYIMANA / mo ap 18 balance</t>
  </si>
  <si>
    <t>'5345301.0000</t>
  </si>
  <si>
    <t>FTCM26174OPJRG7E</t>
  </si>
  <si>
    <t>Push to MOMO Charges : AC-100068155597 / 250788522854 mo plombier Emmanuel i~nganjiEmmanuel BINANI / mo plombier Emma</t>
  </si>
  <si>
    <t>'5345101.0000</t>
  </si>
  <si>
    <t>MTN MOBILE MONEY NEW MOBISERVE : mo plombier Emma / 250788522854 mo plombier Emmanuel i~nganjiEmmanuel BINANI / mo plombier Emma</t>
  </si>
  <si>
    <t>'5328101.0000</t>
  </si>
  <si>
    <t>FTCM2618UUTAW8QG</t>
  </si>
  <si>
    <t>Push to MOMO Charges : AC-100068155597 / 250782822557 aide bibianeBibiana M~UGOREWERA / aide bibiane</t>
  </si>
  <si>
    <t>'5328001.0000</t>
  </si>
  <si>
    <t>MTN MOBILE MONEY NEW MOBISERVE : aide bibiane / 250782822557 aide bibianeBibiana M~UGOREWERA / aide bibiane</t>
  </si>
  <si>
    <t>'5500.0000</t>
  </si>
  <si>
    <t>'5322501.0000</t>
  </si>
  <si>
    <t>FTCM2618APEARYAM</t>
  </si>
  <si>
    <t>MTN MOBILE MONEY NEW MOBISERVE : internet Inganji / 250788750184 internet InganjiChant~al KAYITARE KAYIRANGWA / internet Inganji</t>
  </si>
  <si>
    <t>'5282501.0000</t>
  </si>
  <si>
    <t>FTCM2619MXIINLG0</t>
  </si>
  <si>
    <t>Push to MOMO Charges : AC-100068155597 / 250785540942 contribution Fam Cyabu~kombe deuil mama JeanneEmelyne UWA / contribution Fam</t>
  </si>
  <si>
    <t>'5282301.0000</t>
  </si>
  <si>
    <t>MTN MOBILE MONEY NEW MOBISERVE : contribution Fam / 250785540942 contribution Fam Cyabu~kombe deuil mama JeanneEmelyne UWA / contribution Fam</t>
  </si>
  <si>
    <t>'5232301.0000</t>
  </si>
  <si>
    <t>FTCM2619BKYI5CU7</t>
  </si>
  <si>
    <t>Push to MOMO Charges : AC-100068155597 / 250782650382 mo moustiquaire Ap14F~idele NIRINGIYUWUHE / mo moustiquaire</t>
  </si>
  <si>
    <t>'5232201.0000</t>
  </si>
  <si>
    <t>MTN MOBILE MONEY NEW MOBISERVE : mo moustiquaire / 250782650382 mo moustiquaire Ap14F~idele NIRINGIYUWUHE / mo moustiquaire</t>
  </si>
  <si>
    <t>'5226201.0000</t>
  </si>
  <si>
    <t>FTCM2620FKUGQFGW</t>
  </si>
  <si>
    <t>'5216201.0000</t>
  </si>
  <si>
    <t>FTCM2620RY3VHOWC</t>
  </si>
  <si>
    <t>MTN MOBILE MONEY NEW MOBISERVE : amata / 250788750184 amataChantal KAYITARE~KAYIRANGWA / amata</t>
  </si>
  <si>
    <t>'8500.0000</t>
  </si>
  <si>
    <t>'5207701.0000</t>
  </si>
  <si>
    <t>FTCM2620KH32LXJR</t>
  </si>
  <si>
    <t>MTN Push to Bank :  / MTNPUSH25550707469250795602483</t>
  </si>
  <si>
    <t>'5557701.0000</t>
  </si>
  <si>
    <t>'RWF1000108061009</t>
  </si>
  <si>
    <t>TT260213NG7R</t>
  </si>
  <si>
    <t>Cash Deposit : HERITAGE SALON/RENT /  / HERITAGE SALON/RENT</t>
  </si>
  <si>
    <t>'5657701.0000</t>
  </si>
  <si>
    <t>FTCM2621VICI7AKL</t>
  </si>
  <si>
    <t>'5627701.0000</t>
  </si>
  <si>
    <t>FTCM2621L0DQDAUS</t>
  </si>
  <si>
    <t>Push to MOMO Charges : AC-100068155597 / 250791349062 commission ap 14 Didac~eDidace MUNYAKAYANZA / commission ap 14</t>
  </si>
  <si>
    <t>'5627501.0000</t>
  </si>
  <si>
    <t>MTN MOBILE MONEY NEW MOBISERVE : commission ap 14 / 250791349062 commission ap 14 Didac~eDidace MUNYAKAYANZA / commission ap 14</t>
  </si>
  <si>
    <t>'5592501.0000</t>
  </si>
  <si>
    <t>FTCM2622OSAPCTNI</t>
  </si>
  <si>
    <t>New App BK-BK Account Transfer : NTIHEMUKA AIMABL / RentCYABUKOMBE ALBERT / NTIHEMUKA AIMABL</t>
  </si>
  <si>
    <t>'640000.0000</t>
  </si>
  <si>
    <t>'6232501.0000</t>
  </si>
  <si>
    <t>FTCM2622V8UU4KF0</t>
  </si>
  <si>
    <t>Cash deposit-BK YACU : NYIRANEZA JOSELI / HOUSE RENT 0792863253MEHAD KHALIDA~ABDALLAH ELSHAIKH / NYIRANEZA JOSELI</t>
  </si>
  <si>
    <t>'6632501.0000</t>
  </si>
  <si>
    <t>FT260225PGPZ</t>
  </si>
  <si>
    <t>Cheque Deposit : PASCALINE /  -  / PASCALINE</t>
  </si>
  <si>
    <t>'281000.0000</t>
  </si>
  <si>
    <t>'6913501.0000</t>
  </si>
  <si>
    <t>FTCM26228DSYXHMY</t>
  </si>
  <si>
    <t>MTN Push to Bank :  / MTNPUSH25600146330250793145770</t>
  </si>
  <si>
    <t>'7313501.0000</t>
  </si>
  <si>
    <t>FTCM2622ZNZZTFQO</t>
  </si>
  <si>
    <t>Push to MOMO Charges : AC-100068155597 / 250788688841 transport 500kg harico~ts sur kigaliEritier WASE / transport 500kg</t>
  </si>
  <si>
    <t>'7313401.0000</t>
  </si>
  <si>
    <t>MTN MOBILE MONEY NEW MOBISERVE : transport 500kg / 250788688841 transport 500kg harico~ts sur kigaliEritier WASE / transport 500kg</t>
  </si>
  <si>
    <t>'7303401.0000</t>
  </si>
  <si>
    <t>FTCM2623IX6USHMJ</t>
  </si>
  <si>
    <t>Push to MOMO Charges : AC-100068155597 / 250783654127 4 raclettes protection~portes  ap 9 10  entres roof topB / 4 raclettes prot</t>
  </si>
  <si>
    <t>'7303201.0000</t>
  </si>
  <si>
    <t>MTN MOBILE MONEY NEW MOBISERVE : 4 raclettes prot / 250783654127 4 raclettes protection~portes  ap 9 10  entres roof topB / 4 raclettes prot</t>
  </si>
  <si>
    <t>'7283201.0000</t>
  </si>
  <si>
    <t>FTCM2623MTWDOZ5L</t>
  </si>
  <si>
    <t>Push to MOMO Charges : AC-100068155597 / 250783272411 moto transport 4 racle~ttes Imena portes 9 10 et 2 entres / moto transport 4</t>
  </si>
  <si>
    <t>'7283181.0000</t>
  </si>
  <si>
    <t>MTN MOBILE MONEY NEW MOBISERVE : moto transport 4 / 250783272411 moto transport 4 racle~ttes Imena portes 9 10 et 2 entres / moto transport 4</t>
  </si>
  <si>
    <t>'7282681.0000</t>
  </si>
  <si>
    <t>FTCM2623XVALUY8U</t>
  </si>
  <si>
    <t>CREDIT CARD PAYMENT :  / PYT 260123 47137521810 Cyabuk~ombe Albert 250788750184</t>
  </si>
  <si>
    <t>'59314.0000</t>
  </si>
  <si>
    <t>'7223367.0000</t>
  </si>
  <si>
    <t>FTCM2623NPNHDKE2</t>
  </si>
  <si>
    <t>Push to MOMO Charges : AC-100068155597 / 250788688841 transportEritier WASE / transport</t>
  </si>
  <si>
    <t>'7223167.0000</t>
  </si>
  <si>
    <t>MTN MOBILE MONEY NEW MOBISERVE : transport / 250788688841 transportEritier WASE / transport</t>
  </si>
  <si>
    <t>'7198167.0000</t>
  </si>
  <si>
    <t>TT26023H9Z8V</t>
  </si>
  <si>
    <t>Cash Deposit : VRS/AP 15 MOHAMEDOUR /  / VRS/AP 15 MOHAMEDOUR</t>
  </si>
  <si>
    <t>'436500.0000</t>
  </si>
  <si>
    <t>'7634667.0000</t>
  </si>
  <si>
    <t>FTCM2623T3B6QQ0J</t>
  </si>
  <si>
    <t>Push to MOMO Charges : AC-100068155597 / 250788893350 montage raclettes ap9~ap 10 et 2 portes entrer rooftopEr / montage raclette</t>
  </si>
  <si>
    <t>'7634467.0000</t>
  </si>
  <si>
    <t>MTN MOBILE MONEY NEW MOBISERVE : montage raclette / 250788893350 montage raclettes ap9~ap 10 et 2 portes entrer rooftopEr / montage raclette</t>
  </si>
  <si>
    <t>'7622467.0000</t>
  </si>
  <si>
    <t>FTCM26243GUQZHFO</t>
  </si>
  <si>
    <t>MTN MOBILE MONEY NEW MOBISERVE : food kiramu</t>
  </si>
  <si>
    <t>'7617467.0000</t>
  </si>
  <si>
    <t>FTCM26249O1CUSLU</t>
  </si>
  <si>
    <t>MTN MOBILE MONEY NEW MOBISERVE : fuel prado</t>
  </si>
  <si>
    <t>'148637.0000</t>
  </si>
  <si>
    <t>'7468830.0000</t>
  </si>
  <si>
    <t>FTCM2624BEQM1UIE</t>
  </si>
  <si>
    <t>Push to MOMO Charges : AC-100068155597 / transport 50kgs</t>
  </si>
  <si>
    <t>'7468630.0000</t>
  </si>
  <si>
    <t>MTN MOBILE MONEY NEW MOBISERVE : transport 50kgs</t>
  </si>
  <si>
    <t>'7453630.0000</t>
  </si>
  <si>
    <t>FTCM2624JLID7VQU</t>
  </si>
  <si>
    <t>Push to MOMO Charges : AC-100068155597 / mo electricite s</t>
  </si>
  <si>
    <t>'7453530.0000</t>
  </si>
  <si>
    <t>MTN MOBILE MONEY NEW MOBISERVE : mo electricite s</t>
  </si>
  <si>
    <t>'7443530.0000</t>
  </si>
  <si>
    <t>FTCM2626IHEDMJNF</t>
  </si>
  <si>
    <t>MTN MOBILE MONEY NEW MOBISERVE : parkung / 250788750184 parkungChantal KAYITA~RE KAYIRANGWA / parkung</t>
  </si>
  <si>
    <t>'7433530.0000</t>
  </si>
  <si>
    <t>FTCM2626D6OR9UB8</t>
  </si>
  <si>
    <t>Internal Transfer charges : AC-100003776144 / Compte mamanKAYITARE KAYIRANGWA CH~ANTAL / KAYITARE KAYIRAN</t>
  </si>
  <si>
    <t>'7433430.0000</t>
  </si>
  <si>
    <t>BK to BK NEW MOBISERVE : KAYITARE KAYIRAN / Compte mamanKAYITARE KAYIRANGWA CH~ANTAL / KAYITARE KAYIRAN</t>
  </si>
  <si>
    <t>'6933430.0000</t>
  </si>
  <si>
    <t>FT26028G26N7</t>
  </si>
  <si>
    <t>Outward bulk Transfer On-Us  : KARE0128122569 / ASSUR KAYITARE KAYIRANGWA CHANTAL 1 / KARE0128122569</t>
  </si>
  <si>
    <t>'860686.0000</t>
  </si>
  <si>
    <t>'6072744.0000</t>
  </si>
  <si>
    <t>FTCM2628ANSSEC5U</t>
  </si>
  <si>
    <t>Push to MOMO Charges : AC-100068155597 / 250782688969 EBM gusaba enregistrem~ent iremboSeraphine NYIRAMANDWA / EBM gusaba enreg</t>
  </si>
  <si>
    <t>'6072644.0000</t>
  </si>
  <si>
    <t>MTN MOBILE MONEY NEW MOBISERVE : EBM gusaba enreg / 250782688969 EBM gusaba enregistrem~ent iremboSeraphine NYIRAMANDWA / EBM gusaba enreg</t>
  </si>
  <si>
    <t>'6062644.0000</t>
  </si>
  <si>
    <t>FTCM2628NE43AY6E</t>
  </si>
  <si>
    <t>Push to MOMO Charges : AC-100068155597 / 250791576023 Transport Kabera Miche~l a Kiramuruzi kugurisha  umurima w / Transport Kabera</t>
  </si>
  <si>
    <t>'6062444.0000</t>
  </si>
  <si>
    <t>MTN MOBILE MONEY NEW MOBISERVE : Transport Kabera / 250791576023 Transport Kabera Miche~l a Kiramuruzi kugurisha  umurima w / Transport Kabera</t>
  </si>
  <si>
    <t>'6047444.0000</t>
  </si>
  <si>
    <t>FTCM2629OOEOHEJQ</t>
  </si>
  <si>
    <t>Push to MOMO Charges : AC-100068155597 / 250780466915 gupima umurima  wa Kab~era Michel Shyaka na mushikiweJean / gupima umurima</t>
  </si>
  <si>
    <t>'6047244.0000</t>
  </si>
  <si>
    <t>MTN MOBILE MONEY NEW MOBISERVE : gupima umurima / 250780466915 gupima umurima  wa Kab~era Michel Shyaka na mushikiweJean / gupima umurima</t>
  </si>
  <si>
    <t>'6007244.0000</t>
  </si>
  <si>
    <t>FTCM2629K8Y0Y2BO</t>
  </si>
  <si>
    <t>Cash deposit-BK YACU : HARERIMANA ENOC / RENT 0791903693REEMA / HARERIMANA ENOC</t>
  </si>
  <si>
    <t>'6257244.0000</t>
  </si>
  <si>
    <t>FTCM2629UFJKEOAY</t>
  </si>
  <si>
    <t>Cash deposit-BK YACU : J amp amp GB SQU / RENT 0792622968RICHARD OLUKA / J amp amp GB SQU</t>
  </si>
  <si>
    <t>'6587244.0000</t>
  </si>
  <si>
    <t>FTCM2629UERHYL0K</t>
  </si>
  <si>
    <t>Push to MOMO Charges : AC-100068155597 / 250788224551 notaire parcele Kabera~shyaka na mushikiweGrace UWINGENE / notaire parcele</t>
  </si>
  <si>
    <t>'6587144.0000</t>
  </si>
  <si>
    <t>MTN MOBILE MONEY NEW MOBISERVE : notaire parcele / 250788224551 notaire parcele Kabera~shyaka na mushikiweGrace UWINGENE / notaire parcele</t>
  </si>
  <si>
    <t>'6577144.0000</t>
  </si>
  <si>
    <t>FTCM2629QHNXD9PS</t>
  </si>
  <si>
    <t>Push to MOMO Charges : AC-100068155597 / 250791576023 avance sur parcel kira~muruziMichel KABERA / avance sur parce</t>
  </si>
  <si>
    <t>'6575794.0000</t>
  </si>
  <si>
    <t>MTN MOBILE MONEY NEW MOBISERVE : avance sur parce / 250791576023 avance sur parcel kira~muruziMichel KABERA / avance sur parce</t>
  </si>
  <si>
    <t>'6325794.0000</t>
  </si>
  <si>
    <t>FTCM26306VVS63BZ</t>
  </si>
  <si>
    <t>MTN MOBILE MONEY NEW MOBISERVE : food Bashana Kay / 250788750184 food Bashana KayonzaC~hantal KAYITARE KAYIRANGWA / food Bashana Kay</t>
  </si>
  <si>
    <t>'6295794.0000</t>
  </si>
  <si>
    <t>FTCM26307SVUKG1H</t>
  </si>
  <si>
    <t>MTN MOBILE MONEY NEW MOBISERVE : communication ma / 250788750184 communication mamaCha~ntal KAYITARE KAYIRANGWA / communication ma</t>
  </si>
  <si>
    <t>'6285794.0000</t>
  </si>
  <si>
    <t>FTCM26300O9FQFWC</t>
  </si>
  <si>
    <t>Push to MOMO Charges : AC-100068155597 / 250788844364 2 upi kiramuruzi prtin~gJeanne d Arc NYIRABIHOGO / 2 upi kiramuruzi</t>
  </si>
  <si>
    <t>'6285694.0000</t>
  </si>
  <si>
    <t>MTN MOBILE MONEY NEW MOBISERVE : 2 upi kiramuruzi / 250788844364 2 upi kiramuruzi prtin~gJeanne d Arc NYIRABIHOGO / 2 upi kiramuruzi</t>
  </si>
  <si>
    <t>'6279694.0000</t>
  </si>
  <si>
    <t>FTCM2630JAXCIDO6</t>
  </si>
  <si>
    <t>Bill Payment RRA : AC-100075349445 / 14413229 CYABUKOMBE ALBERT  31364~1299681687  108734414  304  LEVY ON~MOTOR VEHICLE  23  GASABO TC  2655</t>
  </si>
  <si>
    <t>'6279494.0000</t>
  </si>
  <si>
    <t>RRA NEW MOBISERVE :  / 14413229 CYABUKOMBE ALBERT  31364~1299681687  108734414  304  LEVY ON~MOTOR VEHICLE  23  GASABO TC  2655</t>
  </si>
  <si>
    <t>'31364.0000</t>
  </si>
  <si>
    <t>'6248130.0000</t>
  </si>
  <si>
    <t>TT26030KDXL1</t>
  </si>
  <si>
    <t>Cash Deposit : AP 20/RADWAN HATHAM /  / AP 20/RADWAN HATHAM</t>
  </si>
  <si>
    <t>'1090000.0000</t>
  </si>
  <si>
    <t>'7338130.0000</t>
  </si>
  <si>
    <t>FTCM2630WLOTDZWH</t>
  </si>
  <si>
    <t>Push to MOMO Charges : AC-100068155597 / 250780546226 bible LiamAlex NDAYAM~BAJE / bible Liam</t>
  </si>
  <si>
    <t>'7337930.0000</t>
  </si>
  <si>
    <t>MTN MOBILE MONEY NEW MOBISERVE : bible Liam / 250780546226 bible LiamAlex NDAYAM~BAJE / bible Liam</t>
  </si>
  <si>
    <t>'7324930.0000</t>
  </si>
  <si>
    <t>FT26031FKNFM</t>
  </si>
  <si>
    <t>'5184826.0000</t>
  </si>
  <si>
    <t>'2140104.0000</t>
  </si>
  <si>
    <t>FTCM2631KGTVVES1</t>
  </si>
  <si>
    <t>Push to MOMO Charges : AC-100068155597 / commission Ap 15</t>
  </si>
  <si>
    <t>'2139904.0000</t>
  </si>
  <si>
    <t>MTN MOBILE MONEY NEW MOBISERVE : commission Ap 15</t>
  </si>
  <si>
    <t>'2124904.0000</t>
  </si>
  <si>
    <t>FTCM2631SR5X3EAX</t>
  </si>
  <si>
    <t>Push to MOMO Charges : AC-100068155597 / Imena cot umunsi</t>
  </si>
  <si>
    <t>'2124704.0000</t>
  </si>
  <si>
    <t>MTN MOBILE MONEY NEW MOBISERVE : Imena cot umunsi</t>
  </si>
  <si>
    <t>'2109704.0000</t>
  </si>
  <si>
    <t>FTCM2631EMOHHS5Y</t>
  </si>
  <si>
    <t>Push to MOMO Charges : AC-100068155597 / robinet ap 20 cy</t>
  </si>
  <si>
    <t>'2109504.0000</t>
  </si>
  <si>
    <t>MTN MOBILE MONEY NEW MOBISERVE : robinet ap 20 cy</t>
  </si>
  <si>
    <t>'23500.0000</t>
  </si>
  <si>
    <t>'2086004.0000</t>
  </si>
  <si>
    <t>FTCM2631EHEEKYNQ</t>
  </si>
  <si>
    <t>Internal Transfer charges : AC-100191878161 / Jean De Dieu HAK</t>
  </si>
  <si>
    <t>'2085904.0000</t>
  </si>
  <si>
    <t>BK to BK NEW MOBISERVE : Jean De Dieu HAK</t>
  </si>
  <si>
    <t>'2005904.0000</t>
  </si>
  <si>
    <t>FTCM26313YSEJUOQ</t>
  </si>
  <si>
    <t>Push to MOMO Charges : AC-100068155597 / 2 shutoff toilet</t>
  </si>
  <si>
    <t>'2005704.0000</t>
  </si>
  <si>
    <t>MTN MOBILE MONEY NEW MOBISERVE : 2 shutoff toilet</t>
  </si>
  <si>
    <t>'1977704.0000</t>
  </si>
  <si>
    <t>FTCM2631UAURSVMD</t>
  </si>
  <si>
    <t>MTN MOBILE MONEY NEW MOBISERVE : momo mama</t>
  </si>
  <si>
    <t>'1957704.0000</t>
  </si>
  <si>
    <t>FTCM2631N605O7YD</t>
  </si>
  <si>
    <t>Push to MOMO Charges : AC-100068155597 / mo plomberie ap</t>
  </si>
  <si>
    <t>'1957604.0000</t>
  </si>
  <si>
    <t>MTN MOBILE MONEY NEW MOBISERVE : mo plomberie ap</t>
  </si>
  <si>
    <t>'1947604.0000</t>
  </si>
  <si>
    <t>FTCM2631ZJQFDYSE</t>
  </si>
  <si>
    <t>Push to MOMO Charges : AC-100068155597 / 250790419946 sal isuku Imena Inaza~AlphonsineAlphonsine INEZA / sal isuku Imena</t>
  </si>
  <si>
    <t>'1947404.0000</t>
  </si>
  <si>
    <t>MTN MOBILE MONEY NEW MOBISERVE : sal isuku Imena / 250790419946 sal isuku Imena Inaza~AlphonsineAlphonsine INEZA / sal isuku Imena</t>
  </si>
  <si>
    <t>'1887404.0000</t>
  </si>
  <si>
    <t>FTCM2631XDSGHRYG</t>
  </si>
  <si>
    <t>Push to MOMO Charges : AC-100068155597 / 250788688841 kiramuruzi abakoziEri~tier WASE / kiramuruzi abako</t>
  </si>
  <si>
    <t>'1886054.0000</t>
  </si>
  <si>
    <t>MTN MOBILE MONEY NEW MOBISERVE : kiramuruzi abako / 250788688841 kiramuruzi abakoziEri~tier WASE / kiramuruzi abako</t>
  </si>
  <si>
    <t>'557000.0000</t>
  </si>
  <si>
    <t>'1329054.0000</t>
  </si>
  <si>
    <t>FTCM2631G0AKZRJL</t>
  </si>
  <si>
    <t>Push to MOMO Charges : AC-100068155597 / sal Hakiza gukur</t>
  </si>
  <si>
    <t>'1328854.0000</t>
  </si>
  <si>
    <t>MTN MOBILE MONEY NEW MOBISERVE : sal Hakiza gukur</t>
  </si>
  <si>
    <t>'1243854.0000</t>
  </si>
  <si>
    <t>FTCM2631LWTVT8FP</t>
  </si>
  <si>
    <t>Push to MOMO Charges : AC-100068155597 / sal Lorita</t>
  </si>
  <si>
    <t>'1242504.0000</t>
  </si>
  <si>
    <t>MTN MOBILE MONEY NEW MOBISERVE : sal Lorita</t>
  </si>
  <si>
    <t>'942504.0000</t>
  </si>
  <si>
    <t>FTCM2631B0J6CKNU</t>
  </si>
  <si>
    <t>Push to MOMO Charges : AC-100068155597 / Cyabukombe speci</t>
  </si>
  <si>
    <t>'942404.0000</t>
  </si>
  <si>
    <t>MTN MOBILE MONEY NEW MOBISERVE : Cyabukombe speci</t>
  </si>
  <si>
    <t>'932404.0000</t>
  </si>
  <si>
    <t>FTCM2632AFGTTZE1</t>
  </si>
  <si>
    <t>'932304.0000</t>
  </si>
  <si>
    <t>'174298.0000</t>
  </si>
  <si>
    <t>'758006.0000</t>
  </si>
  <si>
    <t>FTCM2632YHYLR4XD</t>
  </si>
  <si>
    <t>Incoming  Trsf frm local banks :  / NCUBE CHIDOCHASHE SITHABISO 0000023~92234 MB Local Transfer Feb AP 8</t>
  </si>
  <si>
    <t>'1088006.0000</t>
  </si>
  <si>
    <t>FTCM2632B9DRXZIT</t>
  </si>
  <si>
    <t>Incoming  Trsf frm local banks :  / SIBUSISIWE DUBE 000002392235 IB Loc~al Transfer Febr AP 5</t>
  </si>
  <si>
    <t>'1418006.0000</t>
  </si>
  <si>
    <t>FTCM2632WPKBSWDE</t>
  </si>
  <si>
    <t>MTN Push to Bank :  / MTNPUSH25817088817250788750184</t>
  </si>
  <si>
    <t>'1718006.0000</t>
  </si>
  <si>
    <t>FTCM2632MUHKFQG5</t>
  </si>
  <si>
    <t>MTN MOBILE MONEY NEW MOBISERVE : cashpower sp 17 / 250788750184 cashpower sp 17Chanta~l KAYITARE KAYIRANGWA / cashpower sp 17</t>
  </si>
  <si>
    <t>'1688006.0000</t>
  </si>
  <si>
    <t>FTCM2633VUZM7KNM</t>
  </si>
  <si>
    <t>Push to MOMO Charges : AC-100068155597 / 250782732282 4 solar panels Imena I~nganjiAlice INGABIRE / 4 solar panels I</t>
  </si>
  <si>
    <t>'1686656.0000</t>
  </si>
  <si>
    <t>MTN MOBILE MONEY NEW MOBISERVE : 4 solar panels I / 250782732282 4 solar panels Imena I~nganjiAlice INGABIRE / 4 solar panels I</t>
  </si>
  <si>
    <t>'316500.0000</t>
  </si>
  <si>
    <t>'1370156.0000</t>
  </si>
  <si>
    <t>FTCM2633ITXOAE4Y</t>
  </si>
  <si>
    <t>Push to MOMO Charges : AC-100068155597 / 250785129504 vis et machine solar p~anelsJean d Amour HABIYAKARE / vis et machine s</t>
  </si>
  <si>
    <t>'1370056.0000</t>
  </si>
  <si>
    <t>MTN MOBILE MONEY NEW MOBISERVE : vis et machine s / 250785129504 vis et machine solar p~anelsJean d Amour HABIYAKARE / vis et machine s</t>
  </si>
  <si>
    <t>'1361056.0000</t>
  </si>
  <si>
    <t>FTCM2633RCTG2PGZ</t>
  </si>
  <si>
    <t>'153577.0000</t>
  </si>
  <si>
    <t>'1207479.0000</t>
  </si>
  <si>
    <t>FTCM2633IZKWHLQM</t>
  </si>
  <si>
    <t>'1127479.0000</t>
  </si>
  <si>
    <t>FTCM2633FVP6VB0L</t>
  </si>
  <si>
    <t>Push to MOMO Charges : AC-100068155597 / 250785129504 mo electriciteJean d~Amour HABIYAKARE / mo electricite</t>
  </si>
  <si>
    <t>'1127279.0000</t>
  </si>
  <si>
    <t>MTN MOBILE MONEY NEW MOBISERVE : mo electricite / 250785129504 mo electriciteJean d~Amour HABIYAKARE / mo electricite</t>
  </si>
  <si>
    <t>'1107279.0000</t>
  </si>
  <si>
    <t>FTCM2634T411X1GZ</t>
  </si>
  <si>
    <t>New App BK-BK Account Transfer : LIONEL NGENDAKUR / Loyer FebruaryCYABUKOMBE ALBERT / LIONEL NGENDAKUR</t>
  </si>
  <si>
    <t>'1018150.0000</t>
  </si>
  <si>
    <t>'2125429.0000</t>
  </si>
  <si>
    <t>FT26034S99PS</t>
  </si>
  <si>
    <t>Cheque Deposit : PSCLN CYTNGW /  -  / PSCLN CYTNGW</t>
  </si>
  <si>
    <t>'231400.0000</t>
  </si>
  <si>
    <t>'2356829.0000</t>
  </si>
  <si>
    <t>FTCM2634XUQLV3HB</t>
  </si>
  <si>
    <t>Push to MOMO Charges : AC-100068155597 / 250785129504 moJean d Amour HABIYA~KARE / mo</t>
  </si>
  <si>
    <t>'2356629.0000</t>
  </si>
  <si>
    <t>MTN MOBILE MONEY NEW MOBISERVE : mo / 250785129504 moJean d Amour HABIYA~KARE / mo</t>
  </si>
  <si>
    <t>'2341629.0000</t>
  </si>
  <si>
    <t>FTCM2635NF6E1BA6</t>
  </si>
  <si>
    <t>Push to MOMO Charges : AC-100068155597 / 250788416899 vererinaire kuvurainka~yabyayePatrick NIYONZIMA / vererinaire kuvu</t>
  </si>
  <si>
    <t>'2341429.0000</t>
  </si>
  <si>
    <t>MTN MOBILE MONEY NEW MOBISERVE : vererinaire kuvu / 250788416899 vererinaire kuvurainka~yabyayePatrick NIYONZIMA / vererinaire kuvu</t>
  </si>
  <si>
    <t>'14700.0000</t>
  </si>
  <si>
    <t>'2326729.0000</t>
  </si>
  <si>
    <t>FTCM26359C5XOKXY</t>
  </si>
  <si>
    <t>'3326729.0000</t>
  </si>
  <si>
    <t>FTCM2635QQVXRUBL</t>
  </si>
  <si>
    <t>BK to BK NEW MOBISERVE : KELVIN KAGAME</t>
  </si>
  <si>
    <t>'3692729.0000</t>
  </si>
  <si>
    <t>FTCM2635U2FO6CLY</t>
  </si>
  <si>
    <t xml:space="preserve">Outwards Off-Us Dmstic  Cheque : </t>
  </si>
  <si>
    <t>'4092729.0000</t>
  </si>
  <si>
    <t>FTCM2635MLFYNPX6</t>
  </si>
  <si>
    <t>Push to MOMO Charges : AC-100068155597 / 250788513642 mission johnJohn Kayi~tare Mukotanyi / mission john</t>
  </si>
  <si>
    <t>'4092529.0000</t>
  </si>
  <si>
    <t>MTN MOBILE MONEY NEW MOBISERVE : mission john / 250788513642 mission johnJohn Kayi~tare Mukotanyi / mission john</t>
  </si>
  <si>
    <t>'4072529.0000</t>
  </si>
  <si>
    <t>FTCM2635IQ54QH93</t>
  </si>
  <si>
    <t>MTN MOBILE MONEY NEW MOBISERVE : lamps inganji / 250788750184 lamps inganjiChantal~KAYITARE KAYIRANGWA / lamps inganji</t>
  </si>
  <si>
    <t>'4062529.0000</t>
  </si>
  <si>
    <t>FTCM26367IFODZRX</t>
  </si>
  <si>
    <t>MTN Push to Bank :  / MTNPUSH25885656260250796895100</t>
  </si>
  <si>
    <t>'380000.0000</t>
  </si>
  <si>
    <t>'4442529.0000</t>
  </si>
  <si>
    <t>FTCM2636IGFZKT5D</t>
  </si>
  <si>
    <t>MTN MOBILE MONEY NEW MOBISERVE : cashpower Inganj / 250788750184 cashpower InganjiChan~tal KAYITARE KAYIRANGWA / cashpower Inganj</t>
  </si>
  <si>
    <t>'4402529.0000</t>
  </si>
  <si>
    <t>FTCM2636EDKSAT00</t>
  </si>
  <si>
    <t>MTN MOBILE MONEY NEW MOBISERVE : fer Ap 17 kettle / 250788750184 fer Ap 17 kettle ap 20~Chantal KAYITARE KAYIRANGWA / fer Ap 17 kettle</t>
  </si>
  <si>
    <t>'34000.0000</t>
  </si>
  <si>
    <t>'4368529.0000</t>
  </si>
  <si>
    <t>FT26036VQBHJ</t>
  </si>
  <si>
    <t>Outward bulk Transfer On-Us  : LKWI65711727296 / 04022026 40260204I440862 / LKWI65711727296</t>
  </si>
  <si>
    <t>'4367529.0000</t>
  </si>
  <si>
    <t>FT260369DHK6</t>
  </si>
  <si>
    <t>Outward bulk Transfer On-Us  : LKWI65721728296 / 04022026 40260204I440862 / LKWI65721728296</t>
  </si>
  <si>
    <t>'180.0000</t>
  </si>
  <si>
    <t>'4367349.0000</t>
  </si>
  <si>
    <t>FTCM26361ILHTDKK</t>
  </si>
  <si>
    <t>New App BK-BK Account Transfer : ABIYINGOMA CHRIS / Rent payment February AP11CYABUKOM~BE ALBERT / ABIYINGOMA CHRIS</t>
  </si>
  <si>
    <t>'4697349.0000</t>
  </si>
  <si>
    <t>FTCM2637YSWSGGTZ</t>
  </si>
  <si>
    <t>Push to MOMO Charges : AC-100068155597 / 250782184220 food kiramuruziValens~BENIMANA / food kiramuruzi</t>
  </si>
  <si>
    <t>'4697149.0000</t>
  </si>
  <si>
    <t>MTN MOBILE MONEY NEW MOBISERVE : food kiramuruzi / 250782184220 food kiramuruziValens~BENIMANA / food kiramuruzi</t>
  </si>
  <si>
    <t>'13200.0000</t>
  </si>
  <si>
    <t>'4683949.0000</t>
  </si>
  <si>
    <t>FTCM2637P5BMLHIB</t>
  </si>
  <si>
    <t>Push to MOMO Charges : AC-100068155597 / 250787527948 survey land kanyabugan~zaDieudonne ISHIMWE / survey land kany</t>
  </si>
  <si>
    <t>'4683749.0000</t>
  </si>
  <si>
    <t>MTN MOBILE MONEY NEW MOBISERVE : survey land kany / 250787527948 survey land kanyabugan~zaDieudonne ISHIMWE / survey land kany</t>
  </si>
  <si>
    <t>'4663749.0000</t>
  </si>
  <si>
    <t>FTCM26395U3NTUET</t>
  </si>
  <si>
    <t>MTN Push to Bank :  / MTNPUSH25967101379250796395722</t>
  </si>
  <si>
    <t>'4993749.0000</t>
  </si>
  <si>
    <t>FTCM2640W1YMXV2M</t>
  </si>
  <si>
    <t>MTN Push to Bank :  / MTNPUSH25976691908250795593803</t>
  </si>
  <si>
    <t>'5293749.0000</t>
  </si>
  <si>
    <t>FTCM2640UQNS6HTM</t>
  </si>
  <si>
    <t>MTN Push to Bank :  / MTNPUSH25976721306250795593803</t>
  </si>
  <si>
    <t>'5323749.0000</t>
  </si>
  <si>
    <t>TT26040F8PPB</t>
  </si>
  <si>
    <t>Cash Deposit : ARWA MOHAMMED AHMED/RENT /  / ARWA MOHAMMED AHMED/RENT</t>
  </si>
  <si>
    <t>'5653749.0000</t>
  </si>
  <si>
    <t>FTCM2640HBIVLERB</t>
  </si>
  <si>
    <t>Push to MOMO Charges : AC-100068155597 / 250783876606 mecanicien prado fenet~reElias KWIBUKA / mecanicien prado</t>
  </si>
  <si>
    <t>'5653649.0000</t>
  </si>
  <si>
    <t>MTN MOBILE MONEY NEW MOBISERVE : mecanicien prado / 250783876606 mecanicien prado fenet~reElias KWIBUKA / mecanicien prado</t>
  </si>
  <si>
    <t>'5643649.0000</t>
  </si>
  <si>
    <t>TT26040WKSQT</t>
  </si>
  <si>
    <t>Cash Deposit : OLA HASHIM/ RENT AB2 /  / OLA HASHIM/ RENT AB2</t>
  </si>
  <si>
    <t>'5973649.0000</t>
  </si>
  <si>
    <t>FTCM2640ICZQPMFN</t>
  </si>
  <si>
    <t>Push to MOMO Charges : AC-100068155597 / 250785091705 delimitation upi 19000~Rugero Joseph MURINZI / delimitation upi</t>
  </si>
  <si>
    <t>'5973449.0000</t>
  </si>
  <si>
    <t>MTN MOBILE MONEY NEW MOBISERVE : delimitation upi / 250785091705 delimitation upi 19000~Rugero Joseph MURINZI / delimitation upi</t>
  </si>
  <si>
    <t>'5953449.0000</t>
  </si>
  <si>
    <t>FTCM2641N4FGIBCC</t>
  </si>
  <si>
    <t>Cash deposit-BK YACU : TUCLEM FAMILY LT / PAYMENT 0793190257NSENGIYUMVA YVAN / TUCLEM FAMILY LT</t>
  </si>
  <si>
    <t>'6153449.0000</t>
  </si>
  <si>
    <t>FTCM2641KXYICB50</t>
  </si>
  <si>
    <t>IB Account transfer : Savings Account / approvisionnement compte Savings A~ccount / Savings Account</t>
  </si>
  <si>
    <t>'3653449.0000</t>
  </si>
  <si>
    <t>FTCM2641VNWBENQA</t>
  </si>
  <si>
    <t>Push to MOMO Charges : AC-100068155597 / 250787205265 notaire upi 4889 kiram~uruziYah Olivier MERCI / notaire upi 4889</t>
  </si>
  <si>
    <t>'3653349.0000</t>
  </si>
  <si>
    <t>MTN MOBILE MONEY NEW MOBISERVE : notaire upi 4889 / 250787205265 notaire upi 4889 kiram~uruziYah Olivier MERCI / notaire upi 4889</t>
  </si>
  <si>
    <t>'3645849.0000</t>
  </si>
  <si>
    <t>FTCM2642GAFCVJKS</t>
  </si>
  <si>
    <t>'3775849.0000</t>
  </si>
  <si>
    <t>FTCM2642FKOO1KVR</t>
  </si>
  <si>
    <t>Push to MOMO Charges : AC-100068155597 / 250781462559 kiramuruzi imiramaGra~ce MUKANKOMEJE / kiramuruzi imira</t>
  </si>
  <si>
    <t>'3775749.0000</t>
  </si>
  <si>
    <t>MTN MOBILE MONEY NEW MOBISERVE : kiramuruzi imira / 250781462559 kiramuruzi imiramaGra~ce MUKANKOMEJE / kiramuruzi imira</t>
  </si>
  <si>
    <t>'3772949.0000</t>
  </si>
  <si>
    <t>FTCM26425X5PYCIK</t>
  </si>
  <si>
    <t>Push to MOMO Charges : AC-100068155597 / 250782002220 kiramuruzi hope fil tr~ansport motoAlphonse MUTABAZI / kiramuruzi hope</t>
  </si>
  <si>
    <t>'3772749.0000</t>
  </si>
  <si>
    <t>MTN MOBILE MONEY NEW MOBISERVE : kiramuruzi hope / 250782002220 kiramuruzi hope fil tr~ansport motoAlphonse MUTABAZI / kiramuruzi hope</t>
  </si>
  <si>
    <t>'10300.0000</t>
  </si>
  <si>
    <t>'3762449.0000</t>
  </si>
  <si>
    <t>FTCM26422ARAUTBX</t>
  </si>
  <si>
    <t>Cash deposit-BK YACU : B INNOVA SHOP Lt / AVANCE YA LOYER 0783856456AHMED HA~SSAN ALADIN / B INNOVA SHOP Lt</t>
  </si>
  <si>
    <t>'4262449.0000</t>
  </si>
  <si>
    <t>FTCM26426WIC4UBB</t>
  </si>
  <si>
    <t>'139783.0000</t>
  </si>
  <si>
    <t>'4122666.0000</t>
  </si>
  <si>
    <t>TT26043WNX4L</t>
  </si>
  <si>
    <t>Cash Deposit : OLA HASHIM/ RENT /  / OLA HASHIM/ RENT</t>
  </si>
  <si>
    <t>'4322666.0000</t>
  </si>
  <si>
    <t>FTCM2643NODWPPZT</t>
  </si>
  <si>
    <t>Push to MOMO Charges : AC-100068155597 / 250787152796 Inganji Umutekano Janu~ary and February 2026Yvette MUKABA / Inganji Umutekan</t>
  </si>
  <si>
    <t>'4322466.0000</t>
  </si>
  <si>
    <t>MTN MOBILE MONEY NEW MOBISERVE : Inganji Umutekan / 250787152796 Inganji Umutekano Janu~ary and February 2026Yvette MUKABA / Inganji Umutekan</t>
  </si>
  <si>
    <t>'4304466.0000</t>
  </si>
  <si>
    <t>FTCM2643RJKMOWJL</t>
  </si>
  <si>
    <t>Push to MOMO Charges : AC-100068155597 / 250796510555 refund 150k Ap 15EMAD~ELDIN MOHAMEDNOUR ABUBAKR AHMED / refund 150k Ap 1</t>
  </si>
  <si>
    <t>'4304266.0000</t>
  </si>
  <si>
    <t>MTN MOBILE MONEY NEW MOBISERVE : refund 150k Ap 1 / 250796510555 refund 150k Ap 15EMAD~ELDIN MOHAMEDNOUR ABUBAKR AHMED / refund 150k Ap 1</t>
  </si>
  <si>
    <t>'4154266.0000</t>
  </si>
  <si>
    <t>FTCM2644CLKZB7X9</t>
  </si>
  <si>
    <t>MTN Push to Bank :  / MTNPUSH26058377167250781464264</t>
  </si>
  <si>
    <t>'1300000.0000</t>
  </si>
  <si>
    <t>'5454266.0000</t>
  </si>
  <si>
    <t>FTCM2644LDYSPQ2K</t>
  </si>
  <si>
    <t>Push to MOMO Charges : AC-100068155597 / 250780660206 communication internet~and callLolita UMULISA / communication in</t>
  </si>
  <si>
    <t>'5454166.0000</t>
  </si>
  <si>
    <t>MTN MOBILE MONEY NEW MOBISERVE : communication in / 250780660206 communication internet~and callLolita UMULISA / communication in</t>
  </si>
  <si>
    <t>'5444166.0000</t>
  </si>
  <si>
    <t>FTCM264433D0MJHX</t>
  </si>
  <si>
    <t>Push to MOMO Charges : AC-100068155597 / 250783856456 refund Avance loyer Ap~15 Aladin anulation contractAHMED / refund Avance lo</t>
  </si>
  <si>
    <t>'5442816.0000</t>
  </si>
  <si>
    <t>MTN MOBILE MONEY NEW MOBISERVE : refund Avance lo / 250783856456 refund Avance loyer Ap~15 Aladin anulation contractAHMED / refund Avance lo</t>
  </si>
  <si>
    <t>'498650.0000</t>
  </si>
  <si>
    <t>'4944166.0000</t>
  </si>
  <si>
    <t>FTCM2644PJ7K4FYE</t>
  </si>
  <si>
    <t>Push to MOMO Charges : AC-100068155597 / 250783809437 kiramuruzi 2 majaguAu~gustin SINGIRANKABO / kiramuruzi 2 maj</t>
  </si>
  <si>
    <t>'4943966.0000</t>
  </si>
  <si>
    <t>MTN MOBILE MONEY NEW MOBISERVE : kiramuruzi 2 maj / 250783809437 kiramuruzi 2 majaguAu~gustin SINGIRANKABO / kiramuruzi 2 maj</t>
  </si>
  <si>
    <t>'4932966.0000</t>
  </si>
  <si>
    <t>FTCM2645WPGOFDAL</t>
  </si>
  <si>
    <t>Push to MOMO Charges : AC-100068155597 / 250788688841 Kiramuruzu transport m~academiaEritier WASE / Kiramuruzu trans</t>
  </si>
  <si>
    <t>'4932766.0000</t>
  </si>
  <si>
    <t>MTN MOBILE MONEY NEW MOBISERVE : Kiramuruzu trans / 250788688841 Kiramuruzu transport m~academiaEritier WASE / Kiramuruzu trans</t>
  </si>
  <si>
    <t>'4896766.0000</t>
  </si>
  <si>
    <t>FTCM2647FZDNEMLH</t>
  </si>
  <si>
    <t>Push to MOMO Charges : AC-100068155597 / 250780326879 kiramuruzi soins ikima~saJean MUNYANEZA / kiramuruzi soins</t>
  </si>
  <si>
    <t>'4896566.0000</t>
  </si>
  <si>
    <t>MTN MOBILE MONEY NEW MOBISERVE : kiramuruzi soins / 250780326879 kiramuruzi soins ikima~saJean MUNYANEZA / kiramuruzi soins</t>
  </si>
  <si>
    <t>'4884566.0000</t>
  </si>
  <si>
    <t>FTCM2647RMEVJTFE</t>
  </si>
  <si>
    <t>Push to MOMO Charges : AC-100068155597 / 250783270985 kira imiti kuvura ikim~asaJean D Amour MUCYO / kira imiti kuvur</t>
  </si>
  <si>
    <t>'4884366.0000</t>
  </si>
  <si>
    <t>MTN MOBILE MONEY NEW MOBISERVE : kira imiti kuvur / 250783270985 kira imiti kuvura ikim~asaJean D Amour MUCYO / kira imiti kuvur</t>
  </si>
  <si>
    <t>'17800.0000</t>
  </si>
  <si>
    <t>'4866566.0000</t>
  </si>
  <si>
    <t>FTCM2647UF9ITMGS</t>
  </si>
  <si>
    <t>Internal Transfer charges : AC-100012137553 / kiramuruzi Assurance 7 vachesBK GE~N INS CO  PREMIUM ACCOUNT / BK GEN INS CO  P</t>
  </si>
  <si>
    <t>'4866466.0000</t>
  </si>
  <si>
    <t>BK to BK NEW MOBISERVE : BK GEN INS CO  P / kiramuruzi Assurance 7 vachesBK GE~N INS CO  PREMIUM ACCOUNT / BK GEN INS CO  P</t>
  </si>
  <si>
    <t>'257400.0000</t>
  </si>
  <si>
    <t>'4609066.0000</t>
  </si>
  <si>
    <t>FTCM26478DIBVJCH</t>
  </si>
  <si>
    <t>Internal Transfer charges : AC-100022911378 / IREME COOPERATIV</t>
  </si>
  <si>
    <t>'4608966.0000</t>
  </si>
  <si>
    <t>IB Account transfer : IREME COOPERATIV</t>
  </si>
  <si>
    <t>'4408966.0000</t>
  </si>
  <si>
    <t>FT260481YLXT</t>
  </si>
  <si>
    <t>Cheque Deposit : PASCALINE CY /  -  / PASCALINE CY</t>
  </si>
  <si>
    <t>'289800.0000</t>
  </si>
  <si>
    <t>'4698766.0000</t>
  </si>
  <si>
    <t>FTCM2648UXW6TQXM</t>
  </si>
  <si>
    <t>MTN MOBILE MONEY NEW MOBISERVE : solar lump Injan / 250788750184 solar lump InjanjiCha~ntal KAYITARE KAYIRANGWA / solar lump Injan</t>
  </si>
  <si>
    <t>'4623766.0000</t>
  </si>
  <si>
    <t>FTCM26481RTMVA7Y</t>
  </si>
  <si>
    <t>MTN MOBILE MONEY NEW MOBISERVE : amatara / 250788750184 amataraChantal KAYITA~RE KAYIRANGWA / amatara</t>
  </si>
  <si>
    <t>'4598766.0000</t>
  </si>
  <si>
    <t>FTCM2648MANKKJVX</t>
  </si>
  <si>
    <t>'4558766.0000</t>
  </si>
  <si>
    <t>FTCM26496LWF52EX</t>
  </si>
  <si>
    <t>Push to MOMO Charges : AC-100068155597 / 250784696565 deflation achat 4877 k~anyabuganzaFabrice SINDIKUBWABO / deflation achat</t>
  </si>
  <si>
    <t>'4558666.0000</t>
  </si>
  <si>
    <t>MTN MOBILE MONEY NEW MOBISERVE : deflation achat / 250784696565 deflation achat 4877 k~anyabuganzaFabrice SINDIKUBWABO / deflation achat</t>
  </si>
  <si>
    <t>'6400.0000</t>
  </si>
  <si>
    <t>'4552266.0000</t>
  </si>
  <si>
    <t>'RWF1000103051004</t>
  </si>
  <si>
    <t>TT26049CBPKT</t>
  </si>
  <si>
    <t>Cash Deposit : RENT PYT/ZANNU JULIUS DONA /  / RENT PYT/ZANNU JULIUS DONA</t>
  </si>
  <si>
    <t>'1030000.0000</t>
  </si>
  <si>
    <t>'5582266.0000</t>
  </si>
  <si>
    <t>FTCM2649LHIYOMR6</t>
  </si>
  <si>
    <t>BK to BK NEW MOBISERVE : CYABUKOMBE ALBER</t>
  </si>
  <si>
    <t>'5532266.0000</t>
  </si>
  <si>
    <t>FTCM2650BTCCQQDS</t>
  </si>
  <si>
    <t>Push to MOMO Charges : AC-100068155597 / 250788688841 aide pouch prado Kiram~uruzi and tranportEritier WASE / aide pouch prado</t>
  </si>
  <si>
    <t>'5532066.0000</t>
  </si>
  <si>
    <t>MTN MOBILE MONEY NEW MOBISERVE : aide pouch prado / 250788688841 aide pouch prado Kiram~uruzi and tranportEritier WASE / aide pouch prado</t>
  </si>
  <si>
    <t>'5517066.0000</t>
  </si>
  <si>
    <t>FTCM2650T32ORVWZ</t>
  </si>
  <si>
    <t>MTN MOBILE MONEY NEW MOBISERVE : mission / 250788750184 missionChantal KAYITA~RE KAYIRANGWA / mission</t>
  </si>
  <si>
    <t>'5487066.0000</t>
  </si>
  <si>
    <t>FTCM2651R6HK2BKZ</t>
  </si>
  <si>
    <t>MTN MOBILE MONEY NEW MOBISERVE : wasac inganji ja / 250788750184 wasac inganji janv fev~rier 2026Chantal KAYITARE KAYIRANG / wasac inganji ja</t>
  </si>
  <si>
    <t>'66975.0000</t>
  </si>
  <si>
    <t>'5420091.0000</t>
  </si>
  <si>
    <t>FTCM2651A9LQK58P</t>
  </si>
  <si>
    <t>'5419991.0000</t>
  </si>
  <si>
    <t>'40985.0000</t>
  </si>
  <si>
    <t>'5379006.0000</t>
  </si>
  <si>
    <t>FTCM2651YUYM5HSK</t>
  </si>
  <si>
    <t>'5378906.0000</t>
  </si>
  <si>
    <t>'25990.0000</t>
  </si>
  <si>
    <t>FTCM2651NQ5UCNPT</t>
  </si>
  <si>
    <t>'5352816.0000</t>
  </si>
  <si>
    <t>'205423.0000</t>
  </si>
  <si>
    <t>'5147393.0000</t>
  </si>
  <si>
    <t>FTCM2651HTXCN3TE</t>
  </si>
  <si>
    <t>Push to MOMO Charges : AC-100068155597 / 250787831197 tete machine eau Ingan~jiInnocent HAKIZIMANA / tete machine eau</t>
  </si>
  <si>
    <t>'5147193.0000</t>
  </si>
  <si>
    <t>MTN MOBILE MONEY NEW MOBISERVE : tete machine eau / 250787831197 tete machine eau Ingan~jiInnocent HAKIZIMANA / tete machine eau</t>
  </si>
  <si>
    <t>'5112193.0000</t>
  </si>
  <si>
    <t>FTCM2651B8ZYA4G9</t>
  </si>
  <si>
    <t>Push to MOMO Charges : AC-100068155597 / 250794987278 pVestine MUKABERA / p</t>
  </si>
  <si>
    <t>'5111993.0000</t>
  </si>
  <si>
    <t>MTN MOBILE MONEY NEW MOBISERVE : p / 250794987278 pVestine MUKABERA / p</t>
  </si>
  <si>
    <t>'5061993.0000</t>
  </si>
  <si>
    <t>FTCM2652VRFRC9ND</t>
  </si>
  <si>
    <t>Push to MOMO Charges : AC-100068155597 / 250783270985 kiramu umuti w ibitiJ~ean D Amour MUCYO / kiramu umuti w i</t>
  </si>
  <si>
    <t>'5061793.0000</t>
  </si>
  <si>
    <t>MTN MOBILE MONEY NEW MOBISERVE : kiramu umuti w i / 250783270985 kiramu umuti w ibitiJ~ean D Amour MUCYO / kiramu umuti w i</t>
  </si>
  <si>
    <t>'5050793.0000</t>
  </si>
  <si>
    <t>FTCM2652CXUPAF89</t>
  </si>
  <si>
    <t>Push to MOMO Charges : AC-100068155597 / 250795353970 mo machine eau Plombie~r John elect circuits camera chaffe~u vestine cinquante milleImmaculee / mo machine eau P</t>
  </si>
  <si>
    <t>'5050593.0000</t>
  </si>
  <si>
    <t>MTN MOBILE MONEY NEW MOBISERVE : mo machine eau P / 250795353970 mo machine eau Plombie~r John elect circuits camera chaffe~u vestine cinquante milleImmaculee / mo machine eau P</t>
  </si>
  <si>
    <t>'5030593.0000</t>
  </si>
  <si>
    <t>FTCM2652QEH27GYH</t>
  </si>
  <si>
    <t>Push to MOMO Charges : AC-100068155597 / 250788688841 kiramuruzi abakozi gaf~asha muri macademiaEritier WASE / kiramuruzi abako</t>
  </si>
  <si>
    <t>'5030393.0000</t>
  </si>
  <si>
    <t>MTN MOBILE MONEY NEW MOBISERVE : kiramuruzi abako / 250788688841 kiramuruzi abakozi gaf~asha muri macademiaEritier WASE / kiramuruzi abako</t>
  </si>
  <si>
    <t>'18350.0000</t>
  </si>
  <si>
    <t>'5012043.0000</t>
  </si>
  <si>
    <t>FTCM2654LV4REJLA</t>
  </si>
  <si>
    <t>'138054.0000</t>
  </si>
  <si>
    <t>'4873989.0000</t>
  </si>
  <si>
    <t>FTCM2654NUQLIJOJ</t>
  </si>
  <si>
    <t>IB Account transfer :  / TrfCYABUKOMBE ALBERT</t>
  </si>
  <si>
    <t>'4389000.0000</t>
  </si>
  <si>
    <t>'9262989.0000</t>
  </si>
  <si>
    <t>FTCM2654SIZWSCZG</t>
  </si>
  <si>
    <t>Cash deposit-BK YACU : J amp amp GB SQU / rent 0792863253MEHAD KHALIDA ABDAL~LAH ELSHAIKH / J amp amp GB SQU</t>
  </si>
  <si>
    <t>'9662989.0000</t>
  </si>
  <si>
    <t>FTCM26548O2VP3TA</t>
  </si>
  <si>
    <t>Push to MOMO Charges : AC-100068155597 / 250788537729 inganji apparel intern~et extentionEdouard Kalisa / inganji apparel</t>
  </si>
  <si>
    <t>'9662789.0000</t>
  </si>
  <si>
    <t>MTN MOBILE MONEY NEW MOBISERVE : inganji apparel / 250788537729 inganji apparel intern~et extentionEdouard Kalisa / inganji apparel</t>
  </si>
  <si>
    <t>'9592789.0000</t>
  </si>
  <si>
    <t>FT26055XVV9Z</t>
  </si>
  <si>
    <t>Transfer In : WRNGCHES18006093 / Refund of self account to account t / WRNGCHES18006093</t>
  </si>
  <si>
    <t>'400.0000</t>
  </si>
  <si>
    <t>'9593189.0000</t>
  </si>
  <si>
    <t>FTCM2656FBSQ0SKN</t>
  </si>
  <si>
    <t>CREDIT CARD PAYMENT :  / PYT 260225 47137521810 Cyabuk~ombe Albert 250788750184</t>
  </si>
  <si>
    <t>'45442.0000</t>
  </si>
  <si>
    <t>'9547747.0000</t>
  </si>
  <si>
    <t>FTCM2656NFAENEUM</t>
  </si>
  <si>
    <t>Push to MOMO Charges : AC-100068155597 / 250780660206 transport de serviceL~olita UMULISA / transport de ser</t>
  </si>
  <si>
    <t>'9547647.0000</t>
  </si>
  <si>
    <t>MTN MOBILE MONEY NEW MOBISERVE : transport de ser / 250780660206 transport de serviceL~olita UMULISA / transport de ser</t>
  </si>
  <si>
    <t>'9537647.0000</t>
  </si>
  <si>
    <t>FTCM2656VPDKJDL3</t>
  </si>
  <si>
    <t>Push to MOMO Charges : AC-100068155597 / 250783724054 kiramuruzi transport M~odeste KayonzaModeste UWIMANA / kiramuruzi trans</t>
  </si>
  <si>
    <t>'9537547.0000</t>
  </si>
  <si>
    <t>MTN MOBILE MONEY NEW MOBISERVE : kiramuruzi trans / 250783724054 kiramuruzi transport M~odeste KayonzaModeste UWIMANA / kiramuruzi trans</t>
  </si>
  <si>
    <t>'9530547.0000</t>
  </si>
  <si>
    <t>FTCM2656WGKWT20X</t>
  </si>
  <si>
    <t>Push to MOMO Charges : AC-100068155597 / 250794987278 solde reparation frigo~na electricity Ap 14Vestine MUKAB / solde reparation</t>
  </si>
  <si>
    <t>'9530347.0000</t>
  </si>
  <si>
    <t>MTN MOBILE MONEY NEW MOBISERVE : solde reparation / 250794987278 solde reparation frigo~na electricity Ap 14Vestine MUKAB / solde reparation</t>
  </si>
  <si>
    <t>'9510347.0000</t>
  </si>
  <si>
    <t>FTCM2656QHUYZBIM</t>
  </si>
  <si>
    <t>Push to MOMO Charges : AC-100068155597 / 250782002220 transport 100 palmiers~a planter a KiramuruziAlphonse MU / transport 100 pa</t>
  </si>
  <si>
    <t>'9510147.0000</t>
  </si>
  <si>
    <t>MTN MOBILE MONEY NEW MOBISERVE : transport 100 pa / 250782002220 transport 100 palmiers~a planter a KiramuruziAlphonse MU / transport 100 pa</t>
  </si>
  <si>
    <t>'9485147.0000</t>
  </si>
  <si>
    <t>FTCM2657UK2G2ACW</t>
  </si>
  <si>
    <t>Push to MOMO Charges : AC-100068155597 / 250788308405 umusanzu w umuryango f~pr CFTRaphael NGARAMBE / umusanzu w umury</t>
  </si>
  <si>
    <t>'9485047.0000</t>
  </si>
  <si>
    <t>MTN MOBILE MONEY NEW MOBISERVE : umusanzu w umury / 250788308405 umusanzu w umuryango f~pr CFTRaphael NGARAMBE / umusanzu w umury</t>
  </si>
  <si>
    <t>'9475047.0000</t>
  </si>
  <si>
    <t>FTCM2657Q4LXEMC0</t>
  </si>
  <si>
    <t>Push to MOMO Charges : AC-100068155597 / 250782002220 kiramuruzi transport i~mikindoAlphonse MUTABAZI / kiramuruzi trans</t>
  </si>
  <si>
    <t>'9474847.0000</t>
  </si>
  <si>
    <t>MTN MOBILE MONEY NEW MOBISERVE : kiramuruzi trans / 250782002220 kiramuruzi transport i~mikindoAlphonse MUTABAZI / kiramuruzi trans</t>
  </si>
  <si>
    <t>'9449847.0000</t>
  </si>
  <si>
    <t>FTCM2658XRZF0KHI</t>
  </si>
  <si>
    <t>Push to MOMO Charges : AC-100068155597 / 250789163409 electricite INGANJI DA~MOURThierry NGIRABAKUNZI / electricite INGA</t>
  </si>
  <si>
    <t>'9449647.0000</t>
  </si>
  <si>
    <t>MTN MOBILE MONEY NEW MOBISERVE : electricite INGA / 250789163409 electricite INGANJI DA~MOURThierry NGIRABAKUNZI / electricite INGA</t>
  </si>
  <si>
    <t>'9434647.0000</t>
  </si>
  <si>
    <t>FT260591C23N</t>
  </si>
  <si>
    <t>'5183516.0000</t>
  </si>
  <si>
    <t>'4251131.0000</t>
  </si>
  <si>
    <t>FTCM2659HKKI1FXE</t>
  </si>
  <si>
    <t>Internal Transfer charges : AC-100191878161 / sal Dom JadoJean De Dieu HAKIZIMAN~A / Jean De Dieu HAK</t>
  </si>
  <si>
    <t>'4251031.0000</t>
  </si>
  <si>
    <t>BK to BK NEW MOBISERVE : Jean De Dieu HAK / sal Dom JadoJean De Dieu HAKIZIMAN~A / Jean De Dieu HAK</t>
  </si>
  <si>
    <t>'4171031.0000</t>
  </si>
  <si>
    <t>FTCM2659GBIVYE1S</t>
  </si>
  <si>
    <t>Push to MOMO Charges : AC-100068155597 / 250783724054 kiramuruzi transport s~port modesteModeste UWIMANA / kiramuruzi trans</t>
  </si>
  <si>
    <t>'4170931.0000</t>
  </si>
  <si>
    <t>MTN MOBILE MONEY NEW MOBISERVE : kiramuruzi trans / 250783724054 kiramuruzi transport s~port modesteModeste UWIMANA / kiramuruzi trans</t>
  </si>
  <si>
    <t>'4163931.0000</t>
  </si>
  <si>
    <t>FTCM2660GGLIN7DN</t>
  </si>
  <si>
    <t>Incoming  Trsf frm local banks :  / NCUBE CHIDOCHASHE SITHABISO 0000024~41592 MB Local Transfer Marc</t>
  </si>
  <si>
    <t>'4493931.0000</t>
  </si>
  <si>
    <t>FTCM2660AXZ6KX8S</t>
  </si>
  <si>
    <t>MTN Push to Bank :  / MTNPUSH26408764649250781497551 Ap 6 vanessa</t>
  </si>
  <si>
    <t>'4823931.0000</t>
  </si>
  <si>
    <t>FTCM2660TJZ2JV0W</t>
  </si>
  <si>
    <t>Push to MOMO Charges : AC-100068155597 / 250783724054 kayonza 100 avocado 10~arbres de voyageurModeste UWIMANA / kayonza 100 avoc</t>
  </si>
  <si>
    <t>'4822581.0000</t>
  </si>
  <si>
    <t>MTN MOBILE MONEY NEW MOBISERVE : kayonza 100 avoc / 250783724054 kayonza 100 avocado 10~arbres de voyageurModeste UWIMANA / kayonza 100 avoc</t>
  </si>
  <si>
    <t>'255000.0000</t>
  </si>
  <si>
    <t>'4567581.0000</t>
  </si>
  <si>
    <t>FTCM2660IDJLOOKZ</t>
  </si>
  <si>
    <t>Push to MOMO Charges : AC-100068155597 / 250781192754 sal Hakiza moin avance~Theoneste HAKIZIMANA / sal Hakiza moin</t>
  </si>
  <si>
    <t>'4567381.0000</t>
  </si>
  <si>
    <t>MTN MOBILE MONEY NEW MOBISERVE : sal Hakiza moin / 250781192754 sal Hakiza moin avance~Theoneste HAKIZIMANA / sal Hakiza moin</t>
  </si>
  <si>
    <t>'4482381.0000</t>
  </si>
  <si>
    <t>FTCM2660VKWTV3NU</t>
  </si>
  <si>
    <t>'4432381.0000</t>
  </si>
  <si>
    <t>FTCM2661114VSLCW</t>
  </si>
  <si>
    <t>Incoming  Trsf frm local banks :  / SIBUSISIWE DUBE 000002441948 IB Loc~al Transfer Marc AP8</t>
  </si>
  <si>
    <t>'4762381.0000</t>
  </si>
  <si>
    <t>FTCM2661S7VSZIDI</t>
  </si>
  <si>
    <t>Push to MOMO Charges : AC-100068155597 / 250788688841 kiramuruzi salEritier~WASE / kiramuruzi sal</t>
  </si>
  <si>
    <t>'4761031.0000</t>
  </si>
  <si>
    <t>MTN MOBILE MONEY NEW MOBISERVE : kiramuruzi sal / 250788688841 kiramuruzi salEritier~WASE / kiramuruzi sal</t>
  </si>
  <si>
    <t>'562000.0000</t>
  </si>
  <si>
    <t>'4199031.0000</t>
  </si>
  <si>
    <t>FTCM2661WJJVODWI</t>
  </si>
  <si>
    <t>Push to MOMO Charges : AC-100068155597 / 250790419946 Imena cleaningAlphons~ine INEZA / Imena cleaning</t>
  </si>
  <si>
    <t>'4198831.0000</t>
  </si>
  <si>
    <t>MTN MOBILE MONEY NEW MOBISERVE : Imena cleaning / 250790419946 Imena cleaningAlphons~ine INEZA / Imena cleaning</t>
  </si>
  <si>
    <t>'4138831.0000</t>
  </si>
  <si>
    <t>FTCM2661FPT137F1</t>
  </si>
  <si>
    <t>Push to MOMO Charges : AC-100068155597 / 250780660206 Imena SAL ManagerLorit~aLolita UMULISA / Imena SAL Manage</t>
  </si>
  <si>
    <t>'4137481.0000</t>
  </si>
  <si>
    <t>MTN MOBILE MONEY NEW MOBISERVE : Imena SAL Manage / 250780660206 Imena SAL ManagerLorit~aLolita UMULISA / Imena SAL Manage</t>
  </si>
  <si>
    <t>'3837481.0000</t>
  </si>
  <si>
    <t>FTCM2661GY8ISRCZ</t>
  </si>
  <si>
    <t>MTN MOBILE MONEY NEW MOBISERVE : Imena  cashpower / 250788750184 Imena  cashpower thank~public lightChantal KAYITARE KAYI / Imena  cashpower</t>
  </si>
  <si>
    <t>'3757481.0000</t>
  </si>
  <si>
    <t>FTCM2661RF5YNXRM</t>
  </si>
  <si>
    <t>'4087481.0000</t>
  </si>
  <si>
    <t>FTCM26624SKREACN</t>
  </si>
  <si>
    <t>Push to MOMO Charges : AC-100068155597 / 250787682629 compte maman February~Chantal KAYITARE KAYIRANGWA / compte maman Feb</t>
  </si>
  <si>
    <t>'4086131.0000</t>
  </si>
  <si>
    <t>MTN MOBILE MONEY NEW MOBISERVE : compte maman Feb / 250787682629 compte maman February~Chantal KAYITARE KAYIRANGWA / compte maman Feb</t>
  </si>
  <si>
    <t>'3586131.0000</t>
  </si>
  <si>
    <t>FTCM2662YGEIFC1U</t>
  </si>
  <si>
    <t>Push to MOMO Charges : AC-100068155597 / 250783724054 kiramuzi transport 10~arbres   de voyageurModeste UWIMAN / kiramuzi transpo</t>
  </si>
  <si>
    <t>'3586031.0000</t>
  </si>
  <si>
    <t>MTN MOBILE MONEY NEW MOBISERVE : kiramuzi transpo / 250783724054 kiramuzi transport 10~arbres   de voyageurModeste UWIMAN / kiramuzi transpo</t>
  </si>
  <si>
    <t>'3576031.0000</t>
  </si>
  <si>
    <t>FTCM266397SCTSNO</t>
  </si>
  <si>
    <t>New App BK-BK Account Transfer : LIONEL NGENDAKUR / Loyer March 2026CYABUKOMBE ALBERT / LIONEL NGENDAKUR VC</t>
  </si>
  <si>
    <t>'1019500.0000</t>
  </si>
  <si>
    <t>'4595531.0000</t>
  </si>
  <si>
    <t>FTCM2663YNJHWLWV</t>
  </si>
  <si>
    <t>MTN Push to Bank :  / MTNPUSH26472336449250781464264 JOSEH MUTAMBAKI KYARO LAMU SH 5</t>
  </si>
  <si>
    <t>'5595531.0000</t>
  </si>
  <si>
    <t>FTCM2665QOGFGEEV</t>
  </si>
  <si>
    <t>MTN Push to Bank :  / MTNPUSH26517585812250793145770 HIOLI A 1</t>
  </si>
  <si>
    <t>'5995531.0000</t>
  </si>
  <si>
    <t>FTCM2665JP8Y7PT9</t>
  </si>
  <si>
    <t>Cash deposit-BK YACU : HARERIMANA ENOC / RENT PAYMENT 0791903693REEMA JEMAL / HARERIMANA ENOC SH 8 UTILITIES</t>
  </si>
  <si>
    <t>'520000.0000</t>
  </si>
  <si>
    <t>'6515531.0000</t>
  </si>
  <si>
    <t>FTCM2665CJSUILLY</t>
  </si>
  <si>
    <t>New App BK-BK Account Transfer : ABKER EDRIS HAZE / kCYABUKOMBE ALBERT / ABKER EDRIS HAZE</t>
  </si>
  <si>
    <t>'6815531.0000</t>
  </si>
  <si>
    <t>FTCM2665JR1XUL2C</t>
  </si>
  <si>
    <t>MTN Push to Bank :  / MTNPUSH26529983593250796395722 AP 3</t>
  </si>
  <si>
    <t>'390000.0000</t>
  </si>
  <si>
    <t>'7205531.0000</t>
  </si>
  <si>
    <t>FTCM2665FUUKMR0W</t>
  </si>
  <si>
    <t>New App BK-BK Account Transfer : ABIYINGOMA CHRIS / Rent payment March ap11CYABUKOMBE~ALBERT / ABIYINGOMA CHRIS A 11</t>
  </si>
  <si>
    <t>'7535531.0000</t>
  </si>
  <si>
    <t>FTCM2666KP49BZBG</t>
  </si>
  <si>
    <t>Internal Transfer charges : AC-100191878161 / avance jado 30k com transportJean~De Dieu HAKIZIMANA / Jean De Dieu HAK</t>
  </si>
  <si>
    <t>'7535431.0000</t>
  </si>
  <si>
    <t>BK to BK NEW MOBISERVE : Jean De Dieu HAK / avance jado 30k com transportJean~De Dieu HAKIZIMANA / Jean De Dieu HAK</t>
  </si>
  <si>
    <t>'7500431.0000</t>
  </si>
  <si>
    <t>FTCM2666R94QFNBY</t>
  </si>
  <si>
    <t>Push to MOMO Charges : AC-100068155597 / 250788542456 Ap 14 amasafuriya 4Ga~spard Nsengiyumva / Ap 14 amasafuriy</t>
  </si>
  <si>
    <t>'7500231.0000</t>
  </si>
  <si>
    <t>MTN MOBILE MONEY NEW MOBISERVE : Ap 14 amasafuriy / 250788542456 Ap 14 amasafuriya 4Ga~spard Nsengiyumva / Ap 14 amasafuriy</t>
  </si>
  <si>
    <t>'7465231.0000</t>
  </si>
  <si>
    <t>FTCM2666XLYKXM2P</t>
  </si>
  <si>
    <t>MTN Push to Bank :  / MTNPUSH26549346137250793108407 AHABWE AGNES  A 16</t>
  </si>
  <si>
    <t>'7881231.0000</t>
  </si>
  <si>
    <t>FTCM2668DT8PEM0U</t>
  </si>
  <si>
    <t>MTN Push to Bank :  / MTNPUSH26584969545250796895100 BABRA GUTENGA SH 3</t>
  </si>
  <si>
    <t>'8211231.0000</t>
  </si>
  <si>
    <t>FTCM26688CXCZTOS</t>
  </si>
  <si>
    <t>Push to MOMO Charges : AC-100068155597 / 250780660206 communication LoritaL~olita UMULISA / communication Lo</t>
  </si>
  <si>
    <t>'8211131.0000</t>
  </si>
  <si>
    <t>MTN MOBILE MONEY NEW MOBISERVE : communication Lo / 250780660206 communication LoritaL~olita UMULISA / communication Lo</t>
  </si>
  <si>
    <t>'8201131.0000</t>
  </si>
  <si>
    <t>TT2606874JK0</t>
  </si>
  <si>
    <t>'8531131.0000</t>
  </si>
  <si>
    <t>FTCM26696DQREB7E</t>
  </si>
  <si>
    <t>MTN Push to Bank :  / MTNPUSH26611893794250788591728 RUTSOBE  ROBERT MUKWAYA SH 13 15 DAYS MARCH 26</t>
  </si>
  <si>
    <t>'8606131.0000</t>
  </si>
  <si>
    <t>TT26070KLM5F</t>
  </si>
  <si>
    <t>Cash Deposit : OLA HASHIM/LENT SH4 /  / OLA HASHIM/LENT SH4 HUWIDA ESAMMOHAMEDKHER SH 4</t>
  </si>
  <si>
    <t>'8806131.0000</t>
  </si>
  <si>
    <t>FTCM2670FKWEKBHV</t>
  </si>
  <si>
    <t>Internal Transfer charges : AC-100022911378 / Imena security IremeIREME COOPERAT~IVE SECURITY amp amp amp HYG / IREME COOPERATIV</t>
  </si>
  <si>
    <t>'8806031.0000</t>
  </si>
  <si>
    <t>BK to BK NEW MOBISERVE : IREME COOPERATIV / Imena security IremeIREME COOPERAT~IVE SECURITY amp amp amp HYG / IREME COOPERATIV</t>
  </si>
  <si>
    <t>'8606031.0000</t>
  </si>
  <si>
    <t>FTCM2670JU6KU9FW</t>
  </si>
  <si>
    <t>'8605931.0000</t>
  </si>
  <si>
    <t>'139024.0000</t>
  </si>
  <si>
    <t>'8466907.0000</t>
  </si>
  <si>
    <t>FTCM2670ESOID9KG</t>
  </si>
  <si>
    <t>'8466807.0000</t>
  </si>
  <si>
    <t>'25992.0000</t>
  </si>
  <si>
    <t>'8440815.0000</t>
  </si>
  <si>
    <t>FTCM2672AQBE94ZH</t>
  </si>
  <si>
    <t>Outwards Off-Us Dmstic  Cheque :  / CYABUKOMBE ALBERT00000137ECO LAUNDR~Y DRY CLEANER LTD SH 2 ECOLAUNDRY SH 2</t>
  </si>
  <si>
    <t>'8840815.0000</t>
  </si>
  <si>
    <t>FTCM2673VNSDOCED</t>
  </si>
  <si>
    <t>Cash deposit-BK YACU : UWUMUKIZA DELPHI / RENT OF THE HOUSE 0793190257NSENGI~YUMVA / UWUMUKIZA DELPHI AP 9</t>
  </si>
  <si>
    <t>'9170815.0000</t>
  </si>
  <si>
    <t>FTCM2674MQIMYTM6</t>
  </si>
  <si>
    <t>Push to MOMO Charges : AC-100068155597 / 250783222630 Imena avance design co~ver rooftop Elias engElias Ngendah / Imena avance des</t>
  </si>
  <si>
    <t>'9169465.0000</t>
  </si>
  <si>
    <t>MTN MOBILE MONEY NEW MOBISERVE : Imena avance des / 250783222630 Imena avance design co~ver rooftop Elias engElias Ngendah / Imena avance des</t>
  </si>
  <si>
    <t>'8919465.0000</t>
  </si>
  <si>
    <t>FTCM2675NRNOK9MR</t>
  </si>
  <si>
    <t>Cash deposit-BK YACU : KAMUGISHA FABIEN / KWISHYURA 0788280498UWIRINGIYIMANA~DONATH / KAMUGISHA FABIEN SH 1</t>
  </si>
  <si>
    <t>'9519465.0000</t>
  </si>
  <si>
    <t>FTCM2675BABBTOMC</t>
  </si>
  <si>
    <t xml:space="preserve">Cash deposit-BK YACU : HARERIMANA ENOC  NTWARI SH 6 SH 7 </t>
  </si>
  <si>
    <t>'750000.0000</t>
  </si>
  <si>
    <t>'10269465.0000</t>
  </si>
  <si>
    <t>FTCM2675OTDNGNHU</t>
  </si>
  <si>
    <t>Push to MOMO Charges : AC-100068155597 / plomberie macon</t>
  </si>
  <si>
    <t>'10269265.0000</t>
  </si>
  <si>
    <t>MTN MOBILE MONEY NEW MOBISERVE : plomberie macon</t>
  </si>
  <si>
    <t>'55000.0000</t>
  </si>
  <si>
    <t>'10214265.0000</t>
  </si>
  <si>
    <t>FTCM2676KRGGCY3Z</t>
  </si>
  <si>
    <t>MTN MOBILE MONEY NEW MOBISERVE : plomberie macon / 250788750184 plomberie macon kiramu~ruziChantal KAYITARE KAYIRANGWA / plomberie macon</t>
  </si>
  <si>
    <t>'31300.0000</t>
  </si>
  <si>
    <t>'10182965.0000</t>
  </si>
  <si>
    <t>FTCM2676NGBTTYBF</t>
  </si>
  <si>
    <t>MTN Push to Bank :  / MTNPUSH26758081812250788591728 RUTSOBE MUKWAYA ROBERT SH 13</t>
  </si>
  <si>
    <t>'10652965.0000</t>
  </si>
  <si>
    <t>FTCM2677TNMWZ93K</t>
  </si>
  <si>
    <t>MTN MOBILE MONEY NEW MOBISERVE : Inganji internet / 250788750184 Inganji internetChant~al KAYITARE KAYIRANGWA / Inganji internet</t>
  </si>
  <si>
    <t>'10612965.0000</t>
  </si>
  <si>
    <t>FTCM26775IOLKL20</t>
  </si>
  <si>
    <t>MTN MOBILE MONEY NEW MOBISERVE : Imena ibikoresho / 250788750184 Imena ibikoresho vim s~avonChantal KAYITARE KAYIRANGWA / Imena ibikoresho</t>
  </si>
  <si>
    <t>'10605965.0000</t>
  </si>
  <si>
    <t>FTCM2677NXH4ZOES</t>
  </si>
  <si>
    <t>EKASH incoming transfer : UDOKANMA GEORGEW / UDOKANMA GEORGEWILL56209847480000~58779 / UDOKANMA GEORGEW AP 15 1C INGANJI</t>
  </si>
  <si>
    <t>'370000.0000</t>
  </si>
  <si>
    <t>'10975965.0000</t>
  </si>
  <si>
    <t>FTCM26773KNWO4FD</t>
  </si>
  <si>
    <t>Push to MOMO Charges : AC-100068155597 / 250788688841 kira maconEritier WAS~E / kira macon</t>
  </si>
  <si>
    <t>'10975865.0000</t>
  </si>
  <si>
    <t>MTN MOBILE MONEY NEW MOBISERVE : kira macon / 250788688841 kira maconEritier WAS~E / kira macon</t>
  </si>
  <si>
    <t>'10968665.0000</t>
  </si>
  <si>
    <t>FTCM267817V9Q2A5</t>
  </si>
  <si>
    <t>MTN Push to Bank :  / MTNPUSH26797198742250796681084 AISHA  YOUSSIF RDWAN MOHAMED AP 18</t>
  </si>
  <si>
    <t>'11168665.0000</t>
  </si>
  <si>
    <t>FTCM2678NFVTSGPW</t>
  </si>
  <si>
    <t>EKASH incoming transfer : UDOKANMA GEORGEW / UDOKANMA GEORGEWILL56209847480000~58796 / UDOKANMA GEORGEW</t>
  </si>
  <si>
    <t>'11518665.0000</t>
  </si>
  <si>
    <t>FTCM2679SGOFJB2D</t>
  </si>
  <si>
    <t>Push to MOMO Charges : AC-100068155597 / 250790009441 commission Ap 15 Hateg~ekimana EmmanuelEmmanuel HATEGEKIM / commission Ap 15</t>
  </si>
  <si>
    <t>'11518465.0000</t>
  </si>
  <si>
    <t>MTN MOBILE MONEY NEW MOBISERVE : commission Ap 15 / 250790009441 commission Ap 15 Hateg~ekimana EmmanuelEmmanuel HATEGEKIM / commission Ap 15</t>
  </si>
  <si>
    <t>'11500965.0000</t>
  </si>
  <si>
    <t>FTCM2680HYP8BI7L</t>
  </si>
  <si>
    <t>Push to MOMO Charges : AC-100068155597 / 250793145770 refund deposit Ap 1 Ph~ilip NigerianODEBUNMI FIYINFOLUWA / refund deposit AP 1</t>
  </si>
  <si>
    <t>'11499615.0000</t>
  </si>
  <si>
    <t>MTN MOBILE MONEY NEW MOBISERVE : refund deposit A / 250793145770 refund deposit Ap 1 Ph~ilip NigerianODEBUNMI FIYINFOLUWA / refund deposit A</t>
  </si>
  <si>
    <t>'11289615.0000</t>
  </si>
  <si>
    <t>FTCM2680WV9M0Z95</t>
  </si>
  <si>
    <t>Push to MOMO Charges : AC-100068155597 / 250789640453 mo fire devant PradoJ~acques IRADUKUNDA / mo fire devant P</t>
  </si>
  <si>
    <t>'11289515.0000</t>
  </si>
  <si>
    <t>MTN MOBILE MONEY NEW MOBISERVE : mo fire devant P / 250789640453 mo fire devant PradoJ~acques IRADUKUNDA / mo fire devant P</t>
  </si>
  <si>
    <t>'11286515.0000</t>
  </si>
  <si>
    <t>5352916.0000</t>
  </si>
  <si>
    <t>New App BK-BK Account Transfer : LIONEL NGENDAKUR / Loyer March 2026CYABUKOMBE ALBERT / LIONEL NGENDAKUR</t>
  </si>
  <si>
    <t>Cash deposit-BK YACU : HARERIMANA ENOC / RENT PAYMENT 0791903693REEMA JEMAL / HARERIMANA ENOC</t>
  </si>
  <si>
    <t>New App BK-BK Account Transfer : ABIYINGOMA CHRIS / Rent payment March ap11CYABUKOMBE~ALBERT / ABIYINGOMA CHRIS</t>
  </si>
  <si>
    <t>Cash Deposit : ARWA MOHAMMED AHMED ABDALLA/RENT /  / ARWA MOHAMMED AHMED ABDALLA/RENT</t>
  </si>
  <si>
    <t>Cash Deposit : OLA HASHIM/LENT SH4 /  / OLA HASHIM/LENT SH4</t>
  </si>
  <si>
    <t>Outwards Off-Us Dmstic  Cheque :  / CYABUKOMBE ALBERT00000137ECO LAUNDR~Y DRY CLEANER LTD</t>
  </si>
  <si>
    <t>Cash deposit-BK YACU : HARERIMANA ENOC</t>
  </si>
  <si>
    <t>Push to MOMO Charges : AC-100068155597 / 250793145770 refund deposit Ap 1 Ph~ilip NigerianODEBUNMI FIYINFOLUWA / refund deposit A</t>
  </si>
  <si>
    <t>FTCM2682NDFG0YFU</t>
  </si>
  <si>
    <t>'220000.0000</t>
  </si>
  <si>
    <t>'11506515.0000</t>
  </si>
  <si>
    <t>FTCM2682ROSZ2FIE</t>
  </si>
  <si>
    <t>Push to MOMO Charges : AC-100068155597 / 250781818782 kiramuruzi DuduVestin~e NYIRANDIKUBWIMANA / kiramuruzi Dudu</t>
  </si>
  <si>
    <t>'11506415.0000</t>
  </si>
  <si>
    <t>MTN MOBILE MONEY NEW MOBISERVE : kiramuruzi Dudu / 250781818782 kiramuruzi DuduVestin~e NYIRANDIKUBWIMANA / kiramuruzi Dudu</t>
  </si>
  <si>
    <t>'11496415.0000</t>
  </si>
  <si>
    <t>FTCM2682ZE95ZXXK</t>
  </si>
  <si>
    <t>Push to MOMO Charges : AC-100068155597 / 250780660206 LORITA 17 DAYS FEB 202~6Lolita UMULISA / LORITA 17 DAYS F</t>
  </si>
  <si>
    <t>'11495065.0000</t>
  </si>
  <si>
    <t>MTN MOBILE MONEY NEW MOBISERVE : LORITA 17 DAYS F / 250780660206 LORITA 17 DAYS FEB 202~6Lolita UMULISA / LORITA 17 DAYS F</t>
  </si>
  <si>
    <t>'170000.0000</t>
  </si>
  <si>
    <t>'11325065.0000</t>
  </si>
  <si>
    <t>FTCM2682XB2ZLEG8</t>
  </si>
  <si>
    <t>'11725065.0000</t>
  </si>
  <si>
    <t>FTCM2682PHV2M27O</t>
  </si>
  <si>
    <t>Push to MOMO Charges : AC-100068155597 / 250789163409 Hakiza kugura essuis m~ain na brosse amasuku ImenaThierry / Hakiza kugura es</t>
  </si>
  <si>
    <t>'11724965.0000</t>
  </si>
  <si>
    <t>MTN MOBILE MONEY NEW MOBISERVE : Hakiza kugura es / 250789163409 Hakiza kugura essuis m~ain na brosse amasuku ImenaThierry / Hakiza kugura es</t>
  </si>
  <si>
    <t>'11716965.0000</t>
  </si>
  <si>
    <t>FTCM2682FFXVBXHZ</t>
  </si>
  <si>
    <t>Push to MOMO Charges : AC-100068155597 / 250789163409 hakiza ibikoresho byis~ukuThierry NGIRABAKUNZI / hakiza ibikoresh</t>
  </si>
  <si>
    <t>'11716865.0000</t>
  </si>
  <si>
    <t>MTN MOBILE MONEY NEW MOBISERVE : hakiza ibikoresh / 250789163409 hakiza ibikoresho byis~ukuThierry NGIRABAKUNZI / hakiza ibikoresh</t>
  </si>
  <si>
    <t>'2500.0000</t>
  </si>
  <si>
    <t>'11714365.0000</t>
  </si>
  <si>
    <t>FTCM2682LHEAVBMA</t>
  </si>
  <si>
    <t>MTN MOBILE MONEY NEW MOBISERVE : cashpower inganj / 250788750184 cashpower inganjiChan~tal KAYITARE KAYIRANGWA / cashpower inganj</t>
  </si>
  <si>
    <t>'11696365.0000</t>
  </si>
  <si>
    <t>FTCM2683A2IMS79W</t>
  </si>
  <si>
    <t>'12996365.0000</t>
  </si>
  <si>
    <t>FTCM2683YIKZLW7P</t>
  </si>
  <si>
    <t>MTN MOBILE MONEY NEW MOBISERVE : Prado services h / 250788750184 Prado services huile b~ite et huile moteur filterChantal / Prado services h</t>
  </si>
  <si>
    <t>'172250.0000</t>
  </si>
  <si>
    <t>'12824115.0000</t>
  </si>
  <si>
    <t>FT26083GXFP4</t>
  </si>
  <si>
    <t>Outward bulk Transfer On-Us  : LKWI673316045128 / 13032026 40260313I448742 / LKWI673316045128</t>
  </si>
  <si>
    <t>'12823115.0000</t>
  </si>
  <si>
    <t>FT26083NV27V</t>
  </si>
  <si>
    <t>Outward bulk Transfer On-Us  : LKWI673417055128 / 13032026 40260313I448742 / LKWI673417055128</t>
  </si>
  <si>
    <t>'12822935.0000</t>
  </si>
  <si>
    <t>FTCM2684MUOEVM6W</t>
  </si>
  <si>
    <t>Push to MOMO Charges : AC-100068155597 / 250792957653 Moses  medical to be~refundMoses CYABUKOMBE / Moses  medical t</t>
  </si>
  <si>
    <t>'12821585.0000</t>
  </si>
  <si>
    <t>MTN MOBILE MONEY NEW MOBISERVE : Moses  medical t / 250792957653 Moses  medical to be~refundMoses CYABUKOMBE / Moses  medical t</t>
  </si>
  <si>
    <t>'333025.0000</t>
  </si>
  <si>
    <t>'12488560.0000</t>
  </si>
  <si>
    <t>FTCM2684LIERYXS1</t>
  </si>
  <si>
    <t>CREDIT CARD PAYMENT :  / PYT 260325 47137521810 Cyabuk~ombe Albert 250788750184</t>
  </si>
  <si>
    <t>'34794.0000</t>
  </si>
  <si>
    <t>'12453766.0000</t>
  </si>
  <si>
    <t>FTCM2685DZIG08AH</t>
  </si>
  <si>
    <t>'12453666.0000</t>
  </si>
  <si>
    <t>'48982.0000</t>
  </si>
  <si>
    <t>'12404684.0000</t>
  </si>
  <si>
    <t>FTCM2685XWS0HQ38</t>
  </si>
  <si>
    <t>Push to MOMO Charges : AC-100068155597 / 250782002220 kira Tranport Heritier~kayonza voir parcelAlphonse MUTAB / kira Tranport He</t>
  </si>
  <si>
    <t>'12404484.0000</t>
  </si>
  <si>
    <t>MTN MOBILE MONEY NEW MOBISERVE : kira Tranport He / 250782002220 kira Tranport Heritier~kayonza voir parcelAlphonse MUTAB / kira Tranport He</t>
  </si>
  <si>
    <t>'12392484.0000</t>
  </si>
  <si>
    <t>FTCM2687EOIGC2V5</t>
  </si>
  <si>
    <t>'12722484.0000</t>
  </si>
  <si>
    <t>FTCM2687DIPYIRJU</t>
  </si>
  <si>
    <t>Push to MOMO Charges : AC-100068155597 / 250792957653 MosesMoses CYABUKOMBE / Moses</t>
  </si>
  <si>
    <t>'12722284.0000</t>
  </si>
  <si>
    <t>MTN MOBILE MONEY NEW MOBISERVE : Moses / 250792957653 MosesMoses CYABUKOMBE / Moses</t>
  </si>
  <si>
    <t>'12702284.0000</t>
  </si>
  <si>
    <t>FTCM26894SBCMTGE</t>
  </si>
  <si>
    <t>Push to MOMO Charges : AC-100068155597 / 250795037182 tranport moto light pr~ise inganjiElphase NAHISEMONEZA / tranport moto li</t>
  </si>
  <si>
    <t>'12702264.0000</t>
  </si>
  <si>
    <t>MTN MOBILE MONEY NEW MOBISERVE : tranport moto li / 250795037182 tranport moto light pr~ise inganjiElphase NAHISEMONEZA / tranport moto li</t>
  </si>
  <si>
    <t>'600.0000</t>
  </si>
  <si>
    <t>'12701664.0000</t>
  </si>
  <si>
    <t>FTCM2689ID7SL0YT</t>
  </si>
  <si>
    <t>Push to MOMO Charges : AC-100068155597 / 250787152796 umutekano inganjiYvet~te MUKABAZIGA / umutekano inganj</t>
  </si>
  <si>
    <t>'12701564.0000</t>
  </si>
  <si>
    <t>MTN MOBILE MONEY NEW MOBISERVE : umutekano inganj / 250787152796 umutekano inganjiYvet~te MUKABAZIGA / umutekano inganj</t>
  </si>
  <si>
    <t>'12692264.0000</t>
  </si>
  <si>
    <t>FTCM2689SO7TKKH5</t>
  </si>
  <si>
    <t>Push to MOMO Charges : AC-100082788284 / 250735303035 inganji ap 17 and 19 e~lec repairHafashimana UGIHAGAZE / inganji ap 17 an</t>
  </si>
  <si>
    <t>'12692064.0000</t>
  </si>
  <si>
    <t>AIRTEL MONEY NEW MOBISERVE : inganji ap 17 an / 250735303035 inganji ap 17 and 19 e~lec repairHafashimana UGIHAGAZE / inganji ap 17 an</t>
  </si>
  <si>
    <t>'12677064.0000</t>
  </si>
  <si>
    <t>FTCM2689WDBPYDV4</t>
  </si>
  <si>
    <t>MTN MOBILE MONEY NEW MOBISERVE : momo expenses / 250788750184 momo expensesChantal~KAYITARE KAYIRANGWA / momo expenses</t>
  </si>
  <si>
    <t>'12617064.0000</t>
  </si>
  <si>
    <t>FTCM2689SWGOCQ7Y</t>
  </si>
  <si>
    <t>New App BK-BK Account Transfer : MOSES CYABUKOMBE / refundCYABUKOMBE ALBERT / MOSES CYABUKOMBE</t>
  </si>
  <si>
    <t>'363025.0000</t>
  </si>
  <si>
    <t>'12980089.0000</t>
  </si>
  <si>
    <t>FT2609045J58</t>
  </si>
  <si>
    <t>'5181851.0000</t>
  </si>
  <si>
    <t>'7798238.0000</t>
  </si>
  <si>
    <t>FTCM2690VMIGRS6E</t>
  </si>
  <si>
    <t>Push to MOMO Charges : AC-100068155597 / 250793108407 refund Ahabwe Ap 16AH~ABWE AGNES LYNN / refund Ahabwe Ap</t>
  </si>
  <si>
    <t>'7796888.0000</t>
  </si>
  <si>
    <t>MTN MOBILE MONEY NEW MOBISERVE : refund Ahabwe Ap / 250793108407 refund Ahabwe Ap 16AH~ABWE AGNES LYNN / refund Ahabwe Ap</t>
  </si>
  <si>
    <t>'7416888.0000</t>
  </si>
  <si>
    <t>FTCM2690X9SDNWFZ</t>
  </si>
  <si>
    <t>Push to MOMO Charges : AC-100068155597 / 250788308405 hospitality cellRapha~el NGARAMBE / hospitality cell</t>
  </si>
  <si>
    <t>'7416788.0000</t>
  </si>
  <si>
    <t>MTN MOBILE MONEY NEW MOBISERVE : hospitality cell / 250788308405 hospitality cellRapha~el NGARAMBE / hospitality cell</t>
  </si>
  <si>
    <t>'7406788.0000</t>
  </si>
  <si>
    <t>FTCM2690NCXTQ2XF</t>
  </si>
  <si>
    <t>Push to MOMO Charges : AC-100068155597 / Imena Hakiza com</t>
  </si>
  <si>
    <t>'7406588.0000</t>
  </si>
  <si>
    <t>MTN MOBILE MONEY NEW MOBISERVE : Imena Hakiza com</t>
  </si>
  <si>
    <t>'90000.0000</t>
  </si>
  <si>
    <t>'7316588.0000</t>
  </si>
  <si>
    <t>FTCM2690JROZR9JW</t>
  </si>
  <si>
    <t>'7316488.0000</t>
  </si>
  <si>
    <t>'7236488.0000</t>
  </si>
  <si>
    <t>FTCM2690U7PY2W6R</t>
  </si>
  <si>
    <t>Push to MOMO Charges : AC-100068155597 / Imena isuku buil</t>
  </si>
  <si>
    <t>'7236288.0000</t>
  </si>
  <si>
    <t>MTN MOBILE MONEY NEW MOBISERVE : Imena isuku buil</t>
  </si>
  <si>
    <t>'7176288.0000</t>
  </si>
  <si>
    <t>FTCM26914YM3MUGL</t>
  </si>
  <si>
    <t>Push to MOMO Charges : AC-100068155597 / 250788422371 transport Zaneta stage~a kigaliJosephine Mukandoli / transport Zaneta</t>
  </si>
  <si>
    <t>'7176088.0000</t>
  </si>
  <si>
    <t>MTN MOBILE MONEY NEW MOBISERVE : transport Zaneta / 250788422371 transport Zaneta stage~a kigaliJosephine Mukandoli / transport Zaneta</t>
  </si>
  <si>
    <t>'61000.0000</t>
  </si>
  <si>
    <t>'7115088.0000</t>
  </si>
  <si>
    <t>FTCM2691XZ4C9TKD</t>
  </si>
  <si>
    <t>'7445088.0000</t>
  </si>
  <si>
    <t>FTCM2691XONNLINX</t>
  </si>
  <si>
    <t>'7385088.0000</t>
  </si>
  <si>
    <t>FTCM2691RDCZOOFL</t>
  </si>
  <si>
    <t>'7855088.0000</t>
  </si>
  <si>
    <t>FTCM2691AL8KD8QS</t>
  </si>
  <si>
    <t>Push to MOMO Charges : AC-100068155597 / 250788688841 sal kiramuruziEritier~WASE / sal kiramuruzi</t>
  </si>
  <si>
    <t>'7853738.0000</t>
  </si>
  <si>
    <t>MTN MOBILE MONEY NEW MOBISERVE : sal kiramuruzi / 250788688841 sal kiramuruziEritier~WASE / sal kiramuruzi</t>
  </si>
  <si>
    <t>'7367738.0000</t>
  </si>
  <si>
    <t>FTCM26911YMEFK3Z</t>
  </si>
  <si>
    <t>'7697738.0000</t>
  </si>
  <si>
    <t>Cash deposit-BK YACU : J amp amp GB SQU / RENT 0792863253MEHAD KHALIDA ABDAL~LAH ELSHAIKH / J amp amp GB SQU AP 13</t>
  </si>
  <si>
    <t>EKASH incoming transfer : UDOKANMA GEORGEW / UDOKANMA GEORGEWILL56209847480000~58796 / UDOKANMA GEORGEW DEPOSIT AP 15</t>
  </si>
  <si>
    <t>MTN Push to Bank :  / MTNPUSH26797198742250796681084 AISHA AP 17</t>
  </si>
  <si>
    <t>EKASH incoming transfer : UDOKANMA GEORGEW / UDOKANMA GEORGEWILL56209847480000~58779 / UDOKANMA GEORGEW  ONE MOTH AP 15</t>
  </si>
  <si>
    <t xml:space="preserve"> sh 13</t>
  </si>
  <si>
    <t>New App BK-BK Account Transfer : NTIHEMUKA AIMABL / RentosCYABUKOMBE ALBERT / NTIHEMUKA AIMABL sh 12</t>
  </si>
  <si>
    <t xml:space="preserve">MTN Push to Bank :  / MTNPUSH26885483138250781464264 LAMU INVESTIMENT  Joseph mutambaki SH 10 AND SH 14 A </t>
  </si>
  <si>
    <t>Cash deposit-BK YACU : J amp amp GB SQU / RENT 0792622968RICHARD OLUKA / J amp amp GB SQU AP  10</t>
  </si>
  <si>
    <t>KHALIDA ABDAL~LAH ELSHAIKH MEHAD</t>
  </si>
  <si>
    <t>2800.0000</t>
  </si>
  <si>
    <t>Incoming  Trsf frm local banks :  / NCUBE CHIDOCHASHE SITHABISO 0000024~41592 MB Local Transfer Marc ap 8</t>
  </si>
  <si>
    <t>MTN Push to Bank :  / MTNPUSH26408764649250781497551 UWASE VANESSA AP N6</t>
  </si>
  <si>
    <t>Incoming  Trsf frm local banks :  / SIBUSISIWE DUBE 000002441948 IB Loc~al Transfer Marc AP 8</t>
  </si>
  <si>
    <t>Cash deposit-BK YACU : J amp amp GB SQU / RENT 0792622968RICHARD OLUKA / J amp amp GB SQU A 1O</t>
  </si>
  <si>
    <t>MTN Push to Bank :  / MTNPUSH26472336449250781464264 LAMU INVESTIMENT JOSEH SH 5</t>
  </si>
  <si>
    <t>MTN Push to Bank :  / MTNPUSH26517585812250793145770 PHILI ODEBUNMI AP 1</t>
  </si>
  <si>
    <t>MTN Push to Bank :  / MTNPUSH27052905162250781497551 UWASE VANESSA  A 6</t>
  </si>
  <si>
    <t>MTN Push to Bank :  / MTNPUSH27057437641250796681084 AISHA YOUISF AP 18 RENT 35K UTILITIES 2OK CAUTION 100K</t>
  </si>
  <si>
    <t>Incoming  Trsf frm local banks :  / NCUBE CHIDOCHASHE SITHABISO 0000024~94384 MB Local Transfer Apri AP 8</t>
  </si>
  <si>
    <t>left MARCH 30TH</t>
  </si>
  <si>
    <t>AP 15</t>
  </si>
  <si>
    <t>MAY</t>
  </si>
  <si>
    <t>Recette businness</t>
  </si>
  <si>
    <t>Autres Recettes</t>
  </si>
  <si>
    <t>recettes macademia</t>
  </si>
  <si>
    <t>SAL IMENA INGANJI</t>
  </si>
  <si>
    <t xml:space="preserve">SAL KIRAMURUZI </t>
  </si>
  <si>
    <t>PLOMBERIE ET ELECTICITE</t>
  </si>
  <si>
    <t>DEP KIRAMURUZI</t>
  </si>
  <si>
    <t>DEPENSE IMENA</t>
  </si>
  <si>
    <t>DEPENSES INGANJI</t>
  </si>
  <si>
    <t>SOCIAL</t>
  </si>
  <si>
    <t>MTN Push to Bank :  / MTNPUSH27052905162250781497551uwase vanessa a 6</t>
  </si>
  <si>
    <t>MTN Push to Bank :  / MTNPUSH27057437641250796681084 AISHA YOUSIF  MOHAMED A 18</t>
  </si>
  <si>
    <t>Incoming  Trsf frm local banks :  / NCUBE CHIDOCHASHE SITHABISO 0000024~94384 MB Local Transfer ApriL AP 8</t>
  </si>
  <si>
    <t>FTCM2692VLERHVPD</t>
  </si>
  <si>
    <t>Outwards Off-Us Dmstic  Cheque :  / CYABUKOMBE ALBERT00000141ECO LAUNDR~Y DRY CLEANER  LTD SH2 VICTOR NKUNDA</t>
  </si>
  <si>
    <t>'8097738.0000</t>
  </si>
  <si>
    <t>FTCM2692SWDCRWHA</t>
  </si>
  <si>
    <t>Cash deposit-BK YACU : HARERIMANA ENOC / RENT APRIL 2utilities 0788750184RI~O AHMEDAPRTEMENT3 / HARERIMANA ENOC</t>
  </si>
  <si>
    <t>'8457738.0000</t>
  </si>
  <si>
    <t>FTCM26928FL2WGUX</t>
  </si>
  <si>
    <t>Push to MOMO Charges : AC-100068155597 / 250792957653 fuel prado moses refun~dMoses CYABUKOMBE / fuel prado moses</t>
  </si>
  <si>
    <t>'8456388.0000</t>
  </si>
  <si>
    <t>MTN MOBILE MONEY NEW MOBISERVE : fuel prado moses / 250792957653 fuel prado moses refun~dMoses CYABUKOMBE / fuel prado moses</t>
  </si>
  <si>
    <t>'8303158.0000</t>
  </si>
  <si>
    <t>FTCM2692TNWIMPPQ</t>
  </si>
  <si>
    <t>Push to MOMO Charges : AC-100068155597 / 250783724054 aide Modeste maladeMo~deste UWIMANA / aide Modeste mal</t>
  </si>
  <si>
    <t>'8303058.0000</t>
  </si>
  <si>
    <t>MTN MOBILE MONEY NEW MOBISERVE : aide Modeste mal / 250783724054 aide Modeste maladeMo~deste UWIMANA / aide Modeste mal</t>
  </si>
  <si>
    <t>'8293058.0000</t>
  </si>
  <si>
    <t>FTCM2693PCHRJHSA</t>
  </si>
  <si>
    <t>Incoming  Trsf frm local banks :  / SIBUSISIWE DUBE 000002496536 IB Loc~al Transfer ApriL AP 5</t>
  </si>
  <si>
    <t>'8623058.0000</t>
  </si>
  <si>
    <t>FTCM2693SIKYS01Z</t>
  </si>
  <si>
    <t>MTN Push to Bank :  / MTNPUSH27094094755250796895100 BABRA KUTENGA SH 3</t>
  </si>
  <si>
    <t>'8943058.0000</t>
  </si>
  <si>
    <t>FTCM2693ZOYOAB4Y</t>
  </si>
  <si>
    <t>Internal Transfer charges : AC-100010151637 / solde modification toiture roof top~ELIAS NGENDAHAYO</t>
  </si>
  <si>
    <t>'8942958.0000</t>
  </si>
  <si>
    <t>BK to BK NEW MOBISERVE : ELIAS NGENDAHAYO / solde modification toiture roof top~ELIAS NGENDAHAYO</t>
  </si>
  <si>
    <t>'8692958.0000</t>
  </si>
  <si>
    <t>FTCM2693LNMCXWVG</t>
  </si>
  <si>
    <t>Internal Transfer charges : AC-100003776144 / Apro Cpte MamanKAYITARE KAYIRANGWA~CHANTAL / KAYITARE KAYIRAN</t>
  </si>
  <si>
    <t>'8692858.0000</t>
  </si>
  <si>
    <t>BK to BK NEW MOBISERVE : KAYITARE KAYIRAN / Apro Cpte MamanKAYITARE KAYIRANGWA~CHANTAL / KAYITARE KAYIRAN</t>
  </si>
  <si>
    <t>'8192858.0000</t>
  </si>
  <si>
    <t>FTCM2693BUXPAR5D</t>
  </si>
  <si>
    <t>Push to MOMO Charges : AC-100068155597 / 250788501582 organisation s kwibuka~Jeanne Basabe / organisation s k</t>
  </si>
  <si>
    <t>'8192758.0000</t>
  </si>
  <si>
    <t>MTN MOBILE MONEY NEW MOBISERVE : organisation s k / 250788501582 organisation s kwibuka~Jeanne Basabe / organisation s k</t>
  </si>
  <si>
    <t>'8182758.0000</t>
  </si>
  <si>
    <t>FTCM2694AISBNT7Q</t>
  </si>
  <si>
    <t>Push to MOMO Charges : AC-100068155597 / 250788567251 communication Lily int~ernet et appelaLydia MPINGANZIMA / communication Li</t>
  </si>
  <si>
    <t>'8182658.0000</t>
  </si>
  <si>
    <t>MTN MOBILE MONEY NEW MOBISERVE : communication Li / 250788567251 communication Lily int~ernet et appelaLydia MPINGANZIMA / communication Li</t>
  </si>
  <si>
    <t>'8172658.0000</t>
  </si>
  <si>
    <t>FTCM26947HSKWSJP</t>
  </si>
  <si>
    <t>BK to BK NEW MOBISERVE : KELVIN KAGAME AP 21</t>
  </si>
  <si>
    <t>'8542658.0000</t>
  </si>
  <si>
    <t>FTCM2695IERRT541</t>
  </si>
  <si>
    <t>New App BK-BK Account Transfer : ABIYINGOMA CHRIS AP 11</t>
  </si>
  <si>
    <t>'8872658.0000</t>
  </si>
  <si>
    <t>FTCM2696HIJ9Z4QB</t>
  </si>
  <si>
    <t>'9242658.0000</t>
  </si>
  <si>
    <t>FTCM2698MR87SNW8</t>
  </si>
  <si>
    <t>Push to MOMO Charges : AC-100068155597 / 250788346611 pochette phoneJean De~Dieu HANYURWIMFURA / pochette phone</t>
  </si>
  <si>
    <t>'9242458.0000</t>
  </si>
  <si>
    <t>MTN MOBILE MONEY NEW MOBISERVE : pochette phone / 250788346611 pochette phoneJean De~Dieu HANYURWIMFURA / pochette phone</t>
  </si>
  <si>
    <t>'9207458.0000</t>
  </si>
  <si>
    <t>FTCM2699WFCDZYO6</t>
  </si>
  <si>
    <t>MTN Push to Bank :  / MTNPUSH27205703040250781464264  JOSEH KYALO  LAMU INVESTIMENT SH5</t>
  </si>
  <si>
    <t>'10207458.0000</t>
  </si>
  <si>
    <t>TT2609981K3H</t>
  </si>
  <si>
    <t>'10537458.0000</t>
  </si>
  <si>
    <t>FTCM2699NEGPKNMS</t>
  </si>
  <si>
    <t>MTN MOBILE MONEY NEW MOBISERVE : peintura Ap 2 0l / 250788750184 peintura Ap 2 0la 50k~peint Ap 19 MosesChantal KAYITARE / peintura Ap 2 0l</t>
  </si>
  <si>
    <t>'10313958.0000</t>
  </si>
  <si>
    <t>FTCM26992VEFMX6L</t>
  </si>
  <si>
    <t>Push to MOMO Charges : AC-100068155597 / 250795597246 tourne vis et produit~carreauxMarie Rose UMURINGA / tourne vis et pr</t>
  </si>
  <si>
    <t>'10313858.0000</t>
  </si>
  <si>
    <t>MTN MOBILE MONEY NEW MOBISERVE : tourne vis et pr / 250795597246 tourne vis et produit~carreauxMarie Rose UMURINGA / tourne vis et pr</t>
  </si>
  <si>
    <t>'10307358.0000</t>
  </si>
  <si>
    <t>FTCM2699ZLLPIL3M</t>
  </si>
  <si>
    <t>MTN MOBILE MONEY NEW MOBISERVE : produit rideaux / 250788750184 produit rideaux  Ap 2~OlaChantal KAYITARE KAYIRANGWA / produit rideaux</t>
  </si>
  <si>
    <t>'10303358.0000</t>
  </si>
  <si>
    <t>FTCM2699TLCRHCLL</t>
  </si>
  <si>
    <t>Push to MOMO Charges : AC-100068155597 / 250785480225 avance peintre A2Isai~e GASASIRA / avance peintre A</t>
  </si>
  <si>
    <t>'10303258.0000</t>
  </si>
  <si>
    <t>MTN MOBILE MONEY NEW MOBISERVE : avance peintre A / 250785480225 avance peintre A2Isai~e GASASIRA / avance peintre A</t>
  </si>
  <si>
    <t>'10296258.0000</t>
  </si>
  <si>
    <t>FTCM26100AWDI1GNI</t>
  </si>
  <si>
    <t xml:space="preserve">Cash deposit-BK YACU : TUCLEM FAMILY LT / PAYMENT 0793190257NSENGIYUMVA YVAN / TUCLEM FAMILY LT AP 9 </t>
  </si>
  <si>
    <t>'10476258.0000</t>
  </si>
  <si>
    <t>FTCM26100ZRDJ94XF</t>
  </si>
  <si>
    <t>Push to MOMO Charges : AC-100068155597 / 250785480225 peinture Ap 2 Ap 19Is~aie GASASIRA / peinture Ap 2 Ap</t>
  </si>
  <si>
    <t>'10476058.0000</t>
  </si>
  <si>
    <t>MTN MOBILE MONEY NEW MOBISERVE : peinture Ap 2 Ap / 250785480225 peinture Ap 2 Ap 19Is~aie GASASIRA / peinture Ap 2 Ap</t>
  </si>
  <si>
    <t>'10461058.0000</t>
  </si>
  <si>
    <t>FTCM2610030BRBLIG</t>
  </si>
  <si>
    <t>MTN MOBILE MONEY NEW MOBISERVE : cashpower Imena / 250788750184 cashpower Imena genera~lChantal KAYITARE KAYIRANGWA / cashpower Imena</t>
  </si>
  <si>
    <t>'10381058.0000</t>
  </si>
  <si>
    <t>FTCM26100RPSBW0W3</t>
  </si>
  <si>
    <t>Push to MOMO Charges : AC-100068155597 / 250784150078 reparation cuisinire E~mmy GasEdson KWIZERA / reparation cuisi</t>
  </si>
  <si>
    <t>'10380858.0000</t>
  </si>
  <si>
    <t>MTN MOBILE MONEY NEW MOBISERVE : reparation cuisi / 250784150078 reparation cuisinire E~mmy GasEdson KWIZERA / reparation cuisi</t>
  </si>
  <si>
    <t>'10369858.0000</t>
  </si>
  <si>
    <t>FTCM26100BPKPWYQI</t>
  </si>
  <si>
    <t>Internal Transfer charges : AC-100022911378 / Securite Imena CFTIREME COOPERATIV~E SECURITY amp amp amp HYG / IREME COOPERATIV</t>
  </si>
  <si>
    <t>'10369758.0000</t>
  </si>
  <si>
    <t>BK to BK NEW MOBISERVE : IREME COOPERATIV / Securite Imena CFTIREME COOPERATIV~E SECURITY amp amp amp HYG / IREME COOPERATIV</t>
  </si>
  <si>
    <t>'10169758.0000</t>
  </si>
  <si>
    <t>FTCM26101DSOWIIRC</t>
  </si>
  <si>
    <t>MTN MOBILE MONEY NEW MOBISERVE : internet liquid / 250788750184 internet liquid Vision~CityChantal KAYITARE KAYIRANGWA / internet liquid</t>
  </si>
  <si>
    <t>'10141758.0000</t>
  </si>
  <si>
    <t>FTCM26103MXVPCWGJ</t>
  </si>
  <si>
    <t>Push to MOMO Charges : AC-100068155597 / 250796696881 return  deposit Ap2 Ol~aOLA HASHIM MOHAMED AMAN / return  deposit</t>
  </si>
  <si>
    <t>'10140408.0000</t>
  </si>
  <si>
    <t>MTN MOBILE MONEY NEW MOBISERVE : return  deposit / 250796696881 return  deposit Ap2 Ol~aOLA HASHIM MOHAMED AMAN / return  deposit</t>
  </si>
  <si>
    <t>'9960408.0000</t>
  </si>
  <si>
    <t>FTCM261037HUXLRJS</t>
  </si>
  <si>
    <t>Push to MOMO Charges : AC-100068155597 / 250796696881 return deposit Sh4 HUW~IDA mother OlaOLA HASHIM MOHAMED A / return deposit S</t>
  </si>
  <si>
    <t>'9959058.0000</t>
  </si>
  <si>
    <t>MTN MOBILE MONEY NEW MOBISERVE : return deposit S / 250796696881 return deposit Sh4 HUW~IDA mother OlaOLA HASHIM MOHAMED A / return deposit S</t>
  </si>
  <si>
    <t>'9759058.0000</t>
  </si>
  <si>
    <t>FTCM26103K9MXZEZV</t>
  </si>
  <si>
    <t>Push to MOMO Charges : AC-100068155597 / 250785480225 mo peintre Esai inganj~i ap 19Isaie GASASIRA / mo peintre Esai</t>
  </si>
  <si>
    <t>'9758858.0000</t>
  </si>
  <si>
    <t>MTN MOBILE MONEY NEW MOBISERVE : mo peintre Esai / 250785480225 mo peintre Esai inganj~i ap 19Isaie GASASIRA / mo peintre Esai</t>
  </si>
  <si>
    <t>'9738858.0000</t>
  </si>
  <si>
    <t>FTCM26104OQ2KGAO8</t>
  </si>
  <si>
    <t>'9586250.0000</t>
  </si>
  <si>
    <t>FTCM26104DGWHS2ZT</t>
  </si>
  <si>
    <t>Push to MOMO Charges : AC-100068155597 / 250788605907 reparation machine a c~ouper herbeJoseph BIGIMBU / reparation machi</t>
  </si>
  <si>
    <t>'9586150.0000</t>
  </si>
  <si>
    <t>MTN MOBILE MONEY NEW MOBISERVE : reparation machi / 250788605907 reparation machine a c~ouper herbeJoseph BIGIMBU / reparation machi</t>
  </si>
  <si>
    <t>'9576150.0000</t>
  </si>
  <si>
    <t>FTCM26104Z2JJB8Q8</t>
  </si>
  <si>
    <t>Card Purchase :  / 7N3QWJUF 137237 14158799686~14158799686 00US RWF</t>
  </si>
  <si>
    <t>'9468448.0000</t>
  </si>
  <si>
    <t>FTCM26104CAMVY9LD</t>
  </si>
  <si>
    <t>MTN MOBILE MONEY NEW MOBISERVE : momo mission mam / 250788750184 momo mission mamanCha~ntal KAYITARE KAYIRANGWA / momo mission mam</t>
  </si>
  <si>
    <t>'9448448.0000</t>
  </si>
  <si>
    <t>FTCM26104FUYGGVDW</t>
  </si>
  <si>
    <t>Push to MOMO Charges : AC-100068155597 / 250785499869 sae 40 machine Kiramur~uziIYAMUREMYE EMMANUELL / sae 40 machine K</t>
  </si>
  <si>
    <t>'9448348.0000</t>
  </si>
  <si>
    <t>MTN MOBILE MONEY NEW MOBISERVE : sae 40 machine K / 250785499869 sae 40 machine Kiramur~uziIYAMUREMYE EMMANUELL / sae 40 machine K</t>
  </si>
  <si>
    <t>'9439348.0000</t>
  </si>
  <si>
    <t>FTCM26104PXZAO9AV</t>
  </si>
  <si>
    <t xml:space="preserve">Cash deposit-BK YACU : ALEXANDRINE BYIR / PAYMENT 0793190257NSENGIYUMVA YVAN / ALEXANDRINE BYIR Balance a  Ap 9 </t>
  </si>
  <si>
    <t>'9589348.0000</t>
  </si>
  <si>
    <t>FTCM261045RRQHXZH</t>
  </si>
  <si>
    <t>Push to MOMO Charges : AC-100068155597 / 250788605907 reparationJoseph BIGI~MBU / reparation</t>
  </si>
  <si>
    <t>'9589148.0000</t>
  </si>
  <si>
    <t>MTN MOBILE MONEY NEW MOBISERVE : reparation / 250788605907 reparationJoseph BIGI~MBU / reparation</t>
  </si>
  <si>
    <t>'9559148.0000</t>
  </si>
  <si>
    <t>FTCM26105YAK99KYR</t>
  </si>
  <si>
    <t>Cash deposit-BK YACU : UYISENGA JEANNIN / PAYMENT 0788280498UWIRINGIYIMANA D~ONATHI / UYISENGA JEANNIN SH 1</t>
  </si>
  <si>
    <t>'10159148.0000</t>
  </si>
  <si>
    <t>FTCM26105MQO2YTMZ</t>
  </si>
  <si>
    <t>Push to MOMO Charges : AC-100068155597 / 250783724054 avance  500 sachets pe~pinieres modesteModeste UWIMANA / avance  500 sach</t>
  </si>
  <si>
    <t>'10158948.0000</t>
  </si>
  <si>
    <t>MTN MOBILE MONEY NEW MOBISERVE : avance  500 sach / 250783724054 avance  500 sachets pe~pinieres modesteModeste UWIMANA / avance  500 sach</t>
  </si>
  <si>
    <t>'10133948.0000</t>
  </si>
  <si>
    <t>FTCM261050A2HNJTP</t>
  </si>
  <si>
    <t>Push to MOMO Charges : AC-100068155597 / 250794574040 4draps et 2 couvret li~tsValerie MUKANKURUNZIZA / 4draps et 2 couv</t>
  </si>
  <si>
    <t>'10133748.0000</t>
  </si>
  <si>
    <t>MTN MOBILE MONEY NEW MOBISERVE : 4draps et 2 couv / 250794574040 4draps et 2 couvret li~tsValerie MUKANKURUNZIZA / 4draps et 2 couv</t>
  </si>
  <si>
    <t>'9998748.0000</t>
  </si>
  <si>
    <t>FTCM26105ZMFLDCEX</t>
  </si>
  <si>
    <t>Push to MOMO Charges : AC-100068155597 / 250788273991 achat products Ap 19S~amuel NZAMURAMBAHO / achat products A</t>
  </si>
  <si>
    <t>'9998548.0000</t>
  </si>
  <si>
    <t>MTN MOBILE MONEY NEW MOBISERVE : achat products A / 250788273991 achat products Ap 19S~amuel NZAMURAMBAHO / achat products A</t>
  </si>
  <si>
    <t>'9977248.0000</t>
  </si>
  <si>
    <t>FTCM26105HWHBMHRG</t>
  </si>
  <si>
    <t>Push to MOMO Charges : AC-100068155597 / 250798977716 2 set casseroles ingan~jiAlia KANYANA / 2 set casseroles</t>
  </si>
  <si>
    <t>'9977048.0000</t>
  </si>
  <si>
    <t>MTN MOBILE MONEY NEW MOBISERVE : 2 set casseroles / 250798977716 2 set casseroles ingan~jiAlia KANYANA / 2 set casseroles</t>
  </si>
  <si>
    <t>'9897048.0000</t>
  </si>
  <si>
    <t>FTCM26105SHJJT48G</t>
  </si>
  <si>
    <t>Push to MOMO Charges : AC-100068155597 / 250788688841 route KiramuruziEriti~er WASE / route Kiramuruzi</t>
  </si>
  <si>
    <t>'9896848.0000</t>
  </si>
  <si>
    <t>MTN MOBILE MONEY NEW MOBISERVE : route Kiramuruzi / 250788688841 route KiramuruziEriti~er WASE / route Kiramuruzi</t>
  </si>
  <si>
    <t>'9881848.0000</t>
  </si>
  <si>
    <t>FTCM26106WT08ZKGK</t>
  </si>
  <si>
    <t>Push to MOMO Charges : AC-100068155597 / 250781550829 pompe a eau PradoDavi~d CYABUKOMBE / pompe a eau Prad</t>
  </si>
  <si>
    <t>'9881648.0000</t>
  </si>
  <si>
    <t>MTN MOBILE MONEY NEW MOBISERVE : pompe a eau Prad / 250781550829 pompe a eau PradoDavi~d CYABUKOMBE / pompe a eau Prad</t>
  </si>
  <si>
    <t>'9806648.0000</t>
  </si>
  <si>
    <t>FTCM2610682GHHT6Z</t>
  </si>
  <si>
    <t>Cash deposit-BK YACU : SOLEKTRA RWANDA / DEPOSIT 0788868708LA FORTUNE / SOLEKTRA RWANDA</t>
  </si>
  <si>
    <t>'14806648.0000</t>
  </si>
  <si>
    <t>FTCM261061WCVUIWC</t>
  </si>
  <si>
    <t>'19806648.0000</t>
  </si>
  <si>
    <t>FTCM26106RO4FCOJT</t>
  </si>
  <si>
    <t>Cash deposit-BK YACU : SOLEKTRA RWANDA / Deposit 0788868708LA Fortune / SOLEKTRA RWANDA</t>
  </si>
  <si>
    <t>'21846648.0000</t>
  </si>
  <si>
    <t>FTCM261066KGCYCH3</t>
  </si>
  <si>
    <t>Push to MOMO Charges : AC-100068155597 / 250788874823 moustiquaires ap 19 ap~21Marie Rose UMURINGA / moustiquaires ap</t>
  </si>
  <si>
    <t>'21846448.0000</t>
  </si>
  <si>
    <t>MTN MOBILE MONEY NEW MOBISERVE : moustiquaires ap / 250788874823 moustiquaires ap 19 ap~21Marie Rose UMURINGA / moustiquaires ap</t>
  </si>
  <si>
    <t>'21812948.0000</t>
  </si>
  <si>
    <t>FTCM26106NCAJ1VBC</t>
  </si>
  <si>
    <t>Bill Payment RRA : AC-100072094667 / 1352659403 UWAMAHORO PHOIBE  250000~1408673945  108653863  191  Sale~of Immovable Property  37  KAYONZA</t>
  </si>
  <si>
    <t>'21812748.0000</t>
  </si>
  <si>
    <t>RRA NEW MOBISERVE :  / 1352659403 UWAMAHORO PHOIBE  250000~1408673945  108653863  191  Sale~of Immovable Property  37  KAYONZA</t>
  </si>
  <si>
    <t>'21562748.0000</t>
  </si>
  <si>
    <t>FTCM26106BOE4R5M7</t>
  </si>
  <si>
    <t>Push to MOMO Charges : AC-100068155597 / 250783469811 Notaire achat parcel K~syonza PhoibeJeanne MUHAWENIMANA / Notaire achat pa</t>
  </si>
  <si>
    <t>'21562548.0000</t>
  </si>
  <si>
    <t>MTN MOBILE MONEY NEW MOBISERVE : Notaire achat pa / 250783469811 Notaire achat parcel K~syonza PhoibeJeanne MUHAWENIMANA / Notaire achat pa</t>
  </si>
  <si>
    <t>'21534048.0000</t>
  </si>
  <si>
    <t>FTCM26106X8AJRQPE</t>
  </si>
  <si>
    <t>Push to MOMO Charges : AC-100068155597 / 250780526847 reparation PradoCeles~tin NSANZUMUHIRE / reparation Prado</t>
  </si>
  <si>
    <t>'21533848.0000</t>
  </si>
  <si>
    <t>MTN MOBILE MONEY NEW MOBISERVE : reparation Prado / 250780526847 reparation PradoCeles~tin NSANZUMUHIRE / reparation Prado</t>
  </si>
  <si>
    <t>'21506848.0000</t>
  </si>
  <si>
    <t>FTCM26107AFHC3X78</t>
  </si>
  <si>
    <t>Incoming  Trsf frm local banks :  / UDOKANMA SHARON GEORGEWILL 00000251~3731 MB Local Transfer Half AP 15 15 DAYS</t>
  </si>
  <si>
    <t>'21691848.0000</t>
  </si>
  <si>
    <t>FTCM26107XJOIXM8N</t>
  </si>
  <si>
    <t>Push to MOMO Charges : AC-100068155597 / 250788663048 kiramuruzi corde macad~emiaIsaac NZIRORERA / kiramuruzi corde</t>
  </si>
  <si>
    <t>'21691748.0000</t>
  </si>
  <si>
    <t>MTN MOBILE MONEY NEW MOBISERVE : kiramuruzi corde / 250788663048 kiramuruzi corde macad~emiaIsaac NZIRORERA / kiramuruzi corde</t>
  </si>
  <si>
    <t>'21683748.0000</t>
  </si>
  <si>
    <t>FTCM26107EAHSRJ2X</t>
  </si>
  <si>
    <t>Push to MOMO Charges : AC-100068155597 / 250786789153 kiramuruzi doudouJust~in TWAGIRIMANA / kiramuruzi doudo</t>
  </si>
  <si>
    <t>'21683548.0000</t>
  </si>
  <si>
    <t>MTN MOBILE MONEY NEW MOBISERVE : kiramuruzi doudo / 250786789153 kiramuruzi doudouJust~in TWAGIRIMANA / kiramuruzi doudo</t>
  </si>
  <si>
    <t>'21663548.0000</t>
  </si>
  <si>
    <t>FTCM26107T8R09TQ7</t>
  </si>
  <si>
    <t>Push to MOMO Charges : AC-100068155597 / 250782002220 kira tranport duduAlp~honse MUTABAZI / kira tranport du</t>
  </si>
  <si>
    <t>'21663448.0000</t>
  </si>
  <si>
    <t>MTN MOBILE MONEY NEW MOBISERVE : kira tranport du / 250782002220 kira tranport duduAlp~honse MUTABAZI / kira tranport du</t>
  </si>
  <si>
    <t>'21661948.0000</t>
  </si>
  <si>
    <t>FTCM26107WGVJ4MXU</t>
  </si>
  <si>
    <t>Push to MOMO Charges : AC-100068155597 / 250786378547 com frank ap 18Xxx NS~HIMIYIMANA / com frank ap 18</t>
  </si>
  <si>
    <t>'21661748.0000</t>
  </si>
  <si>
    <t>MTN MOBILE MONEY NEW MOBISERVE : com frank ap 18 / 250786378547 com frank ap 18Xxx NS~HIMIYIMANA / com frank ap 18</t>
  </si>
  <si>
    <t>'21644248.0000</t>
  </si>
  <si>
    <t>FTCM26107SAFTN9PD</t>
  </si>
  <si>
    <t>Push to MOMO Charges : AC-100068155597 / 250785480225 peintre ap 21 gasasira~Isaie GASASIRA / peintre ap 21 ga</t>
  </si>
  <si>
    <t>'21644048.0000</t>
  </si>
  <si>
    <t>MTN MOBILE MONEY NEW MOBISERVE : peintre ap 21 ga / 250785480225 peintre ap 21 gasasira~Isaie GASASIRA / peintre ap 21 ga</t>
  </si>
  <si>
    <t>'21619048.0000</t>
  </si>
  <si>
    <t>FTCM26107IN6CR01P</t>
  </si>
  <si>
    <t>Push to MOMO Charges : AC-100068155597 / 250786859223 carreaux Fidele macon~mme SolangeSolange NYIRANSANZIMFUR / carreaux Fidele</t>
  </si>
  <si>
    <t>'21618948.0000</t>
  </si>
  <si>
    <t>MTN MOBILE MONEY NEW MOBISERVE : carreaux Fidele / 250786859223 carreaux Fidele macon~mme SolangeSolange NYIRANSANZIMFUR / carreaux Fidele</t>
  </si>
  <si>
    <t>'21608948.0000</t>
  </si>
  <si>
    <t>FTCM26108SRWS52OI</t>
  </si>
  <si>
    <t>Push to MOMO Charges : AC-100068155597 / 250794600148 reparation chauffe eau~and shutoff roof top toiletJohn / reparation chauf</t>
  </si>
  <si>
    <t>'21608748.0000</t>
  </si>
  <si>
    <t>MTN MOBILE MONEY NEW MOBISERVE : reparation chauf / 250794600148 reparation chauffe eau~and shutoff roof top toiletJohn / reparation chauf</t>
  </si>
  <si>
    <t>'21588748.0000</t>
  </si>
  <si>
    <t>FTCM261097AQUWYSD</t>
  </si>
  <si>
    <t>'21588648.0000</t>
  </si>
  <si>
    <t>'21421612.0000</t>
  </si>
  <si>
    <t>FTCM2610917QPTZYN</t>
  </si>
  <si>
    <t>IREMBO NEW MOBISERVE :  / 876109916488 Irembo billIrembo Ser~vice IREMBO COLLECTION ACCOUNT</t>
  </si>
  <si>
    <t>'21396612.0000</t>
  </si>
  <si>
    <t>FTCM26111MYDSIXRV</t>
  </si>
  <si>
    <t>New App BK-BK Account Transfer : HASSAN MOHAMMED / rent security depositCYABUKOMBE AL~BERT / HASSAN MOHAMMED AP 12</t>
  </si>
  <si>
    <t>'22026612.0000</t>
  </si>
  <si>
    <t>FTCM261112LORSNPC</t>
  </si>
  <si>
    <t>Push to MOMO Charges : AC-100068155597 / 250780526896 robinet lavabo syfon f~lexible sifon de solJanvier MUSONI / robinet lavabo s</t>
  </si>
  <si>
    <t>'22026412.0000</t>
  </si>
  <si>
    <t>MTN MOBILE MONEY NEW MOBISERVE : robinet lavabo s / 250780526896 robinet lavabo syfon f~lexible sifon de solJanvier MUSONI / robinet lavabo s</t>
  </si>
  <si>
    <t>'21962412.0000</t>
  </si>
  <si>
    <t>FTCM26111MYLVWQS2</t>
  </si>
  <si>
    <t>Push to MOMO Charges : AC-100068155597 / 250788622667 mdfEugene Bizumuremyi / mdf</t>
  </si>
  <si>
    <t>'21962212.0000</t>
  </si>
  <si>
    <t>MTN MOBILE MONEY NEW MOBISERVE : mdf / 250788622667 mdfEugene Bizumuremyi / mdf</t>
  </si>
  <si>
    <t>'21929212.0000</t>
  </si>
  <si>
    <t>FTCM261118WRNJ6IQ</t>
  </si>
  <si>
    <t>Push to MOMO Charges : AC-100068155597 / 250788676778 2 mdf cuisine abimeEm~elyne UMUHOZA / 2 mdf cuisine ab</t>
  </si>
  <si>
    <t>'21927862.0000</t>
  </si>
  <si>
    <t>MTN MOBILE MONEY NEW MOBISERVE : 2 mdf cuisine ab / 250788676778 2 mdf cuisine abimeEm~elyne UMUHOZA / 2 mdf cuisine ab</t>
  </si>
  <si>
    <t>'21763262.0000</t>
  </si>
  <si>
    <t>FTCM26111ULPLLREJ</t>
  </si>
  <si>
    <t>MTN MOBILE MONEY NEW MOBISERVE : bacs  Frigo et s / 250788750184 bacs  Frigo et sechoir~Chantal KAYITARE KAYIRANGWA / bacs  Frigo et s</t>
  </si>
  <si>
    <t>'21675262.0000</t>
  </si>
  <si>
    <t>FTCM26111AVPLWVJM</t>
  </si>
  <si>
    <t>Push to MOMO Charges : AC-100068155597 / 250781510235 avance mo plombier Eti~cEric NTAKIRUTIMANA / avance mo plombi</t>
  </si>
  <si>
    <t>'21675062.0000</t>
  </si>
  <si>
    <t>MTN MOBILE MONEY NEW MOBISERVE : avance mo plombi / 250781510235 avance mo plombier Eti~cEric NTAKIRUTIMANA / avance mo plombi</t>
  </si>
  <si>
    <t>'21663062.0000</t>
  </si>
  <si>
    <t>FTCM26111Q50WVMNT</t>
  </si>
  <si>
    <t>'21662862.0000</t>
  </si>
  <si>
    <t>'21562862.0000</t>
  </si>
  <si>
    <t>FTCM26111QADPFOOO</t>
  </si>
  <si>
    <t>MTN MOBILE MONEY NEW MOBISERVE : compte maman / 250788750184 compte mamanChantal K~AYITARE KAYIRANGWA / compte maman</t>
  </si>
  <si>
    <t>'21362862.0000</t>
  </si>
  <si>
    <t>FTCM26112JX6RLBOL</t>
  </si>
  <si>
    <t>New App BK-BK Account Transfer : NTIHEMUKA AIMABL / RentCYABUKOMBE ALBERT / NTIHEMUKA AIMABL SH 11</t>
  </si>
  <si>
    <t>'21582862.0000</t>
  </si>
  <si>
    <t>FTCM26112LXHAS2OP</t>
  </si>
  <si>
    <t>'21637862.0000</t>
  </si>
  <si>
    <t>FTCM261129VVNLAQG</t>
  </si>
  <si>
    <t>'22212862.0000</t>
  </si>
  <si>
    <t>FTCM26112K0RWCTNA</t>
  </si>
  <si>
    <t>Push to MOMO Charges : AC-100068155597 / 250784025318 4cles InganjiJean d A~mour NIYITEGEKA / 4cles Inganji</t>
  </si>
  <si>
    <t>'22212762.0000</t>
  </si>
  <si>
    <t>MTN MOBILE MONEY NEW MOBISERVE : 4cles Inganji / 250784025318 4cles InganjiJean d A~mour NIYITEGEKA / 4cles Inganji</t>
  </si>
  <si>
    <t>'22208762.0000</t>
  </si>
  <si>
    <t>FTCM26113PECKCOYV</t>
  </si>
  <si>
    <t>Incoming  Trsf frm local banks :  / RWANDA NUT COMPANY LTD 000002523049~IB Local Transfer Nut</t>
  </si>
  <si>
    <t>'23668262.0000</t>
  </si>
  <si>
    <t>FTCM26113J1MWEKEB</t>
  </si>
  <si>
    <t>Push to MOMO Charges : AC-100068155597 / 250783222630 fuel EliasElias Ngend~ahayo / fuel Elias</t>
  </si>
  <si>
    <t>'23668062.0000</t>
  </si>
  <si>
    <t>MTN MOBILE MONEY NEW MOBISERVE : fuel Elias / 250783222630 fuel EliasElias Ngend~ahayo / fuel Elias</t>
  </si>
  <si>
    <t>'23653062.0000</t>
  </si>
  <si>
    <t>FTCM26113HSEDGSKG</t>
  </si>
  <si>
    <t>Push to MOMO Charges : AC-100068155597 / 250788663048 kiramuruI etrier pour~macademiaIsaac NZIRORERA / kiramuruI etrier</t>
  </si>
  <si>
    <t>'23652862.0000</t>
  </si>
  <si>
    <t>MTN MOBILE MONEY NEW MOBISERVE : kiramuruI etrier / 250788663048 kiramuruI etrier pour~macademiaIsaac NZIRORERA / kiramuruI etrier</t>
  </si>
  <si>
    <t>'23603862.0000</t>
  </si>
  <si>
    <t>FTCM261130CR2ZUX3</t>
  </si>
  <si>
    <t>Push to MOMO Charges : AC-100068155597 / 250786789153 kiramuruzi medicament~vachesJustin TWAGIRIMANA / kiramuruzi medic</t>
  </si>
  <si>
    <t>'23603662.0000</t>
  </si>
  <si>
    <t>MTN MOBILE MONEY NEW MOBISERVE : kiramuruzi medic / 250786789153 kiramuruzi medicament~vachesJustin TWAGIRIMANA / kiramuruzi medic</t>
  </si>
  <si>
    <t>'23545662.0000</t>
  </si>
  <si>
    <t>FTCM26113JOVMMPK6</t>
  </si>
  <si>
    <t>MTN Push to Bank :  / MTNPUSH27488044733250786425307 JOSELYNE UMUGWANEZA  UMUTONI SH 4</t>
  </si>
  <si>
    <t>'23945662.0000</t>
  </si>
  <si>
    <t>FTCM26113UMBIR7PW</t>
  </si>
  <si>
    <t>Push to MOMO Charges : AC-100068155597 / 250788870889 moto DOM JADOGratien~MANIRAGABA / moto DOM JADO</t>
  </si>
  <si>
    <t>'23945562.0000</t>
  </si>
  <si>
    <t>MTN MOBILE MONEY NEW MOBISERVE : moto DOM JADO / 250788870889 moto DOM JADOGratien~MANIRAGABA / moto DOM JADO</t>
  </si>
  <si>
    <t>'23944362.0000</t>
  </si>
  <si>
    <t>FTCM26113OR0GEEBD</t>
  </si>
  <si>
    <t>Push to MOMO Charges : AC-100068155597 / 250781510235 main d oeuvre 60k ibik~oresho bya finished urubati igikoni / main d oeuvre 60</t>
  </si>
  <si>
    <t>'23944162.0000</t>
  </si>
  <si>
    <t>MTN MOBILE MONEY NEW MOBISERVE : main d oeuvre 60 / 250781510235 main d oeuvre 60k ibik~oresho bya finished urubati igikoni / main d oeuvre 60</t>
  </si>
  <si>
    <t>'23854162.0000</t>
  </si>
  <si>
    <t>FTCM26114YKC9OJGR</t>
  </si>
  <si>
    <t>Cash deposit-BK YACU : J amp amp GB SQU / HOUSE RENT  0792863253MEHAD KHALID~A ABDALLAH ELSHAIKH / J amp amp GB SQU AP 13</t>
  </si>
  <si>
    <t>'24254162.0000</t>
  </si>
  <si>
    <t>FTCM26114BAS8E6BY</t>
  </si>
  <si>
    <t>Push to MOMO Charges : AC-100068155597 / 250786088516 imyenda yintebe ap19 1~8Frodouard HABYARIMANA / imyenda yintebe</t>
  </si>
  <si>
    <t>'24253962.0000</t>
  </si>
  <si>
    <t>MTN MOBILE MONEY NEW MOBISERVE : imyenda yintebe / 250786088516 imyenda yintebe ap19 1~8Frodouard HABYARIMANA / imyenda yintebe</t>
  </si>
  <si>
    <t>'24133962.0000</t>
  </si>
  <si>
    <t>FTCM26114QRSUYMFE</t>
  </si>
  <si>
    <t>MTN MOBILE MONEY NEW MOBISERVE : umutekano Imena / 250788750184 umutekano ImenaChanta~l KAYITARE KAYIRANGWA / umutekano Imena</t>
  </si>
  <si>
    <t>'24118962.0000</t>
  </si>
  <si>
    <t>FT26114VJ8S9</t>
  </si>
  <si>
    <t>CREDIT CARD PAYMENT : 1T26042416122171 / 471375X2181/250788750184/Cyabukom~Rwf cc pyt 03/026 / 1T26042416122171</t>
  </si>
  <si>
    <t>'24092260.0000</t>
  </si>
  <si>
    <t>FTCM26115YMYDLGIS</t>
  </si>
  <si>
    <t>Push to MOMO Charges : AC-100068155597 / 250788319909 contribution pour deui~l nkurayijaAlison KANOBANA  RAFIKI / contribution pou</t>
  </si>
  <si>
    <t>'24092060.0000</t>
  </si>
  <si>
    <t>Momo Outward transfer : contribution pou / 250788319909 contribution pour deui~l nkurayijaAlison KANOBANA  RAFIKI / contribution pou</t>
  </si>
  <si>
    <t>'23992060.0000</t>
  </si>
  <si>
    <t>FTCM26115TDLNJI8D</t>
  </si>
  <si>
    <t>MTN MOBILE MONEY NEW MOBISERVE : achat Vs cassero / 250788750184 achat Vs casserolesCh~antal KAYITARE KAYIRANGWA / achat Vs cassero</t>
  </si>
  <si>
    <t>'23822180.0000</t>
  </si>
  <si>
    <t>FTCM26116H02XNV0O</t>
  </si>
  <si>
    <t>MTN MOBILE MONEY NEW MOBISERVE : fuel / 250788750184 fuelChantal KAYITARE~KAYIRANGWA / fuel</t>
  </si>
  <si>
    <t>'23655879.0000</t>
  </si>
  <si>
    <t>FTCM26117P29VBFYP</t>
  </si>
  <si>
    <t>Push to MOMO Charges : AC-100068155597 / 250788531754 imisoro 4 years Kayonz~a parcel upi 99Phoibe UWAMAHORO / imisoro 4 years</t>
  </si>
  <si>
    <t>'23654529.0000</t>
  </si>
  <si>
    <t>MTN MOBILE MONEY NEW MOBISERVE : imisoro 4 years / 250788531754 imisoro 4 years Kayonz~a parcel upi 99Phoibe UWAMAHORO / imisoro 4 years</t>
  </si>
  <si>
    <t>'23496529.0000</t>
  </si>
  <si>
    <t>FTCM26117I9QJXACK</t>
  </si>
  <si>
    <t>Push to MOMO Charges : AC-100068155597 / 250783724054 com parcel kayonzaMod~este UWIMANA / com parcel kayon</t>
  </si>
  <si>
    <t>'23495179.0000</t>
  </si>
  <si>
    <t>MTN MOBILE MONEY NEW MOBISERVE : com parcel kayon / 250783724054 com parcel kayonzaMod~este UWIMANA / com parcel kayon</t>
  </si>
  <si>
    <t>'23295179.0000</t>
  </si>
  <si>
    <t>FTCM26117Q8Y54DFK</t>
  </si>
  <si>
    <t>MTN MOBILE MONEY NEW MOBISERVE : cash inganji sec / 250788750184 cash inganji securite~imane inganjiChantal KAYITARE KAYI / cash inganji sec</t>
  </si>
  <si>
    <t>'23245179.0000</t>
  </si>
  <si>
    <t>FTCM26117H8MMHMGI</t>
  </si>
  <si>
    <t>Push to MOMO Charges : AC-100068155597 / 250787152796 umutekano  inganjiYve~tte MUKABAZIGA / umutekano  ingan</t>
  </si>
  <si>
    <t>'23245079.0000</t>
  </si>
  <si>
    <t>MTN MOBILE MONEY NEW MOBISERVE : umutekano  ingan / 250787152796 umutekano  inganjiYve~tte MUKABAZIGA / umutekano  ingan</t>
  </si>
  <si>
    <t>'23236079.0000</t>
  </si>
  <si>
    <t>FTCM26118GDOFFA9N</t>
  </si>
  <si>
    <t>AC-RWF1701400021002 / 000173482726287748</t>
  </si>
  <si>
    <t>'23235079.0000</t>
  </si>
  <si>
    <t xml:space="preserve">Incomng cheque from localbanks :  / 000173482726287748 ACHAT PARCEL KAYONZA  FOIBA  AND SIBBLING </t>
  </si>
  <si>
    <t>'8735079.0000</t>
  </si>
  <si>
    <t>FTCM26118BY4EX7CA</t>
  </si>
  <si>
    <t>Push to MOMO Charges : AC-100068155597 / 250782744789 com Ap 1Christian IKU~ZWE / com Ap 1</t>
  </si>
  <si>
    <t>'8734879.0000</t>
  </si>
  <si>
    <t>MTN MOBILE MONEY NEW MOBISERVE : com Ap 1 / 250782744789 com Ap 1Christian IKU~ZWE / com Ap 1</t>
  </si>
  <si>
    <t>'8714879.0000</t>
  </si>
  <si>
    <t>FTCM26118FDSMWE6Q</t>
  </si>
  <si>
    <t>Card Purchase :  / WPGTID01 781233 KIGALI~KIGALI       00RW RWF</t>
  </si>
  <si>
    <t>'8596838.0000</t>
  </si>
  <si>
    <t>FTCM261181P4N8M9M</t>
  </si>
  <si>
    <t>Card Purchase :  / 99999999 478733 NAIROBI KENYA~NAIROBI KENYA00KE RWF</t>
  </si>
  <si>
    <t>'8433863.0000</t>
  </si>
  <si>
    <t>FTCM26119WNSJ3TXE</t>
  </si>
  <si>
    <t>Cash deposit-BK YACU : PATRICK ABIZEYIM / RENT FEES 0796080806Bruce / PATRICK ABIZEYIM NTWARI BRUCE SH 6 SH7</t>
  </si>
  <si>
    <t>'9183863.0000</t>
  </si>
  <si>
    <t>FTCM261196W6X0WLH</t>
  </si>
  <si>
    <t>Push to MOMO Charges : AC-100068155597 / 250788688841 kiramuruzi guhingaEri~tier WASE / kiramuruzi guhin</t>
  </si>
  <si>
    <t>'9183663.0000</t>
  </si>
  <si>
    <t>MTN MOBILE MONEY NEW MOBISERVE : kiramuruzi guhin / 250788688841 kiramuruzi guhingaEri~tier WASE / kiramuruzi guhin</t>
  </si>
  <si>
    <t>'9139013.0000</t>
  </si>
  <si>
    <t>FTCM26119QJUQVCNL</t>
  </si>
  <si>
    <t>Internal Transfer charges : AC-100003776144 / coompte mamanKAYITARE KAYIRANGWA C~HANTAL / KAYITARE KAYIRAN</t>
  </si>
  <si>
    <t>'9138913.0000</t>
  </si>
  <si>
    <t>BK to BK NEW MOBISERVE : KAYITARE KAYIRAN / coompte mamanKAYITARE KAYIRANGWA C~HANTAL / KAYITARE KAYIRAN</t>
  </si>
  <si>
    <t>'8638913.0000</t>
  </si>
  <si>
    <t>FTCM26119CYBILBLI</t>
  </si>
  <si>
    <t>AC-100079346599 / 204716986 Wasac billUDL  G2402 C~YABUKOMBE</t>
  </si>
  <si>
    <t>'8638813.0000</t>
  </si>
  <si>
    <t>WASAC NEW MOBISERVE :  / 204716986 Wasac billUDL  G2402 C~YABUKOMBE</t>
  </si>
  <si>
    <t>'8617821.0000</t>
  </si>
  <si>
    <t>FTCM26119FO5DLQBW</t>
  </si>
  <si>
    <t>Push to MOMO Charges : AC-100068155597 / 250792142796 achats apts Ingamji ra~clette balleyDivine ISHIMWE / achats apts Inga</t>
  </si>
  <si>
    <t>'8617621.0000</t>
  </si>
  <si>
    <t>MTN MOBILE MONEY NEW MOBISERVE : achats apts Inga / 250792142796 achats apts Ingamji ra~clette balleyDivine ISHIMWE / achats apts Inga</t>
  </si>
  <si>
    <t>'8580821.0000</t>
  </si>
  <si>
    <t>FTCM26119HO7AGWIN</t>
  </si>
  <si>
    <t>Push to MOMO Charges : AC-100068155597 / 250788542456 amasahani ipanu utuyik~o ap14 17Gaspard Nsengiyumva / amasahani ipanu</t>
  </si>
  <si>
    <t>'8580621.0000</t>
  </si>
  <si>
    <t>MTN MOBILE MONEY NEW MOBISERVE : amasahani ipanu / 250788542456 amasahani ipanu utuyik~o ap14 17Gaspard Nsengiyumva / amasahani ipanu</t>
  </si>
  <si>
    <t>'8537121.0000</t>
  </si>
  <si>
    <t>FTCM26119MEPIYVY7</t>
  </si>
  <si>
    <t>Push to MOMO Charges : AC-100068155597 / 250788542456 2 jug inganjiGaspard~Nsengiyumva / 2 jug inganji</t>
  </si>
  <si>
    <t>'8537021.0000</t>
  </si>
  <si>
    <t>MTN MOBILE MONEY NEW MOBISERVE : 2 jug inganji / 250788542456 2 jug inganjiGaspard~Nsengiyumva / 2 jug inganji</t>
  </si>
  <si>
    <t>'8534021.0000</t>
  </si>
  <si>
    <t>FTCM2611950U8PFMS</t>
  </si>
  <si>
    <t>Push to MOMO Charges : AC-100068155597 / 250781481427 achat aps inganjiShab~ani MUTABAZI / achat aps inganj</t>
  </si>
  <si>
    <t>'8533821.0000</t>
  </si>
  <si>
    <t>MTN MOBILE MONEY NEW MOBISERVE : achat aps inganj / 250781481427 achat aps inganjiShab~ani MUTABAZI / achat aps inganj</t>
  </si>
  <si>
    <t>'8520021.0000</t>
  </si>
  <si>
    <t>FT26120HJ034</t>
  </si>
  <si>
    <t>'3339518.0000</t>
  </si>
  <si>
    <t>FTCM26120JFTHLKTT</t>
  </si>
  <si>
    <t>MTN MOBILE MONEY NEW MOBISERVE : blender vc / 250788750184 blender vcChantal KAY~ITARE KAYIRANGWA / blender vc</t>
  </si>
  <si>
    <t>'3283318.0000</t>
  </si>
  <si>
    <t>FTCM26120C8BIVFFE</t>
  </si>
  <si>
    <t>RTGS Transfer - Charges : AC-RWF1701400801002 / sal Lily mama Isaac / Mpinganzima Lydi</t>
  </si>
  <si>
    <t>'3282318.0000</t>
  </si>
  <si>
    <t>BK TO OTHER BANK NEW MOBISERVE : Mpinganzima Lydi / sal Lily mama Isaac / Mpinganzima Lydi</t>
  </si>
  <si>
    <t>'2982318.0000</t>
  </si>
  <si>
    <t>FTCM26120SIJX1QVH</t>
  </si>
  <si>
    <t>Push to MOMO Charges : AC-100068155597 / 250788688841 training macademia Via~teurEritier WASE / training macadem</t>
  </si>
  <si>
    <t>'2982118.0000</t>
  </si>
  <si>
    <t>MTN MOBILE MONEY NEW MOBISERVE : training macadem / 250788688841 training macademia Via~teurEritier WASE / training macadem</t>
  </si>
  <si>
    <t>'2932118.0000</t>
  </si>
  <si>
    <t>AP 17</t>
  </si>
  <si>
    <t>MOUSSA MOUSTAFA</t>
  </si>
  <si>
    <t>0790335341</t>
  </si>
  <si>
    <t>AP19</t>
  </si>
  <si>
    <t>FTCM261218KDYT2UO</t>
  </si>
  <si>
    <t>Internal Transfer charges : AC-100191878161 / sal Jado InganjiJean De Dieu HAKIZ~IMANA / Jean De Dieu HAK</t>
  </si>
  <si>
    <t>'2932018.0000</t>
  </si>
  <si>
    <t>BK to BK NEW MOBISERVE : Jean De Dieu HAK / sal Jado InganjiJean De Dieu HAKIZ~IMANA / Jean De Dieu HAK</t>
  </si>
  <si>
    <t>'2852018.0000</t>
  </si>
  <si>
    <t>FTCM261213K1URQV0</t>
  </si>
  <si>
    <t>Push to MOMO Charges : AC-100068155597 / 250781192754 sal Hakiza Theo Imena~Theoneste HAKIZIMANA / sal Hakiza Theo</t>
  </si>
  <si>
    <t>'2851818.0000</t>
  </si>
  <si>
    <t>MTN MOBILE MONEY NEW MOBISERVE : sal Hakiza Theo / 250781192754 sal Hakiza Theo Imena~Theoneste HAKIZIMANA / sal Hakiza Theo</t>
  </si>
  <si>
    <t>'2761818.0000</t>
  </si>
  <si>
    <t>FTCM26121DKKTQWJS</t>
  </si>
  <si>
    <t>'2760468.0000</t>
  </si>
  <si>
    <t>'2274468.0000</t>
  </si>
  <si>
    <t>FTCM26121BMUYCXU6</t>
  </si>
  <si>
    <t>'2204468.0000</t>
  </si>
  <si>
    <t>FTCM26121RLTDP0WM</t>
  </si>
  <si>
    <t>'2944468.0000</t>
  </si>
  <si>
    <t>FTCM26121TC0BYZXN</t>
  </si>
  <si>
    <t>Push to MOMO Charges : AC-100068155597 / 250783361715 Imena siliconesCelest~in NSENGIYUMVA / Imena silicones</t>
  </si>
  <si>
    <t>'2944268.0000</t>
  </si>
  <si>
    <t>'2887268.0000</t>
  </si>
  <si>
    <t>FTCM26121Q8FOXDTR</t>
  </si>
  <si>
    <t>'3217268.0000</t>
  </si>
  <si>
    <t>FTCM26121OK8PDJVM</t>
  </si>
  <si>
    <t>Push to MOMO Charges : AC-100068155597 / 250783361715 mo celestin vitreCele~stin NSENGIYUMVA / mo celestin vitr</t>
  </si>
  <si>
    <t>'3217068.0000</t>
  </si>
  <si>
    <t>MTN MOBILE MONEY NEW MOBISERVE : mo celestin vitr / 250783361715 mo celestin vitreCele~stin NSENGIYUMVA / mo celestin vitr</t>
  </si>
  <si>
    <t>'3202068.0000</t>
  </si>
  <si>
    <t>FTCM26121A693RX56</t>
  </si>
  <si>
    <t>Push to MOMO Charges : AC-100068155597 / 250785050340 costume papaJeremie H~IRWA / costume papa</t>
  </si>
  <si>
    <t>'3200718.0000</t>
  </si>
  <si>
    <t>MTN MOBILE MONEY NEW MOBISERVE : costume papa / 250785050340 costume papaJeremie H~IRWA / costume papa</t>
  </si>
  <si>
    <t>'3010718.0000</t>
  </si>
  <si>
    <t>FTCM26121ER5CMHBG</t>
  </si>
  <si>
    <t>Push to MOMO Charges : AC-100068155597 / 250781510235 mo h Imena cashpower a~p5Eric NTAKIRUTIMANA / mo h Imena cashp</t>
  </si>
  <si>
    <t>'3010618.0000</t>
  </si>
  <si>
    <t>MTN MOBILE MONEY NEW MOBISERVE : mo h Imena cashp / 250781510235 mo h Imena cashpower a~p5Eric NTAKIRUTIMANA / mo h Imena cashp</t>
  </si>
  <si>
    <t>'3000618.0000</t>
  </si>
  <si>
    <t>FTCM26121LDTBUAMN</t>
  </si>
  <si>
    <t>Push to MOMO Charges : AC-100068155597 / 250782528462 commission Ap17 EmmyE~mmanuel NIYONSABA / commission Ap17</t>
  </si>
  <si>
    <t>'3000418.0000</t>
  </si>
  <si>
    <t>MTN MOBILE MONEY NEW MOBISERVE : commission Ap17 / 250782528462 commission Ap17 EmmyE~mmanuel NIYONSABA / commission Ap17</t>
  </si>
  <si>
    <t>'2982918.0000</t>
  </si>
  <si>
    <t>FTCM2612116HNWUCT</t>
  </si>
  <si>
    <t>'3312918.0000</t>
  </si>
  <si>
    <t>FTCM26122QJZD9VBY</t>
  </si>
  <si>
    <t>'3972918.0000</t>
  </si>
  <si>
    <t>FTCM26122UVEHVEPB</t>
  </si>
  <si>
    <t>MTN MOBILE MONEY NEW MOBISERVE : cashpower Vc / 250788750184 cashpower VcChantal K~AYITARE KAYIRANGWA / cashpower Vc</t>
  </si>
  <si>
    <t>'3907918.0000</t>
  </si>
  <si>
    <t>FTCM26123IT9LC9EU</t>
  </si>
  <si>
    <t>'4907918.0000</t>
  </si>
  <si>
    <t>FTCM26123BLYUGIOK</t>
  </si>
  <si>
    <t>Push to MOMO Charges : AC-100068155597 / 250781510235 instal el sh 4 vc lamp~esEric NTAKIRUTIMANA / instal el sh 4 v</t>
  </si>
  <si>
    <t>'4907718.0000</t>
  </si>
  <si>
    <t>MTN MOBILE MONEY NEW MOBISERVE : instal el sh 4 v / 250781510235 instal el sh 4 vc lamp~esEric NTAKIRUTIMANA / instal el sh 4 v</t>
  </si>
  <si>
    <t>'4843718.0000</t>
  </si>
  <si>
    <t>FTCM26123E7EOTA4W</t>
  </si>
  <si>
    <t>Push to MOMO Charges : AC-100068155597 / 250780512136 9 lamps ap 1 9Jean De~Dieu HAKIZIMANA / 9 lamps ap 1 9</t>
  </si>
  <si>
    <t>'4843518.0000</t>
  </si>
  <si>
    <t>MTN MOBILE MONEY NEW MOBISERVE : 9 lamps ap 1 9 / 250780512136 9 lamps ap 1 9Jean De~Dieu HAKIZIMANA / 9 lamps ap 1 9</t>
  </si>
  <si>
    <t>'4829518.0000</t>
  </si>
  <si>
    <t>FTCM26123SDP4F7A1</t>
  </si>
  <si>
    <t>'5159518.0000</t>
  </si>
  <si>
    <t>FTCM26124KIMU2BGH</t>
  </si>
  <si>
    <t>EKASH Charges : AC-RWF1701400921002 / 0790419946 ukwezi kwa KaneAlphonsi~ne INEZA / Alphonsine INEZA</t>
  </si>
  <si>
    <t>'5159268.0000</t>
  </si>
  <si>
    <t>EKASH-NEW MOBISERVE : Alphonsine INEZA / 0790419946 ukwezi kwa KaneAlphonsi~ne INEZA / Alphonsine INEZA</t>
  </si>
  <si>
    <t>'5099268.0000</t>
  </si>
  <si>
    <t>FTCM26124RLVTM6DB</t>
  </si>
  <si>
    <t>'5449268.0000</t>
  </si>
  <si>
    <t>FTCM261253ANWFEBK</t>
  </si>
  <si>
    <t>Push to MOMO Charges : AC-100068155597 / 250788567251 communication LilyLyd~ia MPINGANZIMA / communication Li</t>
  </si>
  <si>
    <t>'5449168.0000</t>
  </si>
  <si>
    <t>MTN MOBILE MONEY NEW MOBISERVE : communication Li / 250788567251 communication LilyLyd~ia MPINGANZIMA / communication Li</t>
  </si>
  <si>
    <t>'5439168.0000</t>
  </si>
  <si>
    <t>FTCM26125CY0RDLH2</t>
  </si>
  <si>
    <t>'5769168.0000</t>
  </si>
  <si>
    <t>FTCM26125LUEYSATG</t>
  </si>
  <si>
    <t>'6019168.0000</t>
  </si>
  <si>
    <t>FTCM26125Y6EOMY2E</t>
  </si>
  <si>
    <t>'6349168.0000</t>
  </si>
  <si>
    <t>FTCM26125FRVLWIFW</t>
  </si>
  <si>
    <t>'7149168.0000</t>
  </si>
  <si>
    <t>FTCM261263NLWGZ9O</t>
  </si>
  <si>
    <t>'7469168.0000</t>
  </si>
  <si>
    <t>FTCM26126KIDVNYKN</t>
  </si>
  <si>
    <t>MTN MOBILE MONEY NEW MOBISERVE : Imena cashpower / 250788750184 Imena cashpowerChanta~l KAYITARE KAYIRANGWA / Imena cashpower</t>
  </si>
  <si>
    <t>'7389168.0000</t>
  </si>
  <si>
    <t>TT26126MKPJK</t>
  </si>
  <si>
    <t>'7759168.0000</t>
  </si>
  <si>
    <t>FTCM26126PUKA6C25</t>
  </si>
  <si>
    <t>'8159168.0000</t>
  </si>
  <si>
    <t>FTCM261278LJZASUH</t>
  </si>
  <si>
    <t>Push to MOMO Charges : AC-100068155597 / 250789055591 kiramuruzi kuvura ikim~asa jersey ni inyanaChristophe MBA / kiramuruzi kuvur</t>
  </si>
  <si>
    <t>'8158968.0000</t>
  </si>
  <si>
    <t>MTN MOBILE MONEY NEW MOBISERVE : kiramuruzi kuvur / 250789055591 kiramuruzi kuvura ikim~asa jersey ni inyanaChristophe MBA / kiramuruzi kuvur</t>
  </si>
  <si>
    <t>'8061668.0000</t>
  </si>
  <si>
    <t>FTCM26127A6EDDV45</t>
  </si>
  <si>
    <t>Internal Transfer charges : AC-100022911378 / Imena April Ireme securityIREME CO~OPERATIVE SECURITY amp amp amp HYG / IREME COOPERATIV</t>
  </si>
  <si>
    <t>'8061568.0000</t>
  </si>
  <si>
    <t>BK to BK NEW MOBISERVE : IREME COOPERATIV / Imena April Ireme securityIREME CO~OPERATIVE SECURITY amp amp amp HYG / IREME COOPERATIV</t>
  </si>
  <si>
    <t>'7861568.0000</t>
  </si>
  <si>
    <t>FTCM26127LKKWQDHF</t>
  </si>
  <si>
    <t>'7861468.0000</t>
  </si>
  <si>
    <t>'7816484.0000</t>
  </si>
  <si>
    <t>FTCM261274PIHC6QU</t>
  </si>
  <si>
    <t>'7866484.0000</t>
  </si>
  <si>
    <t>TT26128L3F22</t>
  </si>
  <si>
    <t>'8196484.0000</t>
  </si>
  <si>
    <t>FTCM26128FGUGMUKO</t>
  </si>
  <si>
    <t>Push to MOMO Charges : AC-100068155597 / 250788688841 gufumbira macademiaEr~itier WASE / gufumbira macade</t>
  </si>
  <si>
    <t>'8196284.0000</t>
  </si>
  <si>
    <t>MTN MOBILE MONEY NEW MOBISERVE : gufumbira macade / 250788688841 gufumbira macademiaEr~itier WASE / gufumbira macade</t>
  </si>
  <si>
    <t>'8147934.0000</t>
  </si>
  <si>
    <t>FTCM26129O0XX0O9U</t>
  </si>
  <si>
    <t>Push to MOMO Charges : AC-100068155597 / 250788567251 internet appel 10k Lil~y gukora evier Ap1Lydia MPINGANZIM / internet appel 1</t>
  </si>
  <si>
    <t>'8147734.0000</t>
  </si>
  <si>
    <t>MTN MOBILE MONEY NEW MOBISERVE : internet appel 1 / 250788567251 internet appel 10k Lil~y gukora evier Ap1Lydia MPINGANZIM / internet appel 1</t>
  </si>
  <si>
    <t>'8122734.0000</t>
  </si>
  <si>
    <t>FTCM261294Z8ILWGJ</t>
  </si>
  <si>
    <t>'8622734.0000</t>
  </si>
  <si>
    <t>FTCM26129LGIDTRA9</t>
  </si>
  <si>
    <t>'8782734.0000</t>
  </si>
  <si>
    <t>FTCM2612931MQK1GE</t>
  </si>
  <si>
    <t>Push to MOMO Charges : AC-100068155597 / 250780512136 avance Jado Inganji ho~use keeperJean De Dieu HAKIZIMANA / avance Jado Inga</t>
  </si>
  <si>
    <t>'8782534.0000</t>
  </si>
  <si>
    <t>MTN MOBILE MONEY NEW MOBISERVE : avance Jado Inga / 250780512136 avance Jado Inganji ho~use keeperJean De Dieu HAKIZIMANA / avance Jado Inga</t>
  </si>
  <si>
    <t>'8742534.0000</t>
  </si>
  <si>
    <t>FTCM261290S5Y8F3N</t>
  </si>
  <si>
    <t>'8917534.0000</t>
  </si>
  <si>
    <t>FUEL reparation Prado</t>
  </si>
  <si>
    <t>kayonza</t>
  </si>
  <si>
    <t>ELIAS</t>
  </si>
  <si>
    <t>Date</t>
  </si>
  <si>
    <t>Narration complète</t>
  </si>
  <si>
    <t>Motif / bénéficiaire extrait</t>
  </si>
  <si>
    <t>Téléphone extrait</t>
  </si>
  <si>
    <t>Débit RWF</t>
  </si>
  <si>
    <t>BK CHARGES</t>
  </si>
  <si>
    <t xml:space="preserve">bk loan </t>
  </si>
  <si>
    <t>commission</t>
  </si>
  <si>
    <t>sal mama 03 04</t>
  </si>
  <si>
    <t>sal kiramuruzi</t>
  </si>
  <si>
    <t>kiramuruzi depense</t>
  </si>
  <si>
    <t>sal Imena Inganji</t>
  </si>
  <si>
    <t xml:space="preserve">mo elias </t>
  </si>
  <si>
    <t>rra  parcele kayonza</t>
  </si>
  <si>
    <t>peinture inganji</t>
  </si>
  <si>
    <t>securite imena garbage inganji</t>
  </si>
  <si>
    <t>retur deposit sh4</t>
  </si>
  <si>
    <t>Imena inganji invest cass ap 17 ap 19 21</t>
  </si>
  <si>
    <t>water Imena inganji electricity</t>
  </si>
  <si>
    <t>prado rep and fiuel</t>
  </si>
  <si>
    <t>VISION CITY</t>
  </si>
  <si>
    <t>TICKET NAIROBI</t>
  </si>
  <si>
    <t>BANK BK</t>
  </si>
  <si>
    <t>SOCIAL FAM</t>
  </si>
  <si>
    <t>Incomng cheque from localbanks :  / 000173482726287748</t>
  </si>
  <si>
    <t>Loan Repayment :  /  -</t>
  </si>
  <si>
    <t>-</t>
  </si>
  <si>
    <t>KAYITARE KAYIRAN</t>
  </si>
  <si>
    <t>Mpinganzima Lydi</t>
  </si>
  <si>
    <t>ELIAS NGENDAHAYO</t>
  </si>
  <si>
    <t>1352659403 UWAMAHORO PHOIBE  250000~1408673945  108653863  191  Sale~of Immovable Property  37  KAYONZA</t>
  </si>
  <si>
    <t>peintura Ap 2 0l</t>
  </si>
  <si>
    <t>IREME COOPERATIV</t>
  </si>
  <si>
    <t>return deposit S</t>
  </si>
  <si>
    <t>compte maman</t>
  </si>
  <si>
    <t>com parcel kayon</t>
  </si>
  <si>
    <t>return  deposit</t>
  </si>
  <si>
    <t>achat Vs cassero</t>
  </si>
  <si>
    <t>224011778 Wasac billKAYIRANGWA CHA~NTAL</t>
  </si>
  <si>
    <t>fuel</t>
  </si>
  <si>
    <t>2 mdf cuisine ab</t>
  </si>
  <si>
    <t>99999999 478733 NAIROBI KENYA~NAIROBI KENYA00KE RWF</t>
  </si>
  <si>
    <t>imisoro 4 years</t>
  </si>
  <si>
    <t>fuel prado moses</t>
  </si>
  <si>
    <t>fuel Prado</t>
  </si>
  <si>
    <t>4draps et 2 couv</t>
  </si>
  <si>
    <t>imyenda yintebe</t>
  </si>
  <si>
    <t>WPGTID01 781233 KIGALI~KIGALI       00RW RWF</t>
  </si>
  <si>
    <t>7N3QWJUF 137237 14158799686~14158799686 00US RWF</t>
  </si>
  <si>
    <t>David</t>
  </si>
  <si>
    <t>contribution pou</t>
  </si>
  <si>
    <t>Imena Hakiza com</t>
  </si>
  <si>
    <t>main d oeuvre 60</t>
  </si>
  <si>
    <t>bacs  Frigo et s</t>
  </si>
  <si>
    <t>Jean De Dieu HAK</t>
  </si>
  <si>
    <t>cashpower Imena</t>
  </si>
  <si>
    <t>2 set casseroles</t>
  </si>
  <si>
    <t>pompe a eau Prad</t>
  </si>
  <si>
    <t>robinet lavabo s</t>
  </si>
  <si>
    <t>transport Zaneta</t>
  </si>
  <si>
    <t>Imena isuku buil</t>
  </si>
  <si>
    <t>cashpower Inganj</t>
  </si>
  <si>
    <t>kiramuruzi medic</t>
  </si>
  <si>
    <t>blender vc</t>
  </si>
  <si>
    <t>cash inganji sec</t>
  </si>
  <si>
    <t>training macadem</t>
  </si>
  <si>
    <t>kiramuruI etrier</t>
  </si>
  <si>
    <t>kiramuruzi guhin</t>
  </si>
  <si>
    <t>amasahani ipanu</t>
  </si>
  <si>
    <t>achats apts Inga</t>
  </si>
  <si>
    <t>pochette phone</t>
  </si>
  <si>
    <t>moustiquaires ap</t>
  </si>
  <si>
    <t>mdf</t>
  </si>
  <si>
    <t>reparation</t>
  </si>
  <si>
    <t>Notaire achat pa</t>
  </si>
  <si>
    <t>internet liquid</t>
  </si>
  <si>
    <t>reparation Prado</t>
  </si>
  <si>
    <t>1T26042416122171</t>
  </si>
  <si>
    <t>avance  500 sach</t>
  </si>
  <si>
    <t>peintre ap 21 ga</t>
  </si>
  <si>
    <t>876109916488 Irembo billIrembo Ser~vice IREMBO COLLECTION ACCOUNT</t>
  </si>
  <si>
    <t>achat products A</t>
  </si>
  <si>
    <t>204716986 Wasac billUDL  G2402 C~YABUKOMBE</t>
  </si>
  <si>
    <t>mo peintre Esai</t>
  </si>
  <si>
    <t>momo mission mam</t>
  </si>
  <si>
    <t>kiramuruzi doudo</t>
  </si>
  <si>
    <t>reparation chauf</t>
  </si>
  <si>
    <t>com Ap 1</t>
  </si>
  <si>
    <t>com frank ap 18</t>
  </si>
  <si>
    <t>peinture Ap 2 Ap</t>
  </si>
  <si>
    <t>route Kiramuruzi</t>
  </si>
  <si>
    <t>fuel Elias</t>
  </si>
  <si>
    <t>umutekano Imena</t>
  </si>
  <si>
    <t>achat aps inganj</t>
  </si>
  <si>
    <t>avance mo plombi</t>
  </si>
  <si>
    <t>reparation cuisi</t>
  </si>
  <si>
    <t>aide Modeste mal</t>
  </si>
  <si>
    <t>organisation s k</t>
  </si>
  <si>
    <t>communication Li</t>
  </si>
  <si>
    <t>avance reparation machi</t>
  </si>
  <si>
    <t>carreaux Fidele</t>
  </si>
  <si>
    <t>sae 40 machine K</t>
  </si>
  <si>
    <t>umutekano  ingan</t>
  </si>
  <si>
    <t>kiramuruzi corde</t>
  </si>
  <si>
    <t>avance peintre A</t>
  </si>
  <si>
    <t>tourne vis et pr</t>
  </si>
  <si>
    <t>produit rideaux</t>
  </si>
  <si>
    <t>4cles Inganji</t>
  </si>
  <si>
    <t>2 jug inganji</t>
  </si>
  <si>
    <t>kira tranport du</t>
  </si>
  <si>
    <t>250788688841 sal kiramuruziEritier~WASE</t>
  </si>
  <si>
    <t>250792957653 fuel prado moses refun~dMoses CYABUKOMBE</t>
  </si>
  <si>
    <t>250796696881 return  deposit Ap2 Ol~aOLA HASHIM MOHAMED AMAN</t>
  </si>
  <si>
    <t>250796696881 return deposit Sh4 HUW~IDA mother OlaOLA HASHIM MOHAMED A</t>
  </si>
  <si>
    <t>250788676778 2 mdf cuisine abimeEm~elyne UMUHOZA</t>
  </si>
  <si>
    <t>250788531754 imisoro 4 years Kayonz~a parcel upi 99Phoibe UWAMAHORO</t>
  </si>
  <si>
    <t>250783724054 com parcel kayonzaMod~este UWIMANA</t>
  </si>
  <si>
    <t>moto DOM JADO</t>
  </si>
  <si>
    <t>AC-RWF1701400021002</t>
  </si>
  <si>
    <t>AC-RWF1701400801002</t>
  </si>
  <si>
    <t>250788422371 transport Zaneta stage~a kigaliJosephine Mukandoli</t>
  </si>
  <si>
    <t>250788346611 pochette phoneJean De~Dieu HANYURWIMFURA</t>
  </si>
  <si>
    <t>250785480225 peinture Ap 2 Ap 19Is~aie GASASIRA</t>
  </si>
  <si>
    <t>250784150078 reparation cuisinire E~mmy GasEdson KWIZERA</t>
  </si>
  <si>
    <t>250785480225 mo peintre Esai inganj~i ap 19Isaie GASASIRA</t>
  </si>
  <si>
    <t>250788605907 reparationJoseph BIGI~MBU</t>
  </si>
  <si>
    <t>250783724054 avance  500 sachets pe~pinieres modesteModeste UWIMANA</t>
  </si>
  <si>
    <t>250794574040 4draps et 2 couvret li~tsValerie MUKANKURUNZIZA</t>
  </si>
  <si>
    <t>250788273991 achat products Ap 19S~amuel NZAMURAMBAHO</t>
  </si>
  <si>
    <t>250798977716 2 set casseroles ingan~jiAlia KANYANA</t>
  </si>
  <si>
    <t>250788688841 route KiramuruziEriti~er WASE</t>
  </si>
  <si>
    <t>250781550829 pompe a eau PradoDavi~d CYABUKOMBE</t>
  </si>
  <si>
    <t>250788874823 moustiquaires ap 19 ap~21Marie Rose UMURINGA</t>
  </si>
  <si>
    <t>250783469811 Notaire achat parcel K~syonza PhoibeJeanne MUHAWENIMANA</t>
  </si>
  <si>
    <t>250780526847 reparation PradoCeles~tin NSANZUMUHIRE</t>
  </si>
  <si>
    <t>250786789153 kiramuruzi doudouJust~in TWAGIRIMANA</t>
  </si>
  <si>
    <t>250786378547 com frank ap 18Xxx NS~HIMIYIMANA</t>
  </si>
  <si>
    <t>250785480225 peintre ap 21 gasasira~Isaie GASASIRA</t>
  </si>
  <si>
    <t>250794600148 reparation chauffe eau~and shutoff roof top toiletJohn</t>
  </si>
  <si>
    <t>250780526896 robinet lavabo syfon f~lexible sifon de solJanvier MUSONI</t>
  </si>
  <si>
    <t>250788622667 mdfEugene Bizumuremyi</t>
  </si>
  <si>
    <t>250781510235 avance mo plombier Eti~cEric NTAKIRUTIMANA</t>
  </si>
  <si>
    <t>250781550829 DavidDavid CYABUKOMBE</t>
  </si>
  <si>
    <t>250783222630 fuel EliasElias Ngend~ahayo</t>
  </si>
  <si>
    <t>250788663048 kiramuruI etrier pour~macademiaIsaac NZIRORERA</t>
  </si>
  <si>
    <t>250786789153 kiramuruzi medicament~vachesJustin TWAGIRIMANA</t>
  </si>
  <si>
    <t>250781510235 main d oeuvre 60k ibik~oresho bya finished urubati igikoni</t>
  </si>
  <si>
    <t>250786088516 imyenda yintebe ap19 1~8Frodouard HABYARIMANA</t>
  </si>
  <si>
    <t>250788319909 contribution pour deui~l nkurayijaAlison KANOBANA  RAFIKI</t>
  </si>
  <si>
    <t>250782744789 com Ap 1Christian IKU~ZWE</t>
  </si>
  <si>
    <t>250788688841 kiramuruzi guhingaEri~tier WASE</t>
  </si>
  <si>
    <t>250792142796 achats apts Ingamji ra~clette balleyDivine ISHIMWE</t>
  </si>
  <si>
    <t>250788542456 amasahani ipanu utuyik~o ap14 17Gaspard Nsengiyumva</t>
  </si>
  <si>
    <t>250781481427 achat aps inganjiShab~ani MUTABAZI</t>
  </si>
  <si>
    <t>250788688841 training macademia Via~teurEritier WASE</t>
  </si>
  <si>
    <t>250783724054 aide Modeste maladeMo~deste UWIMANA</t>
  </si>
  <si>
    <t>solde modification toiture roof top~ELIAS NGENDAHAYO</t>
  </si>
  <si>
    <t>Apro Cpte MamanKAYITARE KAYIRANGWA~CHANTAL</t>
  </si>
  <si>
    <t>250788501582 organisation s kwibuka~Jeanne Basabe</t>
  </si>
  <si>
    <t>250788567251 communication Lily int~ernet et appelaLydia MPINGANZIMA</t>
  </si>
  <si>
    <t>250795597246 tourne vis et produit~carreauxMarie Rose UMURINGA</t>
  </si>
  <si>
    <t>250785480225 avance peintre A2Isai~e GASASIRA</t>
  </si>
  <si>
    <t>Securite Imena CFTIREME COOPERATIV~E SECURITY amp amp amp HYG</t>
  </si>
  <si>
    <t>250788605907 reparation machine a c~ouper herbeJoseph BIGIMBU</t>
  </si>
  <si>
    <t>250785499869 sae 40 machine Kiramur~uziIYAMUREMYE EMMANUELL</t>
  </si>
  <si>
    <t>250788663048 kiramuruzi corde macad~emiaIsaac NZIRORERA</t>
  </si>
  <si>
    <t>250782002220 kira tranport duduAlp~honse MUTABAZI</t>
  </si>
  <si>
    <t>250786859223 carreaux Fidele macon~mme SolangeSolange NYIRANSANZIMFUR</t>
  </si>
  <si>
    <t>250784025318 4cles InganjiJean d A~mour NIYITEGEKA</t>
  </si>
  <si>
    <t>250788870889 moto DOM JADOGratien~MANIRAGABA</t>
  </si>
  <si>
    <t>250787152796 umutekano  inganjiYve~tte MUKABAZIGA</t>
  </si>
  <si>
    <t>coompte mamanKAYITARE KAYIRANGWA C~HANTAL</t>
  </si>
  <si>
    <t>250788542456 2 jug inganjiGaspard~Nsengiyumva</t>
  </si>
  <si>
    <t>MTN Push to Bank :  / MTNPUSH27770798027250795016110  RADWAN HATHAM  AD TO MOVE FROM AP 20 TO AP 19</t>
  </si>
  <si>
    <t>New App BK-BK Account Transfer : BLONDELLE DUCHEL / Idrise house rent and cotion fee~the month of may to June starting r~ent date 15 th of may CYABUKOMBE BLONDELLE DUCHEL AP 2</t>
  </si>
  <si>
    <t>New App BK-BK Account Transfer : BLONDELLE DUCHEL / Idriss house rent CYABUKOMBE ALBER~T / BLONDELLE DUCHEL AP 2</t>
  </si>
  <si>
    <t>MTN Push to Bank :  / MTNPUSH27736759783250781464264 JOSEPH MUTAMBAKI KYALO SH 10</t>
  </si>
  <si>
    <t>MTN Push to Bank :  / MTNPUSH27681243254250781464264 JOSEPH MUTAMBAKI CYALO SH 5</t>
  </si>
  <si>
    <t>Incoming  Trsf frm local banks :  / ZANNU JULIUS DONA RTOMICC01084149 MAI JUNE AP 4</t>
  </si>
  <si>
    <t>Incoming  Trsf frm local banks :  / NCUBE CHIDOCHASHE SITHABISO 0000025~43227 MB Local Transfer May AP 8</t>
  </si>
  <si>
    <t>New App BK-BK Account Transfer : BLONDELLE DUCHEL / Idrise house rent CYABUKOMBE ALBER~T / BLONDELLE DUCHEL AP 2</t>
  </si>
  <si>
    <t>MTN MOBILE MONEY NEW MOBISERVE : cashpower Inganj / 250788750184 cashpower InganjiChan~tal KAYITARE KAYIRANGWA / cashpower Ingan</t>
  </si>
  <si>
    <t>MTN Push to Bank :  / MTNPUSH27645829114250790335341 MOUSSA MOUSTAFA AP 17</t>
  </si>
  <si>
    <t>Incoming  Trsf frm local banks :  / SIBUSISIWE DUBE 000002544129 IB Loc~al Transfer May AP 5</t>
  </si>
  <si>
    <t>MTN Push to Bank :  / MTNPUSH27709475815250796681084 AISHA AP 18</t>
  </si>
  <si>
    <t xml:space="preserve">Cash deposit-BK YACU : HARERIMANA ENOC / RENT 0791903693REEMA Jemal / HARERIMANA ENOC REEMA JAMEL SH 8 </t>
  </si>
  <si>
    <t>New App BK-BK Account Transfer : ABIYINGOMA CHRIS / Rent payment May ap11CYABUKOMBE AL~BERT / ABIYINGOMA CHRIS  AP 11</t>
  </si>
  <si>
    <t xml:space="preserve">MTN Push to Bank :  / MTNPUSH27741700261250796895100 BABRA GUTENGA SH3 </t>
  </si>
  <si>
    <t>Cash Deposit : RADWAN HAITHAM/ HOUSE RENT /  / RADWAN HAITHAM/ HOUSE RENT AP 19</t>
  </si>
  <si>
    <t>Outwards Off-Us Dmstic  Cheque :  / CYABUKOMBE ALBERT00000025ECO LAUNDR~Y DRY CLEANER LTD SH 2</t>
  </si>
  <si>
    <t xml:space="preserve">Incoming  Trsf frm local banks :  / UDOKANMA SHARON GEORGEWILL 00000255~4775 MB Local Transfer Half AP 15 </t>
  </si>
  <si>
    <t>MTN MOBILE MONEY NEW MOBISERVE : Imena silicones / 250783361715 Imena siliconesCelest~in NSENGIYUMVA / Imena silicones Amazi aca hejru yinzi akajya mur ap 8</t>
  </si>
  <si>
    <t>pap</t>
  </si>
  <si>
    <t>COMMISSION</t>
  </si>
  <si>
    <t>VC</t>
  </si>
  <si>
    <t>AC-100079346599 / 224013068 Wasac billCYABUKOMBE Alb~ert INGANJI</t>
  </si>
  <si>
    <t>WASAC NEW MOBISERVE :  / 224013068 Wasac billCYABUKOMBE Alb~ert INGAJI</t>
  </si>
  <si>
    <t>0796236336</t>
  </si>
  <si>
    <t>ETHIOPIA</t>
  </si>
  <si>
    <t>JOSELYNE UMUGWANEZA  UMUTONI</t>
  </si>
  <si>
    <t>AP 12</t>
  </si>
  <si>
    <t>Incoming  Trsf frm local banks :  / ALI KERIM NGARIERA  TOULOUMON ANTOINE TAMRAT  RTOMICC01073992 AP 1</t>
  </si>
  <si>
    <t>MTN Push to Bank :  / MTNPUSH27470608976250796236336 ALI KERIM NGARIERA TOULOUMON ANTOINE TAMRAT AVANCE  AP1</t>
  </si>
  <si>
    <t xml:space="preserve"> TOULOUMON ANTOINE TAMRAT (ARI KERIM NGARIERA)</t>
  </si>
  <si>
    <t>MUSA MOUSTAPHA MOUSSA</t>
  </si>
  <si>
    <t>LEFT JANUAR</t>
  </si>
  <si>
    <t>LEFT</t>
  </si>
  <si>
    <t>SARAH AHMED ALIABDELRAZIG ( MOUSTAPHA HASSAN)</t>
  </si>
  <si>
    <t>GEORGEWILL UDOKANMA SHARON</t>
  </si>
  <si>
    <t>0790305572</t>
  </si>
  <si>
    <t>NIGERIA</t>
  </si>
  <si>
    <t>JUIN</t>
  </si>
  <si>
    <t xml:space="preserve">RECETTES </t>
  </si>
  <si>
    <t>MACADEMIA</t>
  </si>
  <si>
    <t>SAL Imen inganji</t>
  </si>
  <si>
    <t>depenses  inganji imena</t>
  </si>
  <si>
    <t>depenses kiramuruzi</t>
  </si>
  <si>
    <t>fuel et  repar prado</t>
  </si>
  <si>
    <t>sociale</t>
  </si>
  <si>
    <t xml:space="preserve">kayonza </t>
  </si>
  <si>
    <t>MTN Push to Bank :  / MTNPUSH25147020760250796681084</t>
  </si>
  <si>
    <t>MTN Push to Bank :  / MTNPUSH25166234933250788750184</t>
  </si>
  <si>
    <t>New App BK-BK Account Transfer : ABIYINGOMA CHRIS / Rent payment January CYABUKOMBE AL~BERT / ABIYINGOMA CHRIS</t>
  </si>
  <si>
    <t>Incoming  Trsf frm local banks :  / SIBUSISIWE DUBE 000002349240 IB Loc~al Transfer Janu</t>
  </si>
  <si>
    <t>Outwards Off-Us Dmstic  Cheque :  / CYABUKOMBE ALBERT00000213ECO LAUNDR~Y AND DRY CLEANER LTD</t>
  </si>
  <si>
    <t>MTN Push to Bank :  / MTNPUSH25457360003250796681084</t>
  </si>
  <si>
    <t>'5352916.0000</t>
  </si>
  <si>
    <t>MTN Push to Bank :  / MTNPUSH26797198742250796681084</t>
  </si>
  <si>
    <t>Cash deposit-BK YACU : J amp amp GB SQU / RENT 0792863253MEHAD KHALIDA ABDAL~LAH ELSHAIKH / J amp amp GB SQU</t>
  </si>
  <si>
    <t>MTN Push to Bank :  / MTNPUSH26885483138250781464264</t>
  </si>
  <si>
    <t>AP 3</t>
  </si>
  <si>
    <t>OBI CHUKWUDI</t>
  </si>
  <si>
    <t>JUNE</t>
  </si>
  <si>
    <t>AP 2</t>
  </si>
  <si>
    <t>MTN Push to Bank :  / MTNPUSH25346934986250793108407 AHABWE AGNES LYNN AP 16</t>
  </si>
  <si>
    <t>MTN Push to Bank :  / MTNPUSH25357009430250793190257 YVAN NSENGIYUMVA AP9</t>
  </si>
  <si>
    <t>MTN Push to Bank :  / MTNPUSH25358450300250796510555 EMADELDIN MOHAMEDNOUR ABUBAKR AHMED AP 15</t>
  </si>
  <si>
    <t>MTN Push to Bank :  / MTNPUSH25410335735250795602483 YASSIN HAFEZ MOHAMMED AP 14</t>
  </si>
  <si>
    <t>Cash Deposit : EMERALD SUPERMARKET/VRST /  / EMERALD SUPERMARKET/VRST  SH 1</t>
  </si>
  <si>
    <t>MTN Push to Bank :  / MTNPUSH25550707469250795602483 YASSIN MOHAMED YOUNIS AP 14</t>
  </si>
  <si>
    <t>Cash Deposit : HERITAGE SALON/RENT /  / HERITAGE SALON/RENT  SH 6 AND 7</t>
  </si>
  <si>
    <t>Cash deposit-BK YACU : NYIRANEZA JOSELI / HOUSE RENT 0792863253MEHAD KHALIDA~ABDALLAH ELSHAIKH / NYIRANEZA JOSELI AP 20</t>
  </si>
  <si>
    <t>MTN Push to Bank :  / MTNPUSH25600146330250793145770 ODEBUNMI FIYINFOLUWA PHILIP AP 1</t>
  </si>
  <si>
    <t>Cash Deposit : VRS/AP 15 MOHAMEDOUR /  / VRS/AP 15 MOHAMEDOUR AP 15</t>
  </si>
  <si>
    <t>Cash deposit-BK YACU : HARERIMANA ENOC / RENT 0791903693REEMA / HARERIMANA ENOC REEMA JEMAL ANWAR FTWI SH 8</t>
  </si>
  <si>
    <t xml:space="preserve">Cash Deposit : AP 20/RADWAN HATHAM /  / AP 20/RADWAN HATHAM WITH RASHA AP 20 </t>
  </si>
  <si>
    <t>Incoming  Trsf frm local banks :  / SIBUSISIWE DUBE 000002392235 IB Loc~al Transfer FebrAP 5</t>
  </si>
  <si>
    <t>'740000.0000</t>
  </si>
  <si>
    <t>MTN MOBILE MONEY NEW MOBISERVE : Imena silicones / 250783361715 Imena siliconesCelest~in NSENGIYUMVA / Imena silicones</t>
  </si>
  <si>
    <t>'57000.0000</t>
  </si>
  <si>
    <t>New App BK-BK Account Transfer : BLONDELLE DUCHEL / Idrise house rent CYABUKOMBE ALBER~T / BLONDELLE DUCHEL</t>
  </si>
  <si>
    <t>'190000.0000</t>
  </si>
  <si>
    <t>Incoming  Trsf frm local banks :  / NCUBE CHIDOCHASHE SITHABISO 0000025~43227 MB Local Transfer May</t>
  </si>
  <si>
    <t>Incoming  Trsf frm local banks :  / ZANNU JULIUS DONA RTOMICC01084149</t>
  </si>
  <si>
    <t>MTN Push to Bank :  / MTNPUSH27681243254250781464264</t>
  </si>
  <si>
    <t>'64000.0000</t>
  </si>
  <si>
    <t>Incoming  Trsf frm local banks :  / SIBUSISIWE DUBE 000002544129 IB Loc~al Transfer May</t>
  </si>
  <si>
    <t>'250.0000</t>
  </si>
  <si>
    <t>Cash deposit-BK YACU : HARERIMANA ENOC / RENT 0791903693REEMA Jemal / HARERIMANA ENOC</t>
  </si>
  <si>
    <t>New App BK-BK Account Transfer : ABIYINGOMA CHRIS / Rent payment May ap11CYABUKOMBE AL~BERT / ABIYINGOMA CHRIS</t>
  </si>
  <si>
    <t>MTN Push to Bank :  / MTNPUSH27736759783250781464264</t>
  </si>
  <si>
    <t>'800000.0000</t>
  </si>
  <si>
    <t>MTN Push to Bank :  / MTNPUSH27741700261250796895100</t>
  </si>
  <si>
    <t>'320000.0000</t>
  </si>
  <si>
    <t>Cash Deposit : RADWAN HAITHAM/ HOUSE RENT /  / RADWAN HAITHAM/ HOUSE RENT</t>
  </si>
  <si>
    <t>Outwards Off-Us Dmstic  Cheque :  / CYABUKOMBE ALBERT00000025ECO LAUNDR~Y DRY CLEANER LTD</t>
  </si>
  <si>
    <t>'97300.0000</t>
  </si>
  <si>
    <t>'44984.0000</t>
  </si>
  <si>
    <t>MTN Push to Bank :  / MTNPUSH27770798027250795016110</t>
  </si>
  <si>
    <t>'48350.0000</t>
  </si>
  <si>
    <t>New App BK-BK Account Transfer : BLONDELLE DUCHEL / Idrise house rent and cotion fee~the month of may to June starting r~ent date 15 th of may CYABUKOMBE A / BLONDELLE DUCHEL</t>
  </si>
  <si>
    <t>New App BK-BK Account Transfer : BLONDELLE DUCHEL / Idriss house rent CYABUKOMBE ALBER~T / BLONDELLE DUCHEL</t>
  </si>
  <si>
    <t>'160000.0000</t>
  </si>
  <si>
    <t>Incoming  Trsf frm local banks :  / UDOKANMA SHARON GEORGEWILL 00000255~4775 MB Local Transfer Half</t>
  </si>
  <si>
    <t>'175000.0000</t>
  </si>
  <si>
    <t>FTCM26131V2WIB4RD</t>
  </si>
  <si>
    <t>'9467534.0000</t>
  </si>
  <si>
    <t>FTCM261319S4ZCKDL</t>
  </si>
  <si>
    <t>Push to MOMO Charges : AC-100068155597 / 250781510235 plomberie ImenaEric N~TAKIRUTIMANA / plomberie Imena</t>
  </si>
  <si>
    <t>'9467334.0000</t>
  </si>
  <si>
    <t>MTN MOBILE MONEY NEW MOBISERVE : plomberie Imena / 250781510235 plomberie ImenaEric N~TAKIRUTIMANA / plomberie Imena</t>
  </si>
  <si>
    <t>'9455334.0000</t>
  </si>
  <si>
    <t>FTCM26131RFMC3F4S</t>
  </si>
  <si>
    <t>Cash deposit-BK YACU : ALEXANDRINE BYIR / PAYMENT 0793190257NSENGIYUMVA YVAN / ALEXANDRINE BYIR</t>
  </si>
  <si>
    <t>'9655334.0000</t>
  </si>
  <si>
    <t>FTCM26132QKOQ1QA1</t>
  </si>
  <si>
    <t>Push to MOMO Charges : AC-100068155597 / 250788893350 mo soudeur portes wc I~menaEric KABAYISA / mo soudeur porte</t>
  </si>
  <si>
    <t>'9655234.0000</t>
  </si>
  <si>
    <t>MTN MOBILE MONEY NEW MOBISERVE : mo soudeur porte / 250788893350 mo soudeur portes wc I~menaEric KABAYISA / mo soudeur porte</t>
  </si>
  <si>
    <t>'9645234.0000</t>
  </si>
  <si>
    <t>FTCM26133IABQIR4W</t>
  </si>
  <si>
    <t>'9775234.0000</t>
  </si>
  <si>
    <t>FTCM26134KW71DLKG</t>
  </si>
  <si>
    <t>Card Purchase :  / 7N3QWJUF 690637 14158799686~14158799686 00US RWF</t>
  </si>
  <si>
    <t>'116682.0000</t>
  </si>
  <si>
    <t>'9658552.0000</t>
  </si>
  <si>
    <t>FTCM26134Y8FBBFXB</t>
  </si>
  <si>
    <t>MTN MOBILE MONEY NEW MOBISERVE : isuku Imena 25k / 250788750184 isuku Imena 25k inganj~i 20kChantal KAYITARE KAYIRANGWA / isuku Imena 25k</t>
  </si>
  <si>
    <t>'45000.0000</t>
  </si>
  <si>
    <t>'9613552.0000</t>
  </si>
  <si>
    <t>FTCM261354R0AYE4Y</t>
  </si>
  <si>
    <t>Push to MOMO Charges : AC-100068155597 / 250791499646 commission Ap 2 NoelN~oel NIYOMWUNGERI / commission Ap 2</t>
  </si>
  <si>
    <t>'9613352.0000</t>
  </si>
  <si>
    <t>MTN MOBILE MONEY NEW MOBISERVE : commission Ap 2 / 250791499646 commission Ap 2 NoelN~oel NIYOMWUNGERI / commission Ap 2</t>
  </si>
  <si>
    <t>'9583352.0000</t>
  </si>
  <si>
    <t>FTCM261363BHX3XGR</t>
  </si>
  <si>
    <t>Cash deposit-BK YACU : B INNOVA SHOP Lt / HOUSE RENTDEPOSIT PAYMENT 07935585~49CHUKWUDI OBI / B INNOVA SHOP Lt</t>
  </si>
  <si>
    <t>'990000.0000</t>
  </si>
  <si>
    <t>'10573352.0000</t>
  </si>
  <si>
    <t>FTCM26136TXODK1AB</t>
  </si>
  <si>
    <t>MTN MOBILE MONEY NEW MOBISERVE : peinture Ap3 / 250788750184 peinture Ap3Chantal K~AYITARE KAYIRANGWA / peinture Ap3</t>
  </si>
  <si>
    <t>'80500.0000</t>
  </si>
  <si>
    <t>'10492852.0000</t>
  </si>
  <si>
    <t>FTCM26136CS4PCDEQ</t>
  </si>
  <si>
    <t>Push to MOMO Charges : AC-100068155597 / 250781510235 plomberie Ap 3Eric NT~AKIRUTIMANA / plomberie Ap 3</t>
  </si>
  <si>
    <t>'10492652.0000</t>
  </si>
  <si>
    <t>MTN MOBILE MONEY NEW MOBISERVE : plomberie Ap 3 / 250781510235 plomberie Ap 3Eric NT~AKIRUTIMANA / plomberie Ap 3</t>
  </si>
  <si>
    <t>'10467652.0000</t>
  </si>
  <si>
    <t>FTCM26136CVNXHP4M</t>
  </si>
  <si>
    <t>Push to MOMO Charges : AC-100068155597 / 250788419478 commission Ap3Herve H~ABIYAKARE / commission Ap3</t>
  </si>
  <si>
    <t>'10467452.0000</t>
  </si>
  <si>
    <t>MTN MOBILE MONEY NEW MOBISERVE : commission Ap3 / 250788419478 commission Ap3Herve H~ABIYAKARE / commission Ap3</t>
  </si>
  <si>
    <t>'10437452.0000</t>
  </si>
  <si>
    <t>FTCM26137DC99I3FB</t>
  </si>
  <si>
    <t>'10397452.0000</t>
  </si>
  <si>
    <t>FTCM26138SPGVIGAZ</t>
  </si>
  <si>
    <t>Cash deposit-BK YACU : UYISENGA JEANNIN / payment rent 0788280498UWIRINGIYIM~ANA Donati / UYISENGA JEANNIN</t>
  </si>
  <si>
    <t>'10997452.0000</t>
  </si>
  <si>
    <t>FTCM261384DTODTNR</t>
  </si>
  <si>
    <t>Push to MOMO Charges : AC-100068155597 / 250796395722 Ap 3 Return balance de~posit son Ibrahim AhmedAHMED SIDDI / Ap 3 Return bala</t>
  </si>
  <si>
    <t>'10997252.0000</t>
  </si>
  <si>
    <t>MTN MOBILE MONEY NEW MOBISERVE : Ap 3 Return bala / 250796395722 Ap 3 Return balance de~posit son Ibrahim AhmedAHMED SIDDI / Ap 3 Return bala</t>
  </si>
  <si>
    <t>'19000.0000</t>
  </si>
  <si>
    <t>'10978252.0000</t>
  </si>
  <si>
    <t>FTCM26138OPE0IPXI</t>
  </si>
  <si>
    <t>Push to MOMO Charges : AC-100068155597 / 250788688841 Kiramuruzi transport p~lumber kayoza rep tuyauEritier WAS / Kiramuruzi trans</t>
  </si>
  <si>
    <t>'10978152.0000</t>
  </si>
  <si>
    <t>MTN MOBILE MONEY NEW MOBISERVE : Kiramuruzi trans / 250788688841 Kiramuruzi transport p~lumber kayoza rep tuyauEritier WAS / Kiramuruzi trans</t>
  </si>
  <si>
    <t>'10971652.0000</t>
  </si>
  <si>
    <t>FTCM26138CKXNVWBD</t>
  </si>
  <si>
    <t>Push to MOMO Charges : AC-100068155597 / 250783986662 Ap 19 repair TvAngelo~MUTONIWABO / Ap 19 repair Tv</t>
  </si>
  <si>
    <t>'10971452.0000</t>
  </si>
  <si>
    <t>MTN MOBILE MONEY NEW MOBISERVE : Ap 19 repair Tv / 250783986662 Ap 19 repair TvAngelo~MUTONIWABO / Ap 19 repair Tv</t>
  </si>
  <si>
    <t>'10926452.0000</t>
  </si>
  <si>
    <t>FTCM26138IJSCIVAC</t>
  </si>
  <si>
    <t>Push to MOMO Charges : AC-100068155597 / 250783986662 Ap 19 transport Angelo~Angelo MUTONIWABO / Ap 19 transport</t>
  </si>
  <si>
    <t>'10926352.0000</t>
  </si>
  <si>
    <t>MTN MOBILE MONEY NEW MOBISERVE : Ap 19 transport / 250783986662 Ap 19 transport Angelo~Angelo MUTONIWABO / Ap 19 transport</t>
  </si>
  <si>
    <t>'10923352.0000</t>
  </si>
  <si>
    <t>FTCM26138NF9W0CRC</t>
  </si>
  <si>
    <t>MTN MOBILE MONEY NEW MOBISERVE : Ap 3 netoyage ri / 250788750184 Ap 3 netoyage rideaux~Chantal KAYITARE KAYIRANGWA / Ap 3 netoyage ri</t>
  </si>
  <si>
    <t>'10915852.0000</t>
  </si>
  <si>
    <t>FTCM26138PZNYKOWG</t>
  </si>
  <si>
    <t>MTN MOBILE MONEY NEW MOBISERVE : kuramuruzi piece / 250788750184 kuramuruzi pieces conn~ection pump equChantal KAYITARE KA / kuramuruzi piece</t>
  </si>
  <si>
    <t>'10875852.0000</t>
  </si>
  <si>
    <t>FTCM26138RCJGJTSS</t>
  </si>
  <si>
    <t>RTGS Transfer - Charges : AC-RWF1701400801002 / deposit retun ap Sharon / 20165042001</t>
  </si>
  <si>
    <t>'10874852.0000</t>
  </si>
  <si>
    <t>BK TO OTHER BANK NEW MOBISERVE : 20165042001 / deposit retun ap Sharon / 20165042001</t>
  </si>
  <si>
    <t>'317500.0000</t>
  </si>
  <si>
    <t>'10557352.0000</t>
  </si>
  <si>
    <t>FTCM261394F5ZBPZA</t>
  </si>
  <si>
    <t>Incoming  Trsf frm local banks :  / 20165042001 REJ FTCM26138RCJGJTSS W~rong Name</t>
  </si>
  <si>
    <t>FTCM26139DF6TQN6E</t>
  </si>
  <si>
    <t>RTGS Transfer - Charges : AC-RWF1701400801002 / Ap 15 return deposit Sharon Udokama / Udokanma Sharon</t>
  </si>
  <si>
    <t>'10873852.0000</t>
  </si>
  <si>
    <t>BK TO OTHER BANK NEW MOBISERVE : Udokanma Sharon / Ap 15 return deposit Sharon Udokama / Udokanma Sharon</t>
  </si>
  <si>
    <t>'340000.0000</t>
  </si>
  <si>
    <t>'10533852.0000</t>
  </si>
  <si>
    <t>FTCM261390FJJTJGC</t>
  </si>
  <si>
    <t>Push to MOMO Charges : AC-100068155597 / 250781510235 Ap 3 mo plombier Eric~avance reste 7kEric NTAKIRUTIMANA / Ap 3 mo plombier</t>
  </si>
  <si>
    <t>'10533652.0000</t>
  </si>
  <si>
    <t>MTN MOBILE MONEY NEW MOBISERVE : Ap 3 mo plombier / 250781510235 Ap 3 mo plombier Eric~avance reste 7kEric NTAKIRUTIMANA / Ap 3 mo plombier</t>
  </si>
  <si>
    <t>'10513652.0000</t>
  </si>
  <si>
    <t>FTCM2614006BEMGHJ</t>
  </si>
  <si>
    <t>Push to MOMO Charges : AC-100068155597 / 250781510235 Ap 3 mo fixation toile~tEric NTAKIRUTIMANA / Ap 3 mo fixation</t>
  </si>
  <si>
    <t>'10513552.0000</t>
  </si>
  <si>
    <t>MTN MOBILE MONEY NEW MOBISERVE : Ap 3 mo fixation / 250781510235 Ap 3 mo fixation toile~tEric NTAKIRUTIMANA / Ap 3 mo fixation</t>
  </si>
  <si>
    <t>'10506552.0000</t>
  </si>
  <si>
    <t>FTCM261408HOXRBBZ</t>
  </si>
  <si>
    <t>MTN MOBILE MONEY NEW MOBISERVE : Imena umutekano / 250788750184 Imena umutekanoChanta~l KAYITARE KAYIRANGWA / Imena umutekano</t>
  </si>
  <si>
    <t>'10491552.0000</t>
  </si>
  <si>
    <t>FTCM26140HGGSFAOJ</t>
  </si>
  <si>
    <t>Push to MOMO Charges : AC-100068155597 / 250783691571 kiramuruzi Mo reparati~on tuyaux eau irrigationXxx NISHIM / kiramuruzi Mo re</t>
  </si>
  <si>
    <t>'10491352.0000</t>
  </si>
  <si>
    <t>MTN MOBILE MONEY NEW MOBISERVE : kiramuruzi Mo re / 250783691571 kiramuruzi Mo reparati~on tuyaux eau irrigationXxx NISHIM / kiramuruzi Mo re</t>
  </si>
  <si>
    <t>'10466352.0000</t>
  </si>
  <si>
    <t>FTCM261407ZK2AKUT</t>
  </si>
  <si>
    <t>'10466252.0000</t>
  </si>
  <si>
    <t>'10457252.0000</t>
  </si>
  <si>
    <t>FTCM26141KQYZMAH9</t>
  </si>
  <si>
    <t>Push to MOMO Charges : AC-100068155597 / 250783654127 Imena laclette vis por~tesBeatrice NYIRASAFARI / Imena laclette v</t>
  </si>
  <si>
    <t>'10457052.0000</t>
  </si>
  <si>
    <t>MTN MOBILE MONEY NEW MOBISERVE : Imena laclette v / 250783654127 Imena laclette vis por~tesBeatrice NYIRASAFARI / Imena laclette v</t>
  </si>
  <si>
    <t>'31000.0000</t>
  </si>
  <si>
    <t>'10426052.0000</t>
  </si>
  <si>
    <t>FTCM26141HXRVWISI</t>
  </si>
  <si>
    <t>Push to MOMO Charges : AC-100068155597 / 250788893350 Imena Cft soudeur gufu~nga imiryango hasiEric KABAYISA / Imena Cft soudeu</t>
  </si>
  <si>
    <t>'10425852.0000</t>
  </si>
  <si>
    <t>MTN MOBILE MONEY NEW MOBISERVE : Imena Cft soudeu / 250788893350 Imena Cft soudeur gufu~nga imiryango hasiEric KABAYISA / Imena Cft soudeu</t>
  </si>
  <si>
    <t>'10395852.0000</t>
  </si>
  <si>
    <t>FTCM26142M4AAX41B</t>
  </si>
  <si>
    <t>'430000.0000</t>
  </si>
  <si>
    <t>'10825852.0000</t>
  </si>
  <si>
    <t>FTCM26142XIREMYD1</t>
  </si>
  <si>
    <t>Bill Payment RRA : AC-100075350966 / 009794213578300 CYABUKOMBE FAMILY T~RADING LIMITED  3000  1425560931  1~30140344  83  REDEVANCE INFORMATIQU</t>
  </si>
  <si>
    <t>'10825652.0000</t>
  </si>
  <si>
    <t>Bill Payment RRA :  / 009794213578300 CYABUKOMBE FAMILY T~RADING LIMITED  3000  1425560931  1~30140344  83  REDEVANCE INFORMATIQU</t>
  </si>
  <si>
    <t>'10822652.0000</t>
  </si>
  <si>
    <t>FTCM26142EFVJMUFT</t>
  </si>
  <si>
    <t>Bill Payment RRA : AC-100075349178 / 009794213578100 CYABUKOMBE FAMILY T~RADING LIMITED  731867  1425560933~130140344  81  RECEVEUR DES TVA  2</t>
  </si>
  <si>
    <t>'10822452.0000</t>
  </si>
  <si>
    <t>Bill Payment RRA :  / 009794213578100 CYABUKOMBE FAMILY T~RADING LIMITED  731867  1425560933~130140344  81  RECEVEUR DES TVA  2</t>
  </si>
  <si>
    <t>'731867.0000</t>
  </si>
  <si>
    <t>'10090585.0000</t>
  </si>
  <si>
    <t>FTCM26142GB6BXAHQ</t>
  </si>
  <si>
    <t>Bill Payment RRA : AC-100075349283 / 009794213578000 CYABUKOMBE FAMILY T~RADING LIMITED  918824  1425560935~130140344  80  RECEVEUR DES DOUANE</t>
  </si>
  <si>
    <t>'10090385.0000</t>
  </si>
  <si>
    <t>Bill Payment RRA :  / 009794213578000 CYABUKOMBE FAMILY T~RADING LIMITED  918824  1425560935~130140344  80  RECEVEUR DES DOUANE</t>
  </si>
  <si>
    <t>'918824.0000</t>
  </si>
  <si>
    <t>'9171561.0000</t>
  </si>
  <si>
    <t>FTCM26142XQIXCMLS</t>
  </si>
  <si>
    <t>Bill Payment RRA : AC-100075350966 / 097942135710000 CYABUKOMBE FAMILY T~RADING LIMITED  56431  1425560937~130140344  100  Infrastructure Levy</t>
  </si>
  <si>
    <t>'9171361.0000</t>
  </si>
  <si>
    <t>Bill Payment RRA :  / 097942135710000 CYABUKOMBE FAMILY T~RADING LIMITED  56431  1425560937~130140344  100  Infrastructure Levy</t>
  </si>
  <si>
    <t>'56431.0000</t>
  </si>
  <si>
    <t>'9114930.0000</t>
  </si>
  <si>
    <t>FTCM26142P8JXA5IX</t>
  </si>
  <si>
    <t>Push to MOMO Charges : AC-100068155597 / 250787152796 umutekano Cyabukombe A~lbertYvette MUKABAZIGA / umutekano Cyabuk</t>
  </si>
  <si>
    <t>'9114830.0000</t>
  </si>
  <si>
    <t>MTN MOBILE MONEY NEW MOBISERVE : umutekano Cyabuk / 250787152796 umutekano Cyabukombe A~lbertYvette MUKABAZIGA / umutekano Cyabuk</t>
  </si>
  <si>
    <t>'9105830.0000</t>
  </si>
  <si>
    <t>FTCM26142YEFLGNPT</t>
  </si>
  <si>
    <t>Internal Transfer charges : AC-100003924674 / contribution CYABUKOMBE Albert kira~muruzi FarmPSF GATSIBO DISTRICT / PSF GATSIBO DIST</t>
  </si>
  <si>
    <t>'9105730.0000</t>
  </si>
  <si>
    <t>BK to BK NEW MOBISERVE : PSF GATSIBO DIST / contribution CYABUKOMBE Albert kira~muruzi FarmPSF GATSIBO DISTRICT / PSF GATSIBO DIST</t>
  </si>
  <si>
    <t>'9055730.0000</t>
  </si>
  <si>
    <t>FTCM26143AJ4Q5BNI</t>
  </si>
  <si>
    <t>MTN MOBILE MONEY NEW MOBISERVE : magerwa locks Im / 250788750184 magerwa locks ImenaCh~antal KAYITARE KAYIRANGWA / magerwa locks Im</t>
  </si>
  <si>
    <t>'36763.0000</t>
  </si>
  <si>
    <t>'9018967.0000</t>
  </si>
  <si>
    <t>FTCM26143KG28FXAO</t>
  </si>
  <si>
    <t>MTN MOBILE MONEY NEW MOBISERVE : safe logistics l / 250788750184 safe logistics locks I~menaChantal KAYITARE KAYIRANGWA / safe logistics l</t>
  </si>
  <si>
    <t>'8988967.0000</t>
  </si>
  <si>
    <t>FTCM26143JLMCPO4S</t>
  </si>
  <si>
    <t>MTN MOBILE MONEY NEW MOBISERVE : declaration lock / 250788750184 declaration lock imena~Chantal KAYITARE KAYIRANGWA / declaration lock</t>
  </si>
  <si>
    <t>'118000.0000</t>
  </si>
  <si>
    <t>'8870967.0000</t>
  </si>
  <si>
    <t>FTCM26143BE8XNJYM</t>
  </si>
  <si>
    <t>Push to MOMO Charges : AC-100068155597 / 250781550829 hilux transport locks~Msgerwa to ImenaDavid CYABUKOMBE / hilux transport</t>
  </si>
  <si>
    <t>'8870767.0000</t>
  </si>
  <si>
    <t>MTN MOBILE MONEY NEW MOBISERVE : hilux transport / 250781550829 hilux transport locks~Msgerwa to ImenaDavid CYABUKOMBE / hilux transport</t>
  </si>
  <si>
    <t>'8834767.0000</t>
  </si>
  <si>
    <t>FTCM26144WCHTREPR</t>
  </si>
  <si>
    <t>'8834667.0000</t>
  </si>
  <si>
    <t>'28989.0000</t>
  </si>
  <si>
    <t>'8805678.0000</t>
  </si>
  <si>
    <t>FTCM261447ROSSHS4</t>
  </si>
  <si>
    <t>'8805578.0000</t>
  </si>
  <si>
    <t>'172224.0000</t>
  </si>
  <si>
    <t>'8633354.0000</t>
  </si>
  <si>
    <t>FT26145F139Z</t>
  </si>
  <si>
    <t>CREDIT CARD PAYMENT : 1T26052516322093 / 471375X2181/250788750184/Cyabukom~Rwf cc pyt 04/026 / 1T26052516322093</t>
  </si>
  <si>
    <t>'20461.0000</t>
  </si>
  <si>
    <t>'8612893.0000</t>
  </si>
  <si>
    <t>FTCM261467N3167BM</t>
  </si>
  <si>
    <t>Push to MOMO Charges : AC-100068155597 / 250788688841 Kiramuruzi reparation~tuyaux et dududEritier WASE / Kiramuruzi repar</t>
  </si>
  <si>
    <t>'8612693.0000</t>
  </si>
  <si>
    <t>MTN MOBILE MONEY NEW MOBISERVE : Kiramuruzi repar / 250788688841 Kiramuruzi reparation~tuyaux et dududEritier WASE / Kiramuruzi repar</t>
  </si>
  <si>
    <t>'46800.0000</t>
  </si>
  <si>
    <t>'8565893.0000</t>
  </si>
  <si>
    <t>FTCM26149KMBJLPA4</t>
  </si>
  <si>
    <t>New App BK-BK Account Transfer : HASSAN MOHAMMED / rentCYABUKOMBE ALBERT / HASSAN MOHAMMED</t>
  </si>
  <si>
    <t>'8865893.0000</t>
  </si>
  <si>
    <t>FTCM26150TJPM9E11</t>
  </si>
  <si>
    <t>Push to MOMO Charges : AC-100068155597 / 250783979043 mo basement designMUR~UNGI JOHN NJUGUNA / mo basement desi</t>
  </si>
  <si>
    <t>'8865693.0000</t>
  </si>
  <si>
    <t>MTN MOBILE MONEY NEW MOBISERVE : mo basement desi / 250783979043 mo basement designMUR~UNGI JOHN NJUGUNA / mo basement desi</t>
  </si>
  <si>
    <t>'8815693.0000</t>
  </si>
  <si>
    <t>FTCM26150M9GOUSF3</t>
  </si>
  <si>
    <t>New App BK-BK Account Transfer : HASSAN MOHAMMED / facilitiesCYABUKOMBE ALBERT / HASSAN MOHAMMED</t>
  </si>
  <si>
    <t>'8845693.0000</t>
  </si>
  <si>
    <t>FTCM26150QFVQLXVC</t>
  </si>
  <si>
    <t>'8844343.0000</t>
  </si>
  <si>
    <t>'8358343.0000</t>
  </si>
  <si>
    <t>FTCM26150OHRTHNEV</t>
  </si>
  <si>
    <t>RTGS Transfer - Charges : AC-RWF1701400801002 / Imena sal Lidia Mpinganzima / Mpinganzima Lydi</t>
  </si>
  <si>
    <t>'8357343.0000</t>
  </si>
  <si>
    <t>BK TO OTHER BANK NEW MOBISERVE : Mpinganzima Lydi / Imena sal Lidia Mpinganzima / Mpinganzima Lydi</t>
  </si>
  <si>
    <t>'8057343.0000</t>
  </si>
  <si>
    <t>FTCM26150SRXURBU3</t>
  </si>
  <si>
    <t>Internal Transfer charges : AC-100191878161 / Inganji sal JadoJean De Dieu HAKIZ~IMANA / Jean De Dieu HAK</t>
  </si>
  <si>
    <t>'8057243.0000</t>
  </si>
  <si>
    <t>BK to BK NEW MOBISERVE : Jean De Dieu HAK / Inganji sal JadoJean De Dieu HAKIZ~IMANA / Jean De Dieu HAK</t>
  </si>
  <si>
    <t>'7987243.0000</t>
  </si>
  <si>
    <t>FTCM261503YQ8WEPW</t>
  </si>
  <si>
    <t>Push to MOMO Charges : AC-100068155597 / 250781192754 Imena sal HakizaTheon~este HAKIZIMANA / Imena sal Hakiza</t>
  </si>
  <si>
    <t>'7987043.0000</t>
  </si>
  <si>
    <t>MTN MOBILE MONEY NEW MOBISERVE : Imena sal Hakiza / 250781192754 Imena sal HakizaTheon~este HAKIZIMANA / Imena sal Hakiza</t>
  </si>
  <si>
    <t>'7897043.0000</t>
  </si>
  <si>
    <t>FTCM26150YLS18YZY</t>
  </si>
  <si>
    <t>MTN MOBILE MONEY NEW MOBISERVE : Inganji fpr</t>
  </si>
  <si>
    <t>'7892043.0000</t>
  </si>
  <si>
    <t>FT26151DG2D8</t>
  </si>
  <si>
    <t>'5179027.0000</t>
  </si>
  <si>
    <t>'2713016.0000</t>
  </si>
  <si>
    <t>Cash deposit-BK YACU : ALEXANDRINE BYIR / PAYMENT 0793190257NSENGIYUMVA YVAN / ALEXANDRINE BYIR AP 9</t>
  </si>
  <si>
    <t>100001734827</t>
  </si>
  <si>
    <t>RWF1000108061009</t>
  </si>
  <si>
    <t>RWF1000108021009</t>
  </si>
  <si>
    <t>FTCM26152CFNBUZTV</t>
  </si>
  <si>
    <t>FTCM26152SBGCDTMU</t>
  </si>
  <si>
    <t>Push to MOMO Charges : AC-100068155597 / 250788688841 Kiramuruzi MacademiaE~ritier WASE / Kiramuruzi Macad</t>
  </si>
  <si>
    <t>MTN MOBILE MONEY NEW MOBISERVE : Kiramuruzi Macad / 250788688841 Kiramuruzi MacademiaE~ritier WASE / Kiramuruzi Macad</t>
  </si>
  <si>
    <t>FTCM26152EVUZCOGV</t>
  </si>
  <si>
    <t>Bill Payment RRA : AC-100072094667 / 1359072327 CYABUKOMBE ALBERT  35000~0  1427495813  1195880063397132  19~1  GUKODESHA UMUTUNGO WA LETA  20</t>
  </si>
  <si>
    <t>RRA NEW MOBISERVE :  / 1359072327 CYABUKOMBE ALBERT  35000~0  1427495813  1195880063397132  19~1  GUKODESHA UMUTUNGO WA LETA  20</t>
  </si>
  <si>
    <t>FTCM26152WN0KMRNB</t>
  </si>
  <si>
    <t>EKASH Charges : AC-RWF1701400921002 / 0788688841 transportEritier WASE</t>
  </si>
  <si>
    <t>EKASH-NEW MOBISERVE : Eritier WASE / 0788688841 transportEritier WASE</t>
  </si>
  <si>
    <t>FTCM26152TCYU215H</t>
  </si>
  <si>
    <t>FTCM26152NXMJ3F1B</t>
  </si>
  <si>
    <t>FTCM26153VSFJOAED</t>
  </si>
  <si>
    <t>FTCM26153WT2RUS3O</t>
  </si>
  <si>
    <t>Push to MOMO Charges : AC-100068155597 / 250789163409 Imena cashpower rembou~rsement Thierry mtnThierry NGIRABA / Imena cashpower</t>
  </si>
  <si>
    <t>MTN MOBILE MONEY NEW MOBISERVE : Imena cashpower / 250789163409 Imena cashpower rembou~rsement Thierry mtnThierry NGIRABA / Imena cashpower</t>
  </si>
  <si>
    <t>FTCM26153WIAKYPFQ</t>
  </si>
  <si>
    <t>FTCM26153NFEDNDCQ</t>
  </si>
  <si>
    <t>FTCM26153P0EW4ELX</t>
  </si>
  <si>
    <t>FTCM261532Z7UIIXJ</t>
  </si>
  <si>
    <t>FTCM26153XNOOEE1J</t>
  </si>
  <si>
    <t>MTN MOBILE MONEY NEW MOBISERVE : Vc internet / 250788750184 Vc internetChantal KA~YITARE KAYIRANGWA / Vc internet</t>
  </si>
  <si>
    <t>FTCM26154B9XHUYV2</t>
  </si>
  <si>
    <t>Push to MOMO Charges : AC-100068155597 / 250785075622 koza imodoka AlleluaA~lleluya KANANI / koza imodoka All</t>
  </si>
  <si>
    <t>MTN MOBILE MONEY NEW MOBISERVE : koza imodoka All / 250785075622 koza imodoka AlleluaA~lleluya KANANI / koza imodoka All</t>
  </si>
  <si>
    <t>FTCM26154QWP4B1OK</t>
  </si>
  <si>
    <t>MTN MOBILE MONEY NEW MOBISERVE : cash Vision / 250788750184 cash VisionChantal KA~YITARE KAYIRANGWA / cash Vision</t>
  </si>
  <si>
    <t>FTCM26154E8ERAWIL</t>
  </si>
  <si>
    <t>Push to MOMO Charges : AC-100068155597 / 250798919486 vision avance dom Dorc~eraDrocelle NYIRANEZA / vision avance do</t>
  </si>
  <si>
    <t>MTN MOBILE MONEY NEW MOBISERVE : vision avance do / 250798919486 vision avance dom Dorc~eraDrocelle NYIRANEZA / vision avance do</t>
  </si>
  <si>
    <t>FTCM26154YNI5MVYH</t>
  </si>
  <si>
    <t>Tax Amount Due : AC-RWF1001250011002 / BKAD0002 912519 BK Head Office~Kigali       00RW RWF</t>
  </si>
  <si>
    <t>ATM Cash withdrawal Fee : AC-RWF1001250011002 / BKAD0002 912519 BK Head Office~Kigali       00RW RWF</t>
  </si>
  <si>
    <t>ATM Cash Withdrawal :  / BKAD0002 912519 BK Head Office~Kigali       00RW RWF</t>
  </si>
  <si>
    <t>FTCM26154GI2KFWM1</t>
  </si>
  <si>
    <t>MTN MOBILE MONEY NEW MOBISERVE : momo resto / 250788750184 momo restoChantal KAY~ITARE KAYIRANGWA / momo resto</t>
  </si>
  <si>
    <t>FTCM26154ILCCU3NG</t>
  </si>
  <si>
    <t>FTCM26154AZHH33DL</t>
  </si>
  <si>
    <t>Push to MOMO Charges : AC-100068155597 / 250781550829 avance main d oeuvre c~adenasDavid CYABUKOMBE / avance main d oe</t>
  </si>
  <si>
    <t>MTN MOBILE MONEY NEW MOBISERVE : avance main d oe / 250781550829 avance main d oeuvre c~adenasDavid CYABUKOMBE / avance main d oe</t>
  </si>
  <si>
    <t>FTCM26154TOIPDCHD</t>
  </si>
  <si>
    <t>FTCM261549SRKRU0J</t>
  </si>
  <si>
    <t>Push to MOMO Charges : AC-100068155597 / 250789470958 kiramuruzi Papa mamaS~covia MUKESHA / kiramuruzi Papa</t>
  </si>
  <si>
    <t>MTN MOBILE MONEY NEW MOBISERVE : kiramuruzi Papa / 250789470958 kiramuruzi Papa mamaS~covia MUKESHA / kiramuruzi Papa</t>
  </si>
  <si>
    <t>FTCM26155WUNOOUH4</t>
  </si>
  <si>
    <t>Incoming  Trsf frm local banks :  / GENESIS UKE ADADU RTOMICC01118185</t>
  </si>
  <si>
    <t>FTCM26155TOYQU4AX</t>
  </si>
  <si>
    <t>Push to MOMO Charges : AC-100068155597 / 250793558549 refund caution and 1 m~onth Ap 3 ObiOBI CHUKWUDI / refund caution a</t>
  </si>
  <si>
    <t>MTN MOBILE MONEY NEW MOBISERVE : refund caution a / 250793558549 refund caution and 1 m~onth Ap 3 ObiOBI CHUKWUDI / refund caution a</t>
  </si>
  <si>
    <t>FTCM26155BFQRDOHT</t>
  </si>
  <si>
    <t>RWF1000103101004</t>
  </si>
  <si>
    <t>TT26155WXJLZ</t>
  </si>
  <si>
    <t>FTCM26155BAU6MFKN</t>
  </si>
  <si>
    <t>FTCM26155R6EFAFOS</t>
  </si>
  <si>
    <t>Push to MOMO Charges : AC-100068155597 / 250782995835 Imena Ap 3 commission~Dina MBABAZIZAYO / Imena Ap 3 commi</t>
  </si>
  <si>
    <t>MTN MOBILE MONEY NEW MOBISERVE : Imena Ap 3 commi / 250782995835 Imena Ap 3 commission~Dina MBABAZIZAYO / Imena Ap 3 commi</t>
  </si>
  <si>
    <t>FTCM26155WVAPZWGI</t>
  </si>
  <si>
    <t>Push to MOMO Charges : AC-100068155597 / 250783724054 Modeste kayonza maison~comModeste UWIMANA / Modeste kayonza</t>
  </si>
  <si>
    <t>MTN MOBILE MONEY NEW MOBISERVE : Modeste kayonza / 250783724054 Modeste kayonza maison~comModeste UWIMANA / Modeste kayonza</t>
  </si>
  <si>
    <t>FTCM26156WQDZGXOC</t>
  </si>
  <si>
    <t>RWF1000108091009</t>
  </si>
  <si>
    <t>TT26156DC9ZS</t>
  </si>
  <si>
    <t>FTCM26156YOZVZUX7</t>
  </si>
  <si>
    <t>FTCM26156IE22LBMD</t>
  </si>
  <si>
    <t>Push to MOMO Charges : AC-100068155597 / 250781550829 mo 10 portesDavid CYA~BUKOMBE / mo 10 portes</t>
  </si>
  <si>
    <t>MTN MOBILE MONEY NEW MOBISERVE : mo 10 portes / 250781550829 mo 10 portesDavid CYA~BUKOMBE / mo 10 portes</t>
  </si>
  <si>
    <t>FTCM26157IHIMNM8O</t>
  </si>
  <si>
    <t>TT26159JDJ2M</t>
  </si>
  <si>
    <t>FTCM26160IRGQQS1B</t>
  </si>
  <si>
    <t>FTCM26160D56FCROR</t>
  </si>
  <si>
    <t>FTCM26160J83OESUA</t>
  </si>
  <si>
    <t>FTCM26161SACUAJW9</t>
  </si>
  <si>
    <t>Internal Transfer charges : AC-100022911378 / security  invoice is from 0752026~to 0762026IREME COOPERATIVE SEC / IREME COOPERATIV</t>
  </si>
  <si>
    <t>IB Account transfer : IREME COOPERATIV / security  invoice is from 0752026~to 0762026IREME COOPERATIVE SEC / IREME COOPERATIV</t>
  </si>
  <si>
    <t>FTCM26161Z9UZSMTV</t>
  </si>
  <si>
    <t>Push to MOMO Charges : AC-100068155597 / 250781550829 M O CADENAS 1ERE TRANC~HE David CYABUKOMBE / M O CADENAS 1ERE</t>
  </si>
  <si>
    <t>Momo Outward transfer : M O CADENAS 1ERE / 250781550829 M O CADENAS 1ERE TRANC~HE David CYABUKOMBE / M O CADENAS 1ERE</t>
  </si>
  <si>
    <t>FTCM26161D5YZ3VBW</t>
  </si>
  <si>
    <t>Push to MOMO Charges : AC-100068155597 / 250789163409 AVANCE SUR SALAIRE THE~O VIA THIERRY Thierry NGIRABAKUNZI / AVANCE SUR SALAI</t>
  </si>
  <si>
    <t>Momo Outward transfer : AVANCE SUR SALAI / 250789163409 AVANCE SUR SALAIRE THE~O VIA THIERRY Thierry NGIRABAKUNZI / AVANCE SUR SALAI</t>
  </si>
  <si>
    <t>FTCM26161EZEMPD5G</t>
  </si>
  <si>
    <t>Push to MOMO Charges : AC-100068155597 / 250783704473 SALAIRE CLEANER MOIS D~E MAI Mariana MUKANGWIJE / SALAIRE CLEANER</t>
  </si>
  <si>
    <t>Momo Outward transfer : SALAIRE CLEANER / 250783704473 SALAIRE CLEANER MOIS D~E MAI Mariana MUKANGWIJE / SALAIRE CLEANER</t>
  </si>
  <si>
    <t>RWF1000108011009</t>
  </si>
  <si>
    <t>TT26161QG2S4</t>
  </si>
  <si>
    <t>FTCM26161Y05ZHPB0</t>
  </si>
  <si>
    <t>Cash deposit-BK YACU : HARERIMANA ENOC / DEPOSIT 0788330959BELISE / HARERIMANA ENOC</t>
  </si>
  <si>
    <t>FTCM26162MZ9AGH9R</t>
  </si>
  <si>
    <t>Internal Transfer charges : AC-100003776144 / salaire  mai 26chantal KAYITARE KA~YIRANGWA CHANTAL / KAYITARE KAYIRAN</t>
  </si>
  <si>
    <t>IB Account transfer : KAYITARE KAYIRAN / salaire  mai 26chantal KAYITARE KA~YIRANGWA CHANTAL / KAYITARE KAYIRAN</t>
  </si>
  <si>
    <t>FTCM261623SXXHIJG</t>
  </si>
  <si>
    <t>Push to MOMO Charges : AC-100068155597 / 250788876054 paiement compte chanta~l couture mama coco Perpetue UWADE / paiement compte</t>
  </si>
  <si>
    <t>Momo Outward transfer : paiement compte / 250788876054 paiement compte chanta~l couture mama coco Perpetue UWADE / paiement compte</t>
  </si>
  <si>
    <t>FTCM26163P1FZNNTE</t>
  </si>
  <si>
    <t>Internal Transfer charges : AC-100009482398 / Installation cadenas building CFT i~mena CYABUKOMBE DAVID</t>
  </si>
  <si>
    <t>IB Account transfer : CYABUKOMBE DAVID / Installation cadenas building CFT i~mena CYABUKOMBE DAVID</t>
  </si>
  <si>
    <t>FTCM26165H09EFQUQ</t>
  </si>
  <si>
    <t>Card Purchase :  / 7N3QWJUF 520991 14158799686~14158799686 00US RWF</t>
  </si>
  <si>
    <t>FTCM26165KCAGSWFC</t>
  </si>
  <si>
    <t>Internal Transfer charges : AC-100009482398 / construction partition cave CYABUK~OMBE DAVID / CYABUKOMBE DAVID</t>
  </si>
  <si>
    <t>IB Account transfer : CYABUKOMBE DAVID / construction partition cave CYABUK~OMBE DAVID / CYABUKOMBE DAVID</t>
  </si>
  <si>
    <t>FTCM261662RGNLMJB</t>
  </si>
  <si>
    <t>FTCM26167ZTCSTTP9</t>
  </si>
  <si>
    <t>Push to MOMO Charges : AC-100068155597 / 250784307099 minerval 2025 et 2026~Jeanne UWIMANA / minerval 2025 et</t>
  </si>
  <si>
    <t>Momo Outward transfer : minerval 2025 et / 250784307099 minerval 2025 et 2026~Jeanne UWIMANA / minerval 2025 et</t>
  </si>
  <si>
    <t>FTCM26167L7ZGO8Y0</t>
  </si>
  <si>
    <t>Push to MOMO Charges : AC-100068155597 / 250788663048 achat 3 houes   coupe~ferrirre 1  spanner 2  pour  kiramu / achat 3 houes</t>
  </si>
  <si>
    <t>Momo Outward transfer : achat 3 houes / 250788663048 achat 3 houes   coupe~ferrirre 1  spanner 2  pour  kiramu / achat 3 houes</t>
  </si>
  <si>
    <t>FTCM261674LQ7UIVH</t>
  </si>
  <si>
    <t>Card Purchase :  / 30412352 017555 EDMONTON~EDMONTON     00CA RWF</t>
  </si>
  <si>
    <t>FTCM26167ILZ8KXK1</t>
  </si>
  <si>
    <t>Card Purchase :  / 99999999 360011 Toronto~Toronto      00CA RWF</t>
  </si>
  <si>
    <t>FTCM26167Z5SCXLVJ</t>
  </si>
  <si>
    <t>Card Purchase :  / 66552261 914473 TORONTO~TORONTO      00CA RWF</t>
  </si>
  <si>
    <t>FTCM261678EXKRL4X</t>
  </si>
  <si>
    <t>Bill Payment Wasac :  / 224011778 Wasac billKAYIRANGWA CHA~NTAL</t>
  </si>
  <si>
    <t>FTCM261672P3XF8GI</t>
  </si>
  <si>
    <t>Bill Payment Wasac :  / 204716986 Wasac billUDL  G2402 C~YABUKOMBE</t>
  </si>
  <si>
    <t>FTCM26167DGTTHIPU</t>
  </si>
  <si>
    <t>Card Purchase :  / 99999999 707800 Toronto~Toronto      00CA RWF</t>
  </si>
  <si>
    <t>TT26167BG11H</t>
  </si>
  <si>
    <t>RWF1000105211006</t>
  </si>
  <si>
    <t>TT26167F3RKH</t>
  </si>
  <si>
    <t>FTCM26168T7X6Z9TK</t>
  </si>
  <si>
    <t>Card Purchase :  / 99999999 348845 Toronto~Toronto      00CA RWF</t>
  </si>
  <si>
    <t>FTCM26169CXNUVZRE</t>
  </si>
  <si>
    <t>Card Purchase :  / 66552768 741822 TORONTO~TORONTO      00CA RWF</t>
  </si>
  <si>
    <t>FTCM26169WQGRON1T</t>
  </si>
  <si>
    <t>Internal Transfer charges : AC-100009482398 / construction cave et autresCYABUKO~MBE DAVID / CYABUKOMBE DAVID</t>
  </si>
  <si>
    <t>IB Account transfer : CYABUKOMBE DAVID / construction cave et autresCYABUKO~MBE DAVID / CYABUKOMBE DAVID</t>
  </si>
  <si>
    <t>TT261691T1BC</t>
  </si>
  <si>
    <t>FTCM261697YQOKWW6</t>
  </si>
  <si>
    <t>TT26169YTPTC</t>
  </si>
  <si>
    <t>FTCM26170XDFKNQY8</t>
  </si>
  <si>
    <t>Bill Payment Wasac :  / 224013068 Wasac billCYABUKOMBE Alb~ert</t>
  </si>
  <si>
    <t>FTCM26170VEBSHVDA</t>
  </si>
  <si>
    <t>Push to MOMO Charges : AC-100068155597 / 250792957653 moses assistance Mose~s CYABUKOMBE / moses assistance</t>
  </si>
  <si>
    <t>Momo Outward transfer : moses assistance / 250792957653 moses assistance Mose~s CYABUKOMBE / moses assistance</t>
  </si>
  <si>
    <t>FTCM26170XFCQV3BS</t>
  </si>
  <si>
    <t>Internal Transfer charges : AC-100009482398 / PAIEMENT FACTURE CARRELAGE CYABUKO~MBE DAVID / CYABUKOMBE DAVID</t>
  </si>
  <si>
    <t>IB Account transfer : CYABUKOMBE DAVID / PAIEMENT FACTURE CARRELAGE CYABUKO~MBE DAVID / CYABUKOMBE DAVID</t>
  </si>
  <si>
    <t>FTCM261719JJDEJOV</t>
  </si>
  <si>
    <t>Internal Transfer charges : AC-100009482398 / construction cave  finissage CYABU~KOMBE DAVID / CYABUKOMBE DAVID</t>
  </si>
  <si>
    <t>IB Account transfer : CYABUKOMBE DAVID / construction cave  finissage CYABU~KOMBE DAVID / CYABUKOMBE DAVID</t>
  </si>
  <si>
    <t>FTCM26173DC8WOTFM</t>
  </si>
  <si>
    <t>Internal Transfer charges : AC-100003776144 / salary kayitare chantal KAYITARE K~AYIRANGWA CHANTAL / KAYITARE KAYIRAN</t>
  </si>
  <si>
    <t>IB Account transfer : KAYITARE KAYIRAN / salary kayitare chantal KAYITARE K~AYIRANGWA CHANTAL / KAYITARE KAYIRAN</t>
  </si>
  <si>
    <t>FTCM26174SIUJ2DKZ</t>
  </si>
  <si>
    <t>Internal Transfer charges : AC-100009482398 / constructriction trotoir basementC~YABUKOMBE DAVID / CYABUKOMBE DAVID</t>
  </si>
  <si>
    <t>IB Account transfer : CYABUKOMBE DAVID / constructriction trotoir basementC~YABUKOMBE DAVID / CYABUKOMBE DAVID</t>
  </si>
  <si>
    <t>FTCM26174FYVDSGWX</t>
  </si>
  <si>
    <t>Internal Transfer charges : AC-100009482398 / mo construction basementCYABUKOMBE~DAVID / CYABUKOMBE DAVID</t>
  </si>
  <si>
    <t>IB Account transfer : CYABUKOMBE DAVID / mo construction basementCYABUKOMBE~DAVID / CYABUKOMBE DAVID</t>
  </si>
  <si>
    <t>FTCM26175CZJ2JTBF</t>
  </si>
  <si>
    <t>FTCM26175OGWNE2XA</t>
  </si>
  <si>
    <t>Card Purchase :  / 250P0852 083087 KACYIRU~KACYIRU      00RW RWF</t>
  </si>
  <si>
    <t>FTCM26175OKYYIFZU</t>
  </si>
  <si>
    <t>Merchant Pay -NEW MOBISERVE :  / 11028619 250788750184 pharmacie 298~2 3936 TH12820417PHARMACIE CONSEIL</t>
  </si>
  <si>
    <t>FTCM26175AZ7A3E7U</t>
  </si>
  <si>
    <t>Card Purchase :  / BKP06109 715516 KN 5 Rd Kigali~GASABO       00RW RWF</t>
  </si>
  <si>
    <t>FTCM26175WHAWGQMO</t>
  </si>
  <si>
    <t>Card Purchase :  / BKP05007 966937 KG 14 Ave Kigali S~IMBAKigali       00RW RWF</t>
  </si>
  <si>
    <t>FTCM26176G794JWQK</t>
  </si>
  <si>
    <t>FTCM26176UBDLZZBD</t>
  </si>
  <si>
    <t>CREDIT CARD PAYMENT :  / PYT 260625 47137521810 Cyabuk~ombe Albert 250788750184</t>
  </si>
  <si>
    <t>FTCM26176B5IWJ0AT</t>
  </si>
  <si>
    <t>Push to MOMO Charges : AC-100068155597 / 250789818590 avoElisabeth MUKANDAH~UNGA / avo</t>
  </si>
  <si>
    <t>MTN MOBILE MONEY NEW MOBISERVE : avo / 250789818590 avoElisabeth MUKANDAH~UNGA / avo</t>
  </si>
  <si>
    <t>FTCM261765HHKS1WL</t>
  </si>
  <si>
    <t>Push to MOMO Charges : AC-100068155597 / 250795813039 booking chiropracticua~nBARONE FILIPPO / booking chiropra</t>
  </si>
  <si>
    <t>MTN MOBILE MONEY NEW MOBISERVE : booking chiropra / 250795813039 booking chiropracticua~nBARONE FILIPPO / booking chiropra</t>
  </si>
  <si>
    <t>FTCM26176LHNICSDO</t>
  </si>
  <si>
    <t>MTN MOBILE MONEY NEW MOBISERVE : isuku Imena / 250788750184 isuku ImenaChantal KA~YITARE KAYIRANGWA / isuku Imena</t>
  </si>
  <si>
    <t>FTCM261760IDSEWZR</t>
  </si>
  <si>
    <t>Push to MOMO Charges : AC-100068155597 / 250795813039 balance chiropractcian~BARONE FILIPPO / balance chiropra</t>
  </si>
  <si>
    <t>MTN MOBILE MONEY NEW MOBISERVE : balance chiropra / 250795813039 balance chiropractcian~BARONE FILIPPO / balance chiropra</t>
  </si>
  <si>
    <t>FTCM26177FMLUJPLL</t>
  </si>
  <si>
    <t>FTCM26177C6UFYCAO</t>
  </si>
  <si>
    <t>Push to MOMO Charges : AC-100068155597 / 250788351999 reparation phone Papa~Hassani HAKIZIMANA / reparation phone</t>
  </si>
  <si>
    <t>MTN MOBILE MONEY NEW MOBISERVE : reparation phone / 250788351999 reparation phone Papa~Hassani HAKIZIMANA / reparation phone</t>
  </si>
  <si>
    <t>FTCM26177TQ0ONNYU</t>
  </si>
  <si>
    <t>Internal Transfer charges : AC-100009482398 / contruction cave CYABUKOMBE DAVID</t>
  </si>
  <si>
    <t>IB Account transfer : CYABUKOMBE DAVID / contruction cave CYABUKOMBE DAVID</t>
  </si>
  <si>
    <t>FTCM26177ZS6IKGVM</t>
  </si>
  <si>
    <t>MTN MOBILE MONEY NEW MOBISERVE : com ap 9 Dushima / 250788750184 com ap 9 Dushimana Thi~erry code 400581Chantal KAYITARE K / com ap 9 Dushima</t>
  </si>
  <si>
    <t>FTCM26178TMXRXPKE</t>
  </si>
  <si>
    <t>Push to MOMO Charges : AC-100068155597 / 250787152796 umutekano Inganji Cyab~ukombeYvette MUKABAZIGA / umutekano Inganj</t>
  </si>
  <si>
    <t>MTN MOBILE MONEY NEW MOBISERVE : umutekano Inganj / 250787152796 umutekano Inganji Cyab~ukombeYvette MUKABAZIGA / umutekano Inganj</t>
  </si>
  <si>
    <t>FTCM26178EUUJ08Q6</t>
  </si>
  <si>
    <t>Push to MOMO Charges : AC-100068155597 / 250781510235 mo plombierEric NTAKI~RUTIMANA / mo plombier</t>
  </si>
  <si>
    <t>MTN MOBILE MONEY NEW MOBISERVE : mo plombier / 250781510235 mo plombierEric NTAKI~RUTIMANA / mo plombier</t>
  </si>
  <si>
    <t>FTCM261786MUVAOO3</t>
  </si>
  <si>
    <t>Push to MOMO Charges : AC-100068155597 / 250788344862 ibikoresho plomberie V~cFrancine UWIZERA / ibikoresho plomb</t>
  </si>
  <si>
    <t>MTN MOBILE MONEY NEW MOBISERVE : ibikoresho plomb / 250788344862 ibikoresho plomberie V~cFrancine UWIZERA / ibikoresho plomb</t>
  </si>
  <si>
    <t>FTCM26179UOSVZ0CR</t>
  </si>
  <si>
    <t>Push to MOMO Charges : AC-100068155597 / 250798919486 10k bal june 10k avanc~eDrocelle NYIRANEZA / 10k bal june 10k</t>
  </si>
  <si>
    <t>MTN MOBILE MONEY NEW MOBISERVE : 10k bal june 10k / 250798919486 10k bal june 10k avanc~eDrocelle NYIRANEZA / 10k bal june 10k</t>
  </si>
  <si>
    <t>FTCM26179HZJMGWL1</t>
  </si>
  <si>
    <t>Push to MOMO Charges : AC-100068155597 / 250786975764 comimssion ap 15 Berti~nBERTIN MBONIGABA / comimssion ap 15</t>
  </si>
  <si>
    <t>MTN MOBILE MONEY NEW MOBISERVE : comimssion ap 15 / 250786975764 comimssion ap 15 Berti~nBERTIN MBONIGABA / comimssion ap 15</t>
  </si>
  <si>
    <t>FTCM26179WACQNPFR</t>
  </si>
  <si>
    <t>Internal Transfer charges : AC-100003776144 / compte papa achats collegues Abidja~nKAYITARE KAYIRANGWA CHANTAL / KAYITARE KAYIRAN</t>
  </si>
  <si>
    <t>BK to BK NEW MOBISERVE : KAYITARE KAYIRAN / compte papa achats collegues Abidja~nKAYITARE KAYIRANGWA CHANTAL / KAYITARE KAYIRAN</t>
  </si>
  <si>
    <t>FTCM26179IX3UFAG3</t>
  </si>
  <si>
    <t>MTN MOBILE MONEY NEW MOBISERVE : electricite Im3n / 250788750184 electricite Im3naChan~tal KAYITARE KAYIRANGWA / electricite Im3n</t>
  </si>
  <si>
    <t>FTCM26179ELK8JDG1</t>
  </si>
  <si>
    <t>Push to MOMO Charges : AC-100068155597 / 250781510235 mo plombier Eric visio~nEric NTAKIRUTIMANA / mo plombier Eric</t>
  </si>
  <si>
    <t>MTN MOBILE MONEY NEW MOBISERVE : mo plombier Eric / 250781510235 mo plombier Eric visio~nEric NTAKIRUTIMANA / mo plombier Eric</t>
  </si>
  <si>
    <t>FTCM26179UM6EMSWF</t>
  </si>
  <si>
    <t>Push to MOMO Charges : AC-100068155597 / 250788893350 mo soudeur Inganji Ap~19 Imena porte en haut ApptEric KA / mo soudeur Ingan</t>
  </si>
  <si>
    <t>MTN MOBILE MONEY NEW MOBISERVE : mo soudeur Ingan / 250788893350 mo soudeur Inganji Ap~19 Imena porte en haut ApptEric KA / mo soudeur Ingan</t>
  </si>
  <si>
    <t>FTCM261803UEA04YW</t>
  </si>
  <si>
    <t>Push to MOMO Charges : AC-100068155597 / 250788400604 compte papa guhemba Da~vid familyGabriella UMWARI NKUNDA / compte papa guhe</t>
  </si>
  <si>
    <t>MTN MOBILE MONEY NEW MOBISERVE : compte papa guhe / 250788400604 compte papa guhemba Da~vid familyGabriella UMWARI NKUNDA / compte papa guhe</t>
  </si>
  <si>
    <t>FTCM26180NJQ8EXI8</t>
  </si>
  <si>
    <t>FT26181HN842</t>
  </si>
  <si>
    <t>FTCM26181NEUGZTBZ</t>
  </si>
  <si>
    <t>Push to MOMO Charges : AC-100068155597 / 250794787070 Imena ibikoresho by is~ukuDieudonne IRADUKUNDA / Imena ibikoresho</t>
  </si>
  <si>
    <t>MTN MOBILE MONEY NEW MOBISERVE : Imena ibikoresho / 250794787070 Imena ibikoresho by is~ukuDieudonne IRADUKUNDA / Imena ibikoresho</t>
  </si>
  <si>
    <t>FTCM26181QAUTXJ9D</t>
  </si>
  <si>
    <t>Push to MOMO Charges : AC-100068155597 / 250788688841 kiramuruzi sal juneEr~itier WASE / kiramuruzi sal j</t>
  </si>
  <si>
    <t>MTN MOBILE MONEY NEW MOBISERVE : kiramuruzi sal j / 250788688841 kiramuruzi sal juneEr~itier WASE / kiramuruzi sal j</t>
  </si>
  <si>
    <t>FTCM26181XSKH6K1S</t>
  </si>
  <si>
    <t>RTGS Transfer - Charges : AC-RWF1701400801002 / Imena Lily plus tel com / Mpinganzima Lydi</t>
  </si>
  <si>
    <t>BK TO OTHER BANK NEW MOBISERVE : Mpinganzima Lydi / Imena Lily plus tel com / Mpinganzima Lydi</t>
  </si>
  <si>
    <t>FTCM26181YYJLNUDL</t>
  </si>
  <si>
    <t>Push to MOMO Charges : AC-100068155597 / 250781192754 Imena Hakiza sal plus~com telTheoneste HAKIZIMANA / Imena Hakiza sal</t>
  </si>
  <si>
    <t>MTN MOBILE MONEY NEW MOBISERVE : Imena Hakiza sal / 250781192754 Imena Hakiza sal plus~com telTheoneste HAKIZIMANA / Imena Hakiza sal</t>
  </si>
  <si>
    <t>FTCM26181WOGU12OD</t>
  </si>
  <si>
    <t>Internal Transfer charges : AC-100191878161 / Injanj8 sal jadoJean De Dieu HAKIZ~IMANA / Jean De Dieu HAK</t>
  </si>
  <si>
    <t>BK to BK NEW MOBISERVE : Jean De Dieu HAK / Injanj8 sal jadoJean De Dieu HAKIZ~IMANA / Jean De Dieu HAK</t>
  </si>
  <si>
    <t>FTCM26181TCYQKWK8</t>
  </si>
  <si>
    <t>Push to MOMO Charges : AC-100068155597 / 250788663048 kiramuruzi amasukaIsa~ac NZIRORERA / kiramuruzi amasu</t>
  </si>
  <si>
    <t>MTN MOBILE MONEY NEW MOBISERVE : kiramuruzi amasu / 250788663048 kiramuruzi amasukaIsa~ac NZIRORERA / kiramuruzi amasu</t>
  </si>
  <si>
    <t>FTCM26181XAWKPWRH</t>
  </si>
  <si>
    <t>Push to MOMO Charges : AC-100068155597 / 250783704473 Imena isuku MarianaMa~riana MUKANGWIJE / Imena isuku Mari</t>
  </si>
  <si>
    <t>MTN MOBILE MONEY NEW MOBISERVE : Imena isuku Mari / 250783704473 Imena isuku MarianaMa~riana MUKANGWIJE / Imena isuku Mari</t>
  </si>
  <si>
    <t>MTN Push to Bank :  / MTNPUSH28057190564250790137049 TOULOUMON ANTOINE TAMRAT AP 1</t>
  </si>
  <si>
    <t>MTN Push to Bank :  / MTNPUSH26549346137250793108407 AHABWE AGNES  LYNN AP 16</t>
  </si>
  <si>
    <t>MTN Push to Bank :  / MTNPUSH26584969545250796895100 BABRA KUTENGA SH3</t>
  </si>
  <si>
    <t>MTN Push to Bank :  / MTNPUSH26611893794250788591728 RUTSOBE ROBERT MUKWAYA SH 13</t>
  </si>
  <si>
    <t>MTN Push to Bank :  / MTNPUSH26758081812250788591728 SH 13  Robert mukwaya  office  2 months one deposit SH  13</t>
  </si>
  <si>
    <t>MTN Push to Bank :  / MTNPUSH25885656260250796895100 BABRA KUTENDA SH3</t>
  </si>
  <si>
    <t>New App BK-BK Account Transfer : ABIYINGOMA CHRIS / Rent payment February AP11CYABUKOM~BE ALBERT / ABIYINGOMA CHRIS AP 11</t>
  </si>
  <si>
    <t>MTN Push to Bank :  / MTNPUSH25967101379250796395722 AHMED SIDDIG AHED BABIKER AP 3</t>
  </si>
  <si>
    <t>MTN Push to Bank :  / MTNPUSH25976691908250795593803 YAI ALUEL MAKEIR AJACK AP 12</t>
  </si>
  <si>
    <t>MTN Push to Bank :  / MTNPUSH25976691908250795593803  UTILITIEYAI ALUEL MAKEIR AJACK AP 12</t>
  </si>
  <si>
    <t>Cash Deposit : ARWA MOHAMMED AHMED/RENT /  / ARWA MOHAMMED AHMED/RENT AP 7</t>
  </si>
  <si>
    <t>Cash Deposit : OLA HASHIM/ RENT AB2 /  / OLA HASHIM/ RENT AP2</t>
  </si>
  <si>
    <t>Cash deposit-BK YACU : TUCLEM FAMILY LT / PAYMENT 0793190257NSENGIYUMVA YVAN / TUCLEM FAMILY LT AP 9</t>
  </si>
  <si>
    <t>Cash Deposit : OLA HASHIM/ RENT /  / OLA HASHIM/ RENT SH3</t>
  </si>
  <si>
    <t>MTN Push to Bank :  / MTNPUSH26058377167250781464264 JOSEPH KYALO MUTAMBUKI SH 10  and 14AB</t>
  </si>
  <si>
    <t>Cash Deposit : RENT PYT/ZANNU JULIUS DONA /  / RENT PYT/ZANNU JULIUS DONA AP1</t>
  </si>
  <si>
    <t>Incoming  Trsf frm local banks :  / NCUBE CHIDOCHASHE SITHABISO 0000024~41592 MB Local Transfer Marc AP 8</t>
  </si>
  <si>
    <t>MTN Push to Bank :  / MTNPUSH26408764649250781497551 UWASE VANESSA AP 6</t>
  </si>
  <si>
    <t>Incoming  Trsf frm local banks :  / SIBUSISIWE DUBE 000002441948 IB Loc~al Transfer Marc AP 5</t>
  </si>
  <si>
    <t>MTN Push to Bank :  / MTNPUSH26472336449250781464264 JOSEPH MUTAMBAKI CYARO SH 5</t>
  </si>
  <si>
    <t>MTN Push to Bank :  / MTNPUSH26517585812250793145770 ODEBUNMI FIYINFOLUWA PHILIP AP 1</t>
  </si>
  <si>
    <t>Cash deposit-BK YACU : HARERIMANA ENOC / RENT PAYMENT 0791903693REEMA JEMAL / HARERIMANA ENOC SH 8</t>
  </si>
  <si>
    <t xml:space="preserve">New App BK-BK Account Transfer : ABKER EDRIS HAZE / kCYABUKOMBE ALBERT / ABKER EDRIS HAZE AP </t>
  </si>
  <si>
    <t>MTN Push to Bank :  / MTNPUSH26529983593250796395722 AHMED SIDDIG AHMED BABIKER AP 3</t>
  </si>
  <si>
    <t>New App BK-BK Account Transfer : ABIYINGOMA CHRIS / Rent payment March ap11CYABUKOMBE~ALBERT / ABIYINGOMA CHRIS AP 11</t>
  </si>
  <si>
    <t>MTN Push to Bank :  / MTNPUSH26549346137250793108407 AHABWE AGNES LYNN AP 16</t>
  </si>
  <si>
    <t>Outwards Off-Us Dmstic  Cheque :  / CYABUKOMBE ALBERT00000137ECO LAUNDR~Y DRY CLEANER LTD SH 2</t>
  </si>
  <si>
    <t>Cash deposit-BK YACU : HARERIMANA ENOC SH 6 AND 7</t>
  </si>
  <si>
    <t>MTN Push to Bank :  / MTNPUSH26611893794250788591728 RUTSOBE ROBERT MUKWAYA  SH 13</t>
  </si>
  <si>
    <t>MTN Push to Bank :  / MTNPUSH26758081812250788591728 RUTSOBE ROBERT MUKWAYA SH 13</t>
  </si>
  <si>
    <t>EKASH incoming transfer : UDOKANMA GEORGEW / UDOKANMA GEORGEWILL56209847480000~58779 / UDOKANMA GEORGEW AP 15</t>
  </si>
  <si>
    <t>EKASH incoming transfer : UDOKANMA GEORGEW / UDOKANMA GEORGEWILL56209847480000~58796 / UDOKANMA GEORGEW AP 15</t>
  </si>
  <si>
    <t>New App BK-BK Account Transfer : NTIHEMUKA AIMABL / RentosCYABUKOMBE ALBERT / NTIHEMUKA AIMABL SH 12</t>
  </si>
  <si>
    <t>Cash deposit-BK YACU : HARERIMANA ENOC AP20</t>
  </si>
  <si>
    <t>NOMsS</t>
  </si>
  <si>
    <t>O78840604</t>
  </si>
  <si>
    <t>O786425307</t>
  </si>
  <si>
    <t>O788307686</t>
  </si>
  <si>
    <t>SH 11</t>
  </si>
  <si>
    <t>o795825747</t>
  </si>
  <si>
    <t>NSENGIYUMVA</t>
  </si>
  <si>
    <t>SH 12</t>
  </si>
  <si>
    <t>0799906508</t>
  </si>
  <si>
    <t>IKWUAKO IFEANYI</t>
  </si>
  <si>
    <t>SH 14</t>
  </si>
  <si>
    <t>O793148380</t>
  </si>
  <si>
    <t>NWACHUKWU CHU KWUEMEKA</t>
  </si>
  <si>
    <t>O795825747</t>
  </si>
  <si>
    <t>IDRISA ANKUNGHA</t>
  </si>
  <si>
    <t>CAMEROUN</t>
  </si>
  <si>
    <t>O793558549</t>
  </si>
  <si>
    <t>O792107011</t>
  </si>
  <si>
    <t>ADADUGENESIS UKE</t>
  </si>
  <si>
    <t>JULIUS ZANNU DONA</t>
  </si>
  <si>
    <t>O799417647</t>
  </si>
  <si>
    <t xml:space="preserve">left </t>
  </si>
  <si>
    <t>0787915231</t>
  </si>
  <si>
    <t>NZE NONGSTEN WILLIAMS</t>
  </si>
  <si>
    <t>GABONAIS</t>
  </si>
  <si>
    <t>TCHADIEN</t>
  </si>
  <si>
    <t>AP 20</t>
  </si>
  <si>
    <t>+967716753024</t>
  </si>
  <si>
    <t>SHOMASIYAHYA HASAN</t>
  </si>
  <si>
    <t>OMAN</t>
  </si>
  <si>
    <t>MTN Push to Bank :  / MTNPUSH27681243254250781464264 kyalo mutambuki joseh sh 5</t>
  </si>
  <si>
    <t>Incoming  Trsf frm local banks :  / SIBUSISIWE DUBE 000002544129 IB Loc~al Transfer May ap 5</t>
  </si>
  <si>
    <t>Cash deposit-BK YACU : HARERIMANA ENOC / RENT 0791903693REEMA Jemal / HARERIMANA ENOC SH 8</t>
  </si>
  <si>
    <t>New App BK-BK Account Transfer : ABIYINGOMA CHRIS / Rent payment May ap11CYABUKOMBE AL~BERT / ABIYINGOMA CHRIS AP 11</t>
  </si>
  <si>
    <t>MTN Push to Bank :  / MTNPUSH27736759783250781464264 JOSEPH CYALO MUTAMBAKI SH 10</t>
  </si>
  <si>
    <t>MTN Push to Bank :  / MTNPUSH27741700261250796895100  BABRA GUTENGA SH 3</t>
  </si>
  <si>
    <t xml:space="preserve">Cash Deposit : RADWAN HAITHAM/ HOUSE RENT /  / RADWAN HAITHAM/ HOUSE RENT AP 19 </t>
  </si>
  <si>
    <t>Incoming  Trsf frm local banks :  / UDOKANMA SHARON GEORGEWILL 00000255~4775 MB Local Transfer Half AP 15</t>
  </si>
  <si>
    <t>BK to BK NEW MOBISERVE : KELVIN KAGAME / rentCYABUKOMBE ALBERT / KELVIN KAGAME A 21</t>
  </si>
  <si>
    <t>Cash deposit-BK YACU : UYISENGA JEANNIN / payment rent 0788280498UWIRINGIYIM~ANA Donati / UYISENGA JEANNIN SH1</t>
  </si>
  <si>
    <t>MTN Push to Bank :  / MTNPUSH28057190564250790137049TOULOUMON ANTOINE TAMARAT AP 1</t>
  </si>
  <si>
    <t>MTN Push to Bank :  / MTNPUSH28267485275250781497551 UWASE VANESSA A 6</t>
  </si>
  <si>
    <t>Outwards Off-Us Dmstic  Cheque :  / CYABUKOMBE ALBERT00000028ECO LAUNDR~Y DRY CLEANER LTD SH2</t>
  </si>
  <si>
    <t>Incoming  Trsf frm local banks :  / NCUBE CHIDOCHASHE SITHABISO 0000025~92203 MB Local Transfer june AP 8</t>
  </si>
  <si>
    <t>MTN Push to Bank :  / MTNPUSH28278661296250790335341 MOUSSA MOUSTAHA june AP 17</t>
  </si>
  <si>
    <t>MTN Push to Bank :  / MTNPUSH28292958017250793148380 NWACHUKWU CHUKWUEMEKA CH 14 AB</t>
  </si>
  <si>
    <t>MTN Push to Bank :  / MTNPUSH28293442465250799906508 IKWUAKO IFEANYI   IKWUAKO IFEANYI SH 12</t>
  </si>
  <si>
    <t>MTN Push to Bank :  / MTNPUSH28293568823250799906508 IKWUAKO IFEANYI SH 12</t>
  </si>
  <si>
    <t>Cash deposit-BK YACU : ISHIMWE LEONARD / RENT 0792622968richard oluka / ISHIMWE LEONARD AP 10</t>
  </si>
  <si>
    <t>BK to BK NEW MOBISERVE : KELVIN KAGAME / eCYABUKOMBE ALBERT / KELVIN KAGAME AP 21</t>
  </si>
  <si>
    <t>Incoming  Trsf frm local banks :  / SIBUSISIWE DUBE 000002596483 IB Loc~al Transfer June AP 5</t>
  </si>
  <si>
    <t>Cash Deposit : NZE NONGO /HOUSE RENT /  / NZE NONGO /HOUSE RENT A 15</t>
  </si>
  <si>
    <t>New App BK-BK Account Transfer : IDRISE ANKUNGHA / House rent CYABUKOMBE ALBERT / IDRISE ANKUNGHA A 2</t>
  </si>
  <si>
    <t>MTN Push to Bank :  / MTNPUSH28347234671250781464264 JOSEPH CYARO MUTAMBAKI SH 5 AND SH 10</t>
  </si>
  <si>
    <t>Cash Deposit : HAITHAM RADWAN/HOUSE RENT JUNE /  / HAITHAM RADWAN/HOUSE RENT JUNE AP 19</t>
  </si>
  <si>
    <t>MTN Push to Bank :  / MTNPUSH28358737513250788591728 RUTSOBE ROBERT MUKWAYA SH13</t>
  </si>
  <si>
    <t>New App BK-BK Account Transfer : ABIYINGOMA CHRIS / Rent payment June ap11CYABUKOMBE A~LBERT / ABIYINGOMA CHRIS AP 11</t>
  </si>
  <si>
    <t>MTN Push to Bank :  / MTNPUSH28432167323250796895100 BABRA KUTENGA SH3</t>
  </si>
  <si>
    <t>Incoming  Trsf frm local banks :  / RWANDA NUT COMPANY LTD 000002604237~IB Local Transfer Nut MACADEMIA</t>
  </si>
  <si>
    <t>Cash deposit-BK YACU : NYIRANEZA JOSELI / HOUSE RENT 0792863253MEHAD  KHALID~A ABDALLAH ELSHAIKH / NYIRANEZA JOSELI AP 13</t>
  </si>
  <si>
    <t>Cash Deposit : YVAN NSENGIYUMVA /RENT /  / YVAN NSENGIYUMVA /RENT SH 11</t>
  </si>
  <si>
    <t>MTN Push to Bank :  / MTNPUSH28558130313250793440441 SARAH AHMED ALI ABLLAZIG A12</t>
  </si>
  <si>
    <t xml:space="preserve">Cash Deposit : VST/JEAN DE DIEU HAKIZIMANA / SHOMASI YAHYA NAJI HASSAN 1 MOIS  DEPOSIT AP20 </t>
  </si>
  <si>
    <t>Cash Deposit : RENT/UWIRINGIYIMANA DONAT /  / RENT/UWIRINGIYIMANA DONAT SH 1</t>
  </si>
  <si>
    <t>Cash Deposit : NZE NONG STEN/HOUSE RENT /  / NZE NONG STEN/HOUSE RENT AP 15 DEPOSIT</t>
  </si>
  <si>
    <t>MTN Push to Bank :  / MTNPUSH28621618424250790137049 TOULOUMOUN ANTOINE AP 1</t>
  </si>
  <si>
    <t>Cash Deposit : NSENGIYUMVA YVAN/RENT /  / NSENGIYUMVA YVAN/RENTS SH 11</t>
  </si>
  <si>
    <t>MOHAMED ABUELGASIM FADLALLA ARAKI</t>
  </si>
  <si>
    <t>MTN Push to Bank :  / MTNPUSH28768194314250799417647 MOHAMED ABUELGASIM FADLALLA  AP 9</t>
  </si>
  <si>
    <t>Incoming  Trsf frm local banks :  / ZANNU JULIUS DONA RTOMICC01144966 2 MONTHS  AP4</t>
  </si>
  <si>
    <t>AP20</t>
  </si>
  <si>
    <t>MARS</t>
  </si>
  <si>
    <t xml:space="preserve">AVRIL </t>
  </si>
  <si>
    <t>SH 14C</t>
  </si>
  <si>
    <t>SH14  A B</t>
  </si>
  <si>
    <t>CHUKWUDI OBI</t>
  </si>
  <si>
    <t>AP 19</t>
  </si>
  <si>
    <t>Albertine Tours ROBERT RUTSOBE MUKWAYA</t>
  </si>
  <si>
    <t>200.0000</t>
  </si>
  <si>
    <t>MTN Push to Bank :  / MTNPUSH27709475815250796681084 AISHA YOUSIF RDWAN MOHAMMED AP 18</t>
  </si>
  <si>
    <t>New App BK-BK Account Transfer : HASSAN MOHAMMED / rentCYABUKOMBE ALBERT / HASSAN MOHAMMED AP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</si>
</sst>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yyyy\-mm\-dd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3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65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b/>
      <sz val="11"/>
      <color rgb="FFFFFFFF"/>
      <name val="Carlito"/>
    </font>
    <font>
      <sz val="11"/>
      <color theme="5"/>
      <name val="Aptos Narrow"/>
      <family val="2"/>
      <charset val="1"/>
      <scheme val="minor"/>
    </font>
    <font>
      <sz val="11"/>
      <color theme="5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F766E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6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1" fillId="0" borderId="0" applyNumberFormat="0" applyBorder="0" applyProtection="0"/>
    <xf numFmtId="0" fontId="19" fillId="0" borderId="0" applyNumberFormat="0" applyFill="0" applyBorder="0" applyAlignment="0" applyProtection="0"/>
    <xf numFmtId="0" fontId="20" fillId="0" borderId="22" applyNumberFormat="0" applyFill="0" applyAlignment="0" applyProtection="0"/>
    <xf numFmtId="0" fontId="21" fillId="0" borderId="23" applyNumberFormat="0" applyFill="0" applyAlignment="0" applyProtection="0"/>
    <xf numFmtId="0" fontId="22" fillId="0" borderId="24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25" applyNumberFormat="0" applyAlignment="0" applyProtection="0"/>
    <xf numFmtId="0" fontId="27" fillId="10" borderId="26" applyNumberFormat="0" applyAlignment="0" applyProtection="0"/>
    <xf numFmtId="0" fontId="28" fillId="10" borderId="25" applyNumberFormat="0" applyAlignment="0" applyProtection="0"/>
    <xf numFmtId="0" fontId="29" fillId="0" borderId="27" applyNumberFormat="0" applyFill="0" applyAlignment="0" applyProtection="0"/>
    <xf numFmtId="0" fontId="30" fillId="11" borderId="28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30" applyNumberFormat="0" applyFill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34" fillId="36" borderId="0" applyNumberFormat="0" applyBorder="0" applyAlignment="0" applyProtection="0"/>
    <xf numFmtId="0" fontId="6" fillId="0" borderId="0"/>
    <xf numFmtId="0" fontId="6" fillId="12" borderId="29" applyNumberFormat="0" applyFont="0" applyAlignment="0" applyProtection="0"/>
  </cellStyleXfs>
  <cellXfs count="219">
    <xf numFmtId="0" fontId="0" fillId="0" borderId="0" xfId="0"/>
    <xf numFmtId="0" fontId="0" fillId="0" borderId="1" xfId="0" applyBorder="1"/>
    <xf numFmtId="0" fontId="0" fillId="0" borderId="2" xfId="0" applyBorder="1"/>
    <xf numFmtId="166" fontId="0" fillId="0" borderId="2" xfId="1" applyNumberFormat="1" applyFont="1" applyFill="1" applyBorder="1"/>
    <xf numFmtId="1" fontId="0" fillId="0" borderId="0" xfId="1" applyNumberFormat="1" applyFont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14" fontId="0" fillId="0" borderId="0" xfId="0" applyNumberFormat="1"/>
    <xf numFmtId="0" fontId="0" fillId="3" borderId="1" xfId="0" applyFill="1" applyBorder="1"/>
    <xf numFmtId="14" fontId="12" fillId="0" borderId="6" xfId="3" applyNumberFormat="1" applyFont="1" applyBorder="1" applyAlignment="1">
      <alignment horizontal="left" wrapText="1"/>
    </xf>
    <xf numFmtId="0" fontId="13" fillId="0" borderId="1" xfId="0" applyFont="1" applyBorder="1"/>
    <xf numFmtId="1" fontId="0" fillId="0" borderId="1" xfId="1" applyNumberFormat="1" applyFont="1" applyBorder="1"/>
    <xf numFmtId="14" fontId="14" fillId="0" borderId="6" xfId="3" applyNumberFormat="1" applyFont="1" applyBorder="1" applyAlignment="1">
      <alignment horizontal="left" wrapText="1"/>
    </xf>
    <xf numFmtId="164" fontId="11" fillId="0" borderId="6" xfId="2" applyFont="1" applyFill="1" applyBorder="1" applyAlignment="1">
      <alignment horizontal="right" wrapText="1"/>
    </xf>
    <xf numFmtId="0" fontId="9" fillId="0" borderId="1" xfId="0" applyFont="1" applyBorder="1"/>
    <xf numFmtId="14" fontId="15" fillId="0" borderId="6" xfId="3" applyNumberFormat="1" applyFont="1" applyBorder="1" applyAlignment="1">
      <alignment horizontal="left" wrapText="1"/>
    </xf>
    <xf numFmtId="0" fontId="16" fillId="0" borderId="1" xfId="0" applyFont="1" applyBorder="1"/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left"/>
    </xf>
    <xf numFmtId="164" fontId="14" fillId="0" borderId="6" xfId="2" applyFont="1" applyFill="1" applyBorder="1" applyAlignment="1">
      <alignment horizontal="right" wrapText="1"/>
    </xf>
    <xf numFmtId="49" fontId="0" fillId="0" borderId="1" xfId="0" applyNumberFormat="1" applyBorder="1"/>
    <xf numFmtId="14" fontId="14" fillId="0" borderId="6" xfId="3" applyNumberFormat="1" applyFont="1" applyBorder="1" applyAlignment="1">
      <alignment horizontal="left" wrapText="1"/>
    </xf>
    <xf numFmtId="14" fontId="11" fillId="0" borderId="6" xfId="3" applyNumberFormat="1" applyBorder="1" applyAlignment="1">
      <alignment horizontal="left" wrapText="1"/>
    </xf>
    <xf numFmtId="164" fontId="12" fillId="0" borderId="6" xfId="2" applyFont="1" applyFill="1" applyBorder="1" applyAlignment="1">
      <alignment horizontal="right" wrapText="1"/>
    </xf>
    <xf numFmtId="49" fontId="16" fillId="0" borderId="1" xfId="0" applyNumberFormat="1" applyFont="1" applyBorder="1"/>
    <xf numFmtId="164" fontId="15" fillId="0" borderId="6" xfId="2" applyFont="1" applyFill="1" applyBorder="1" applyAlignment="1">
      <alignment horizontal="right" wrapText="1"/>
    </xf>
    <xf numFmtId="0" fontId="16" fillId="0" borderId="0" xfId="0" applyFont="1"/>
    <xf numFmtId="14" fontId="11" fillId="0" borderId="6" xfId="3" applyNumberFormat="1" applyBorder="1" applyAlignment="1">
      <alignment horizontal="left" wrapText="1"/>
    </xf>
    <xf numFmtId="49" fontId="11" fillId="0" borderId="6" xfId="3" applyNumberFormat="1" applyBorder="1" applyAlignment="1">
      <alignment horizontal="left" wrapText="1"/>
    </xf>
    <xf numFmtId="0" fontId="0" fillId="4" borderId="1" xfId="0" applyFill="1" applyBorder="1"/>
    <xf numFmtId="14" fontId="12" fillId="4" borderId="6" xfId="3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166" fontId="0" fillId="0" borderId="0" xfId="1" applyNumberFormat="1" applyFont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15" fillId="0" borderId="10" xfId="3" applyNumberFormat="1" applyFont="1" applyBorder="1" applyAlignment="1">
      <alignment horizontal="left" wrapText="1"/>
    </xf>
    <xf numFmtId="14" fontId="15" fillId="0" borderId="1" xfId="3" applyNumberFormat="1" applyFont="1" applyBorder="1" applyAlignment="1">
      <alignment horizontal="left" wrapText="1"/>
    </xf>
    <xf numFmtId="14" fontId="12" fillId="0" borderId="1" xfId="3" applyNumberFormat="1" applyFont="1" applyBorder="1" applyAlignment="1">
      <alignment horizontal="left" wrapText="1"/>
    </xf>
    <xf numFmtId="166" fontId="8" fillId="0" borderId="0" xfId="1" applyNumberFormat="1" applyFont="1"/>
    <xf numFmtId="166" fontId="10" fillId="0" borderId="0" xfId="0" applyNumberFormat="1" applyFont="1"/>
    <xf numFmtId="0" fontId="0" fillId="5" borderId="1" xfId="0" applyFill="1" applyBorder="1"/>
    <xf numFmtId="0" fontId="0" fillId="2" borderId="14" xfId="0" applyFill="1" applyBorder="1"/>
    <xf numFmtId="0" fontId="0" fillId="3" borderId="14" xfId="0" applyFill="1" applyBorder="1"/>
    <xf numFmtId="0" fontId="0" fillId="0" borderId="15" xfId="0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0" fillId="0" borderId="15" xfId="0" applyBorder="1"/>
    <xf numFmtId="0" fontId="16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11" fillId="0" borderId="15" xfId="3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14" fontId="9" fillId="0" borderId="15" xfId="0" applyNumberFormat="1" applyFont="1" applyBorder="1" applyAlignment="1">
      <alignment horizontal="center" vertical="center"/>
    </xf>
    <xf numFmtId="0" fontId="13" fillId="0" borderId="15" xfId="0" applyFont="1" applyBorder="1"/>
    <xf numFmtId="0" fontId="9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11" fillId="0" borderId="1" xfId="3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17" fillId="0" borderId="1" xfId="0" applyFont="1" applyBorder="1"/>
    <xf numFmtId="0" fontId="0" fillId="0" borderId="14" xfId="0" applyBorder="1"/>
    <xf numFmtId="0" fontId="16" fillId="0" borderId="1" xfId="0" applyFont="1" applyBorder="1" applyAlignment="1">
      <alignment horizontal="left"/>
    </xf>
    <xf numFmtId="166" fontId="10" fillId="0" borderId="0" xfId="1" applyNumberFormat="1" applyFont="1"/>
    <xf numFmtId="0" fontId="0" fillId="0" borderId="14" xfId="0" applyBorder="1" applyAlignment="1">
      <alignment horizontal="right"/>
    </xf>
    <xf numFmtId="0" fontId="16" fillId="0" borderId="14" xfId="0" applyFont="1" applyBorder="1"/>
    <xf numFmtId="166" fontId="0" fillId="0" borderId="0" xfId="0" applyNumberFormat="1"/>
    <xf numFmtId="0" fontId="0" fillId="2" borderId="0" xfId="0" applyFill="1"/>
    <xf numFmtId="166" fontId="10" fillId="2" borderId="0" xfId="0" applyNumberFormat="1" applyFont="1" applyFill="1"/>
    <xf numFmtId="0" fontId="0" fillId="0" borderId="2" xfId="0" applyFill="1" applyBorder="1"/>
    <xf numFmtId="49" fontId="0" fillId="0" borderId="1" xfId="0" applyNumberFormat="1" applyBorder="1" applyAlignment="1">
      <alignment horizontal="left"/>
    </xf>
    <xf numFmtId="0" fontId="0" fillId="0" borderId="1" xfId="0" applyFill="1" applyBorder="1"/>
    <xf numFmtId="49" fontId="0" fillId="0" borderId="1" xfId="0" applyNumberFormat="1" applyBorder="1" applyAlignment="1">
      <alignment horizontal="center" vertical="center"/>
    </xf>
    <xf numFmtId="164" fontId="0" fillId="0" borderId="0" xfId="2" applyFont="1"/>
    <xf numFmtId="164" fontId="0" fillId="3" borderId="1" xfId="2" applyFont="1" applyFill="1" applyBorder="1"/>
    <xf numFmtId="164" fontId="0" fillId="0" borderId="1" xfId="2" applyFont="1" applyBorder="1"/>
    <xf numFmtId="164" fontId="8" fillId="0" borderId="1" xfId="2" applyFont="1" applyBorder="1"/>
    <xf numFmtId="164" fontId="16" fillId="0" borderId="1" xfId="2" applyFont="1" applyBorder="1"/>
    <xf numFmtId="164" fontId="0" fillId="0" borderId="4" xfId="2" applyFont="1" applyFill="1" applyBorder="1"/>
    <xf numFmtId="164" fontId="16" fillId="0" borderId="4" xfId="2" applyFont="1" applyBorder="1"/>
    <xf numFmtId="164" fontId="15" fillId="0" borderId="8" xfId="2" applyFont="1" applyFill="1" applyBorder="1" applyAlignment="1">
      <alignment horizontal="right" wrapText="1"/>
    </xf>
    <xf numFmtId="164" fontId="14" fillId="0" borderId="9" xfId="2" applyFont="1" applyFill="1" applyBorder="1" applyAlignment="1">
      <alignment horizontal="right" wrapText="1"/>
    </xf>
    <xf numFmtId="164" fontId="12" fillId="0" borderId="8" xfId="2" applyFont="1" applyFill="1" applyBorder="1" applyAlignment="1">
      <alignment horizontal="right" wrapText="1"/>
    </xf>
    <xf numFmtId="164" fontId="15" fillId="0" borderId="9" xfId="2" applyFont="1" applyFill="1" applyBorder="1" applyAlignment="1">
      <alignment horizontal="right" wrapText="1"/>
    </xf>
    <xf numFmtId="164" fontId="12" fillId="0" borderId="1" xfId="2" applyFont="1" applyFill="1" applyBorder="1" applyAlignment="1">
      <alignment horizontal="right" wrapText="1"/>
    </xf>
    <xf numFmtId="164" fontId="16" fillId="0" borderId="3" xfId="2" applyFont="1" applyBorder="1"/>
    <xf numFmtId="164" fontId="11" fillId="0" borderId="8" xfId="2" applyFont="1" applyFill="1" applyBorder="1" applyAlignment="1">
      <alignment horizontal="right" wrapText="1"/>
    </xf>
    <xf numFmtId="164" fontId="11" fillId="0" borderId="9" xfId="2" applyFont="1" applyFill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0" xfId="2" applyFont="1" applyFill="1" applyBorder="1" applyAlignment="1">
      <alignment horizontal="right" wrapText="1"/>
    </xf>
    <xf numFmtId="164" fontId="0" fillId="0" borderId="4" xfId="2" applyFont="1" applyBorder="1"/>
    <xf numFmtId="164" fontId="15" fillId="0" borderId="1" xfId="2" applyFont="1" applyFill="1" applyBorder="1" applyAlignment="1">
      <alignment horizontal="right" wrapText="1"/>
    </xf>
    <xf numFmtId="164" fontId="0" fillId="0" borderId="3" xfId="2" applyFont="1" applyFill="1" applyBorder="1"/>
    <xf numFmtId="164" fontId="16" fillId="0" borderId="8" xfId="2" applyFont="1" applyFill="1" applyBorder="1" applyAlignment="1">
      <alignment horizontal="right" wrapText="1"/>
    </xf>
    <xf numFmtId="164" fontId="18" fillId="0" borderId="1" xfId="2" applyFont="1" applyFill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14" fontId="12" fillId="0" borderId="9" xfId="3" applyNumberFormat="1" applyFont="1" applyBorder="1" applyAlignment="1">
      <alignment horizontal="left" wrapText="1"/>
    </xf>
    <xf numFmtId="0" fontId="0" fillId="0" borderId="4" xfId="0" applyBorder="1" applyAlignment="1">
      <alignment horizontal="right"/>
    </xf>
    <xf numFmtId="164" fontId="11" fillId="0" borderId="18" xfId="2" applyFont="1" applyFill="1" applyBorder="1" applyAlignment="1">
      <alignment horizontal="right" wrapText="1"/>
    </xf>
    <xf numFmtId="14" fontId="14" fillId="0" borderId="7" xfId="3" applyNumberFormat="1" applyFont="1" applyBorder="1" applyAlignment="1">
      <alignment horizontal="left" wrapText="1"/>
    </xf>
    <xf numFmtId="0" fontId="0" fillId="0" borderId="0" xfId="0" applyBorder="1"/>
    <xf numFmtId="0" fontId="0" fillId="0" borderId="0" xfId="0" applyFont="1" applyBorder="1"/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3" borderId="20" xfId="0" applyFill="1" applyBorder="1"/>
    <xf numFmtId="0" fontId="0" fillId="0" borderId="3" xfId="0" applyBorder="1"/>
    <xf numFmtId="0" fontId="0" fillId="0" borderId="3" xfId="0" applyFont="1" applyBorder="1"/>
    <xf numFmtId="0" fontId="0" fillId="0" borderId="3" xfId="0" applyBorder="1" applyAlignment="1">
      <alignment horizontal="right"/>
    </xf>
    <xf numFmtId="0" fontId="0" fillId="4" borderId="15" xfId="0" applyFill="1" applyBorder="1"/>
    <xf numFmtId="49" fontId="0" fillId="4" borderId="15" xfId="0" applyNumberFormat="1" applyFill="1" applyBorder="1"/>
    <xf numFmtId="14" fontId="12" fillId="4" borderId="10" xfId="3" applyNumberFormat="1" applyFont="1" applyFill="1" applyBorder="1" applyAlignment="1">
      <alignment horizontal="left" wrapText="1"/>
    </xf>
    <xf numFmtId="164" fontId="11" fillId="0" borderId="10" xfId="2" applyFont="1" applyFill="1" applyBorder="1" applyAlignment="1">
      <alignment horizontal="right" wrapText="1"/>
    </xf>
    <xf numFmtId="164" fontId="12" fillId="0" borderId="21" xfId="2" applyFont="1" applyFill="1" applyBorder="1" applyAlignment="1">
      <alignment horizontal="right" wrapText="1"/>
    </xf>
    <xf numFmtId="164" fontId="0" fillId="0" borderId="15" xfId="2" applyFont="1" applyBorder="1"/>
    <xf numFmtId="0" fontId="0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1" xfId="2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quotePrefix="1" applyBorder="1"/>
    <xf numFmtId="0" fontId="6" fillId="0" borderId="0" xfId="44" applyAlignment="1">
      <alignment wrapText="1"/>
    </xf>
    <xf numFmtId="14" fontId="0" fillId="0" borderId="15" xfId="0" applyNumberFormat="1" applyFont="1" applyBorder="1" applyAlignment="1">
      <alignment horizontal="center" vertical="center"/>
    </xf>
    <xf numFmtId="0" fontId="6" fillId="0" borderId="0" xfId="44"/>
    <xf numFmtId="14" fontId="6" fillId="0" borderId="0" xfId="44" applyNumberFormat="1"/>
    <xf numFmtId="0" fontId="5" fillId="0" borderId="0" xfId="44" applyFont="1" applyAlignment="1">
      <alignment wrapText="1"/>
    </xf>
    <xf numFmtId="0" fontId="31" fillId="0" borderId="0" xfId="44" applyFont="1" applyAlignment="1">
      <alignment wrapText="1"/>
    </xf>
    <xf numFmtId="0" fontId="31" fillId="0" borderId="0" xfId="44" applyFont="1"/>
    <xf numFmtId="0" fontId="13" fillId="0" borderId="1" xfId="0" applyFont="1" applyBorder="1" applyAlignment="1">
      <alignment horizontal="right"/>
    </xf>
    <xf numFmtId="164" fontId="10" fillId="0" borderId="1" xfId="2" applyFont="1" applyFill="1" applyBorder="1"/>
    <xf numFmtId="164" fontId="10" fillId="0" borderId="1" xfId="2" applyFont="1" applyBorder="1"/>
    <xf numFmtId="164" fontId="10" fillId="0" borderId="1" xfId="2" applyFont="1" applyBorder="1" applyAlignment="1">
      <alignment wrapText="1"/>
    </xf>
    <xf numFmtId="164" fontId="31" fillId="0" borderId="1" xfId="2" applyFont="1" applyBorder="1"/>
    <xf numFmtId="164" fontId="0" fillId="0" borderId="1" xfId="2" quotePrefix="1" applyFont="1" applyBorder="1"/>
    <xf numFmtId="0" fontId="0" fillId="0" borderId="1" xfId="0" applyFill="1" applyBorder="1" applyAlignment="1">
      <alignment horizontal="right"/>
    </xf>
    <xf numFmtId="0" fontId="0" fillId="3" borderId="3" xfId="0" applyFill="1" applyBorder="1"/>
    <xf numFmtId="0" fontId="0" fillId="0" borderId="3" xfId="0" applyFont="1" applyFill="1" applyBorder="1"/>
    <xf numFmtId="0" fontId="0" fillId="0" borderId="1" xfId="0" applyFill="1" applyBorder="1" applyAlignment="1">
      <alignment horizontal="center" vertical="center"/>
    </xf>
    <xf numFmtId="0" fontId="0" fillId="38" borderId="3" xfId="0" applyFont="1" applyFill="1" applyBorder="1" applyAlignment="1">
      <alignment horizontal="right"/>
    </xf>
    <xf numFmtId="164" fontId="0" fillId="0" borderId="5" xfId="2" applyFont="1" applyBorder="1" applyAlignment="1">
      <alignment horizontal="center"/>
    </xf>
    <xf numFmtId="164" fontId="0" fillId="2" borderId="1" xfId="2" applyFont="1" applyFill="1" applyBorder="1"/>
    <xf numFmtId="164" fontId="13" fillId="0" borderId="1" xfId="2" applyFont="1" applyBorder="1"/>
    <xf numFmtId="164" fontId="9" fillId="0" borderId="1" xfId="2" applyFont="1" applyBorder="1"/>
    <xf numFmtId="164" fontId="9" fillId="0" borderId="4" xfId="2" applyFont="1" applyBorder="1"/>
    <xf numFmtId="164" fontId="0" fillId="0" borderId="0" xfId="2" applyFont="1" applyBorder="1"/>
    <xf numFmtId="164" fontId="9" fillId="0" borderId="15" xfId="2" applyFont="1" applyBorder="1"/>
    <xf numFmtId="164" fontId="6" fillId="0" borderId="0" xfId="2" applyFont="1"/>
    <xf numFmtId="1" fontId="0" fillId="0" borderId="1" xfId="0" applyNumberFormat="1" applyBorder="1"/>
    <xf numFmtId="164" fontId="0" fillId="0" borderId="1" xfId="2" applyFont="1" applyFill="1" applyBorder="1"/>
    <xf numFmtId="2" fontId="0" fillId="0" borderId="1" xfId="0" applyNumberFormat="1" applyBorder="1"/>
    <xf numFmtId="164" fontId="10" fillId="0" borderId="4" xfId="2" applyFont="1" applyBorder="1"/>
    <xf numFmtId="43" fontId="0" fillId="0" borderId="0" xfId="2" applyNumberFormat="1" applyFont="1"/>
    <xf numFmtId="164" fontId="10" fillId="0" borderId="4" xfId="2" applyFont="1" applyFill="1" applyBorder="1"/>
    <xf numFmtId="0" fontId="0" fillId="0" borderId="2" xfId="0" applyFill="1" applyBorder="1" applyAlignment="1">
      <alignment wrapText="1"/>
    </xf>
    <xf numFmtId="164" fontId="0" fillId="0" borderId="3" xfId="2" applyFont="1" applyBorder="1"/>
    <xf numFmtId="164" fontId="10" fillId="0" borderId="15" xfId="2" applyFont="1" applyBorder="1"/>
    <xf numFmtId="164" fontId="10" fillId="0" borderId="15" xfId="2" applyFont="1" applyBorder="1" applyAlignment="1">
      <alignment wrapText="1"/>
    </xf>
    <xf numFmtId="164" fontId="0" fillId="0" borderId="0" xfId="0" applyNumberFormat="1"/>
    <xf numFmtId="14" fontId="0" fillId="0" borderId="15" xfId="0" applyNumberFormat="1" applyBorder="1"/>
    <xf numFmtId="164" fontId="0" fillId="0" borderId="31" xfId="2" applyFont="1" applyBorder="1"/>
    <xf numFmtId="164" fontId="0" fillId="0" borderId="1" xfId="0" applyNumberFormat="1" applyBorder="1"/>
    <xf numFmtId="164" fontId="15" fillId="0" borderId="0" xfId="2" applyFont="1" applyFill="1" applyBorder="1" applyAlignment="1">
      <alignment horizontal="right" wrapText="1"/>
    </xf>
    <xf numFmtId="164" fontId="4" fillId="0" borderId="1" xfId="2" applyFont="1" applyBorder="1"/>
    <xf numFmtId="164" fontId="0" fillId="37" borderId="1" xfId="2" applyFont="1" applyFill="1" applyBorder="1"/>
    <xf numFmtId="1" fontId="0" fillId="0" borderId="1" xfId="0" quotePrefix="1" applyNumberFormat="1" applyBorder="1"/>
    <xf numFmtId="1" fontId="0" fillId="0" borderId="0" xfId="0" applyNumberFormat="1"/>
    <xf numFmtId="0" fontId="35" fillId="39" borderId="0" xfId="0" applyFont="1" applyFill="1" applyAlignment="1">
      <alignment horizontal="center" vertical="center"/>
    </xf>
    <xf numFmtId="0" fontId="35" fillId="39" borderId="1" xfId="0" applyFont="1" applyFill="1" applyBorder="1" applyAlignment="1">
      <alignment horizontal="center" vertical="center"/>
    </xf>
    <xf numFmtId="167" fontId="0" fillId="0" borderId="0" xfId="0" applyNumberFormat="1"/>
    <xf numFmtId="3" fontId="0" fillId="0" borderId="1" xfId="0" applyNumberFormat="1" applyBorder="1"/>
    <xf numFmtId="0" fontId="35" fillId="39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0" borderId="0" xfId="44" applyFont="1" applyAlignment="1">
      <alignment wrapText="1"/>
    </xf>
    <xf numFmtId="0" fontId="36" fillId="0" borderId="0" xfId="44" applyFont="1" applyAlignment="1">
      <alignment wrapText="1"/>
    </xf>
    <xf numFmtId="0" fontId="37" fillId="0" borderId="1" xfId="0" applyFont="1" applyBorder="1" applyAlignment="1">
      <alignment wrapText="1"/>
    </xf>
    <xf numFmtId="0" fontId="37" fillId="0" borderId="1" xfId="0" applyFont="1" applyBorder="1"/>
    <xf numFmtId="0" fontId="0" fillId="0" borderId="13" xfId="0" applyBorder="1" applyAlignment="1">
      <alignment horizontal="center"/>
    </xf>
    <xf numFmtId="0" fontId="2" fillId="0" borderId="0" xfId="44" applyFont="1" applyAlignment="1">
      <alignment wrapText="1"/>
    </xf>
    <xf numFmtId="14" fontId="8" fillId="0" borderId="0" xfId="0" applyNumberFormat="1" applyFont="1"/>
    <xf numFmtId="14" fontId="8" fillId="0" borderId="1" xfId="0" applyNumberFormat="1" applyFont="1" applyBorder="1" applyAlignment="1">
      <alignment wrapText="1"/>
    </xf>
    <xf numFmtId="14" fontId="8" fillId="0" borderId="1" xfId="0" applyNumberFormat="1" applyFont="1" applyBorder="1"/>
    <xf numFmtId="14" fontId="12" fillId="0" borderId="7" xfId="3" applyNumberFormat="1" applyFont="1" applyBorder="1" applyAlignment="1">
      <alignment horizontal="left" wrapText="1"/>
    </xf>
    <xf numFmtId="0" fontId="0" fillId="0" borderId="1" xfId="0" applyBorder="1" applyAlignment="1"/>
    <xf numFmtId="14" fontId="12" fillId="38" borderId="6" xfId="3" applyNumberFormat="1" applyFont="1" applyFill="1" applyBorder="1" applyAlignment="1">
      <alignment horizontal="left" wrapText="1"/>
    </xf>
    <xf numFmtId="0" fontId="8" fillId="0" borderId="0" xfId="0" applyFont="1" applyBorder="1"/>
    <xf numFmtId="0" fontId="8" fillId="0" borderId="0" xfId="0" applyFont="1"/>
    <xf numFmtId="0" fontId="8" fillId="0" borderId="1" xfId="0" applyFont="1" applyBorder="1" applyAlignment="1">
      <alignment wrapText="1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14" fontId="12" fillId="0" borderId="15" xfId="3" applyNumberFormat="1" applyFont="1" applyBorder="1" applyAlignment="1">
      <alignment horizontal="center" vertical="center"/>
    </xf>
    <xf numFmtId="14" fontId="12" fillId="0" borderId="1" xfId="3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0" xfId="0" applyFont="1" applyBorder="1" applyAlignment="1">
      <alignment horizontal="right"/>
    </xf>
    <xf numFmtId="164" fontId="16" fillId="0" borderId="0" xfId="2" applyFont="1" applyBorder="1"/>
    <xf numFmtId="0" fontId="10" fillId="0" borderId="0" xfId="0" applyFont="1" applyAlignment="1">
      <alignment horizontal="center"/>
    </xf>
    <xf numFmtId="164" fontId="0" fillId="0" borderId="3" xfId="2" applyFont="1" applyBorder="1" applyAlignment="1">
      <alignment horizontal="center"/>
    </xf>
    <xf numFmtId="164" fontId="0" fillId="0" borderId="4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" fillId="0" borderId="0" xfId="44" quotePrefix="1" applyFont="1"/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[0]" xfId="2" builtinId="6"/>
    <cellStyle name="Excel Built-in Normal" xf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te 2" xfId="45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7">
    <dxf>
      <numFmt numFmtId="1" formatCode="0"/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p" id="{B3AE86D0-5326-42AA-A759-50F6757FBA6A}" userId="hp" providerId="None"/>
</personList>
</file>

<file path=xl/tables/table1.xml><?xml version="1.0" encoding="utf-8"?>
<table xmlns="http://schemas.openxmlformats.org/spreadsheetml/2006/main" id="1" name="StatementNettoyeTable" displayName="StatementNettoyeTable" ref="A1:I145">
  <tableColumns count="9">
    <tableColumn id="1" name="Account"/>
    <tableColumn id="2" name="Currency"/>
    <tableColumn id="3" name="Reference"/>
    <tableColumn id="4" name="Book Date"/>
    <tableColumn id="5" name="Value Date" dataDxfId="6"/>
    <tableColumn id="6" name="Narration" dataDxfId="5"/>
    <tableColumn id="7" name="Credit" dataDxfId="4"/>
    <tableColumn id="8" name="Debit" dataDxfId="3"/>
    <tableColumn id="9" name="Balan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ementNettoyeTable3" displayName="StatementNettoyeTable3" ref="A1:I164" totalsRowCount="1">
  <tableColumns count="9">
    <tableColumn id="1" name="Account"/>
    <tableColumn id="2" name="Currency"/>
    <tableColumn id="3" name="Reference"/>
    <tableColumn id="4" name="Book Date"/>
    <tableColumn id="5" name="Value Date"/>
    <tableColumn id="6" name="Narration"/>
    <tableColumn id="7" name="Credit" totalsRowFunction="custom" totalsRowDxfId="1">
      <totalsRowFormula>SUM(G2:G163)</totalsRowFormula>
    </tableColumn>
    <tableColumn id="8" name="Debit" totalsRowFunction="custom" totalsRowDxfId="0">
      <totalsRowFormula>SUM(H3:H163)</totalsRowFormula>
    </tableColumn>
    <tableColumn id="9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7" dT="2026-03-05T10:51:25.88" personId="{B3AE86D0-5326-42AA-A759-50F6757FBA6A}" id="{4E2B02A0-E65E-422A-932E-453A3BC52A7B}">
    <text>Returned 150,000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40"/>
  <sheetViews>
    <sheetView topLeftCell="A25" workbookViewId="0">
      <selection activeCell="A25" sqref="A1:B1048576"/>
    </sheetView>
  </sheetViews>
  <sheetFormatPr defaultRowHeight="14.25"/>
  <cols>
    <col min="6" max="6" width="12.75" bestFit="1" customWidth="1"/>
    <col min="7" max="7" width="70.625" customWidth="1"/>
    <col min="8" max="8" width="10.875" bestFit="1" customWidth="1"/>
  </cols>
  <sheetData>
    <row r="4" spans="2:12">
      <c r="B4" s="1" t="s">
        <v>37</v>
      </c>
      <c r="C4" s="1" t="s">
        <v>34</v>
      </c>
      <c r="D4" s="1" t="s">
        <v>35</v>
      </c>
      <c r="E4" s="1" t="s">
        <v>36</v>
      </c>
      <c r="F4" s="1" t="s">
        <v>38</v>
      </c>
      <c r="G4" s="1" t="s">
        <v>41</v>
      </c>
      <c r="H4" s="76" t="s">
        <v>218</v>
      </c>
    </row>
    <row r="5" spans="2:12">
      <c r="B5" s="1" t="s">
        <v>1</v>
      </c>
      <c r="C5" s="1"/>
      <c r="D5" s="1"/>
      <c r="E5" s="1"/>
      <c r="F5" s="1">
        <f>C5+D5+E5</f>
        <v>0</v>
      </c>
      <c r="G5" s="1"/>
      <c r="H5" s="1"/>
    </row>
    <row r="6" spans="2:12">
      <c r="B6" s="1" t="s">
        <v>0</v>
      </c>
      <c r="C6" s="1"/>
      <c r="D6" s="1"/>
      <c r="E6" s="1">
        <v>300000</v>
      </c>
      <c r="F6" s="1">
        <f t="shared" ref="F6:F39" si="0">C6+D6+E6</f>
        <v>300000</v>
      </c>
      <c r="G6" s="1"/>
      <c r="H6" s="1" t="s">
        <v>79</v>
      </c>
    </row>
    <row r="7" spans="2:12">
      <c r="B7" s="1" t="s">
        <v>2</v>
      </c>
      <c r="C7" s="1"/>
      <c r="D7" s="1"/>
      <c r="E7" s="1"/>
      <c r="F7" s="1">
        <f t="shared" si="0"/>
        <v>0</v>
      </c>
      <c r="G7" s="1"/>
      <c r="H7" s="1"/>
    </row>
    <row r="8" spans="2:12">
      <c r="B8" s="1" t="s">
        <v>3</v>
      </c>
      <c r="C8" s="1"/>
      <c r="D8" s="1"/>
      <c r="E8" s="1"/>
      <c r="F8" s="1">
        <f t="shared" si="0"/>
        <v>0</v>
      </c>
      <c r="G8" s="1"/>
      <c r="H8" s="1"/>
      <c r="L8" t="s">
        <v>39</v>
      </c>
    </row>
    <row r="9" spans="2:12">
      <c r="B9" s="1" t="s">
        <v>4</v>
      </c>
      <c r="C9" s="1"/>
      <c r="D9" s="1"/>
      <c r="E9" s="1"/>
      <c r="F9" s="1">
        <f t="shared" si="0"/>
        <v>0</v>
      </c>
      <c r="G9" s="1"/>
      <c r="H9" s="1"/>
    </row>
    <row r="10" spans="2:12">
      <c r="B10" s="1" t="s">
        <v>5</v>
      </c>
      <c r="C10" s="1"/>
      <c r="D10" s="1"/>
      <c r="E10" s="1"/>
      <c r="F10" s="1">
        <f t="shared" si="0"/>
        <v>0</v>
      </c>
      <c r="G10" s="1"/>
      <c r="H10" s="1"/>
    </row>
    <row r="11" spans="2:12">
      <c r="B11" s="1" t="s">
        <v>6</v>
      </c>
      <c r="C11" s="1"/>
      <c r="D11" s="1"/>
      <c r="E11" s="1"/>
      <c r="F11" s="1">
        <f t="shared" si="0"/>
        <v>0</v>
      </c>
      <c r="G11" s="1"/>
      <c r="H11" s="1"/>
    </row>
    <row r="12" spans="2:12">
      <c r="B12" s="1" t="s">
        <v>7</v>
      </c>
      <c r="C12" s="1"/>
      <c r="D12" s="1"/>
      <c r="E12" s="1"/>
      <c r="F12" s="1">
        <f t="shared" si="0"/>
        <v>0</v>
      </c>
      <c r="G12" s="1"/>
      <c r="H12" s="1"/>
    </row>
    <row r="13" spans="2:12">
      <c r="B13" s="1" t="s">
        <v>8</v>
      </c>
      <c r="C13" s="1"/>
      <c r="D13" s="1"/>
      <c r="E13" s="1"/>
      <c r="F13" s="1">
        <f t="shared" si="0"/>
        <v>0</v>
      </c>
      <c r="G13" s="1"/>
      <c r="H13" s="1"/>
    </row>
    <row r="14" spans="2:12">
      <c r="B14" s="1" t="s">
        <v>9</v>
      </c>
      <c r="C14" s="1"/>
      <c r="D14" s="1"/>
      <c r="E14" s="1"/>
      <c r="F14" s="1">
        <f t="shared" si="0"/>
        <v>0</v>
      </c>
      <c r="G14" s="1"/>
      <c r="H14" s="1"/>
    </row>
    <row r="15" spans="2:12">
      <c r="B15" s="1" t="s">
        <v>10</v>
      </c>
      <c r="C15" s="1"/>
      <c r="D15" s="1"/>
      <c r="E15" s="1"/>
      <c r="F15" s="1">
        <f t="shared" si="0"/>
        <v>0</v>
      </c>
      <c r="G15" s="1"/>
      <c r="H15" s="1"/>
    </row>
    <row r="16" spans="2:12">
      <c r="B16" s="1" t="s">
        <v>11</v>
      </c>
      <c r="C16" s="1"/>
      <c r="D16" s="1"/>
      <c r="E16" s="1"/>
      <c r="F16" s="1">
        <f t="shared" si="0"/>
        <v>0</v>
      </c>
      <c r="G16" s="1"/>
      <c r="H16" s="1"/>
    </row>
    <row r="17" spans="2:8">
      <c r="B17" s="1" t="s">
        <v>12</v>
      </c>
      <c r="C17" s="1"/>
      <c r="D17" s="1"/>
      <c r="E17" s="1"/>
      <c r="F17" s="1">
        <f t="shared" si="0"/>
        <v>0</v>
      </c>
      <c r="G17" s="1"/>
      <c r="H17" s="1"/>
    </row>
    <row r="18" spans="2:8">
      <c r="B18" s="1" t="s">
        <v>13</v>
      </c>
      <c r="C18" s="1"/>
      <c r="D18" s="1"/>
      <c r="E18" s="1"/>
      <c r="F18" s="1">
        <f t="shared" si="0"/>
        <v>0</v>
      </c>
      <c r="G18" s="1"/>
      <c r="H18" s="1"/>
    </row>
    <row r="19" spans="2:8">
      <c r="B19" s="1" t="s">
        <v>14</v>
      </c>
      <c r="C19" s="1"/>
      <c r="D19" s="1"/>
      <c r="E19" s="1"/>
      <c r="F19" s="1">
        <f t="shared" si="0"/>
        <v>0</v>
      </c>
      <c r="G19" s="1"/>
      <c r="H19" s="1"/>
    </row>
    <row r="20" spans="2:8">
      <c r="B20" s="1" t="s">
        <v>15</v>
      </c>
      <c r="C20" s="1"/>
      <c r="D20" s="1"/>
      <c r="E20" s="1"/>
      <c r="F20" s="1">
        <f t="shared" si="0"/>
        <v>0</v>
      </c>
      <c r="G20" s="1"/>
      <c r="H20" s="1"/>
    </row>
    <row r="21" spans="2:8">
      <c r="B21" s="1" t="s">
        <v>16</v>
      </c>
      <c r="C21" s="1"/>
      <c r="D21" s="1"/>
      <c r="E21" s="1"/>
      <c r="F21" s="1">
        <f t="shared" si="0"/>
        <v>0</v>
      </c>
      <c r="G21" s="1"/>
      <c r="H21" s="1"/>
    </row>
    <row r="22" spans="2:8">
      <c r="B22" s="1" t="s">
        <v>17</v>
      </c>
      <c r="C22" s="1"/>
      <c r="D22" s="1"/>
      <c r="E22" s="1">
        <v>350000</v>
      </c>
      <c r="F22" s="1">
        <f t="shared" si="0"/>
        <v>350000</v>
      </c>
      <c r="G22" s="1" t="s">
        <v>50</v>
      </c>
      <c r="H22" s="77" t="s">
        <v>196</v>
      </c>
    </row>
    <row r="23" spans="2:8">
      <c r="B23" s="1" t="s">
        <v>18</v>
      </c>
      <c r="C23" s="1"/>
      <c r="D23" s="1"/>
      <c r="E23" s="1"/>
      <c r="F23" s="1">
        <f t="shared" si="0"/>
        <v>0</v>
      </c>
      <c r="G23" s="1"/>
      <c r="H23" s="1"/>
    </row>
    <row r="24" spans="2:8">
      <c r="B24" s="1" t="s">
        <v>19</v>
      </c>
      <c r="C24" s="1"/>
      <c r="D24" s="1"/>
      <c r="E24" s="1"/>
      <c r="F24" s="1">
        <f t="shared" si="0"/>
        <v>0</v>
      </c>
      <c r="G24" s="1"/>
      <c r="H24" s="1"/>
    </row>
    <row r="25" spans="2:8">
      <c r="B25" s="1" t="s">
        <v>20</v>
      </c>
      <c r="C25" s="1"/>
      <c r="D25" s="1">
        <v>350000</v>
      </c>
      <c r="E25" s="1">
        <v>350000</v>
      </c>
      <c r="F25" s="1">
        <f t="shared" si="0"/>
        <v>700000</v>
      </c>
      <c r="G25" s="1" t="s">
        <v>45</v>
      </c>
      <c r="H25" s="60" t="s">
        <v>203</v>
      </c>
    </row>
    <row r="26" spans="2:8">
      <c r="B26" s="1" t="s">
        <v>21</v>
      </c>
      <c r="C26" s="1"/>
      <c r="D26" s="1"/>
      <c r="E26" s="1"/>
      <c r="F26" s="1">
        <f t="shared" si="0"/>
        <v>0</v>
      </c>
      <c r="G26" s="1"/>
      <c r="H26" s="1"/>
    </row>
    <row r="27" spans="2:8">
      <c r="B27" s="1" t="s">
        <v>22</v>
      </c>
      <c r="C27" s="1"/>
      <c r="D27" s="1"/>
      <c r="E27" s="1">
        <v>400000</v>
      </c>
      <c r="F27" s="1">
        <f t="shared" si="0"/>
        <v>400000</v>
      </c>
      <c r="G27" s="1"/>
      <c r="H27" s="1" t="s">
        <v>73</v>
      </c>
    </row>
    <row r="28" spans="2:8">
      <c r="B28" s="1" t="s">
        <v>23</v>
      </c>
      <c r="C28" s="1"/>
      <c r="D28" s="1"/>
      <c r="E28" s="1">
        <v>300000</v>
      </c>
      <c r="F28" s="1">
        <f t="shared" si="0"/>
        <v>300000</v>
      </c>
      <c r="G28" s="1" t="s">
        <v>43</v>
      </c>
      <c r="H28" s="1" t="s">
        <v>76</v>
      </c>
    </row>
    <row r="29" spans="2:8">
      <c r="B29" s="1" t="s">
        <v>24</v>
      </c>
      <c r="C29" s="1"/>
      <c r="D29" s="1"/>
      <c r="E29" s="1">
        <v>200000</v>
      </c>
      <c r="F29" s="1">
        <f t="shared" si="0"/>
        <v>200000</v>
      </c>
      <c r="G29" s="1"/>
      <c r="H29" s="1" t="s">
        <v>79</v>
      </c>
    </row>
    <row r="30" spans="2:8">
      <c r="B30" s="1" t="s">
        <v>25</v>
      </c>
      <c r="C30" s="1"/>
      <c r="D30" s="1"/>
      <c r="E30" s="1">
        <v>1000000</v>
      </c>
      <c r="F30" s="1">
        <f t="shared" si="0"/>
        <v>1000000</v>
      </c>
      <c r="G30" s="1"/>
      <c r="H30" s="1" t="s">
        <v>83</v>
      </c>
    </row>
    <row r="31" spans="2:8">
      <c r="B31" s="1" t="s">
        <v>44</v>
      </c>
      <c r="C31" s="1"/>
      <c r="D31" s="1">
        <v>750000</v>
      </c>
      <c r="E31" s="1"/>
      <c r="F31" s="1">
        <f>C31+D31+E31</f>
        <v>750000</v>
      </c>
      <c r="G31" s="1" t="s">
        <v>148</v>
      </c>
      <c r="H31" s="75" t="s">
        <v>217</v>
      </c>
    </row>
    <row r="32" spans="2:8">
      <c r="B32" s="1" t="s">
        <v>26</v>
      </c>
      <c r="C32" s="1"/>
      <c r="D32" s="1"/>
      <c r="E32" s="1"/>
      <c r="F32" s="1">
        <f t="shared" si="0"/>
        <v>0</v>
      </c>
      <c r="G32" s="1"/>
      <c r="H32" s="1"/>
    </row>
    <row r="33" spans="2:8">
      <c r="B33" s="1" t="s">
        <v>27</v>
      </c>
      <c r="C33" s="1"/>
      <c r="D33" s="1"/>
      <c r="E33" s="1"/>
      <c r="F33" s="1">
        <f t="shared" si="0"/>
        <v>0</v>
      </c>
      <c r="G33" s="1"/>
      <c r="H33" s="1"/>
    </row>
    <row r="34" spans="2:8">
      <c r="B34" s="1" t="s">
        <v>28</v>
      </c>
      <c r="C34" s="1"/>
      <c r="D34" s="1"/>
      <c r="E34" s="1">
        <v>800000</v>
      </c>
      <c r="F34" s="1">
        <f t="shared" si="0"/>
        <v>800000</v>
      </c>
      <c r="G34" s="1"/>
      <c r="H34" s="1" t="s">
        <v>83</v>
      </c>
    </row>
    <row r="35" spans="2:8">
      <c r="B35" s="1" t="s">
        <v>29</v>
      </c>
      <c r="C35" s="1"/>
      <c r="D35" s="1"/>
      <c r="E35" s="1"/>
      <c r="F35" s="1">
        <f t="shared" si="0"/>
        <v>0</v>
      </c>
      <c r="G35" s="1"/>
      <c r="H35" s="1"/>
    </row>
    <row r="36" spans="2:8">
      <c r="B36" s="1" t="s">
        <v>30</v>
      </c>
      <c r="C36" s="1"/>
      <c r="D36" s="1"/>
      <c r="E36" s="1"/>
      <c r="F36" s="1">
        <f t="shared" si="0"/>
        <v>0</v>
      </c>
      <c r="G36" s="1"/>
      <c r="H36" s="1"/>
    </row>
    <row r="37" spans="2:8">
      <c r="B37" s="1" t="s">
        <v>31</v>
      </c>
      <c r="C37" s="1"/>
      <c r="D37" s="1"/>
      <c r="E37" s="1"/>
      <c r="F37" s="1">
        <f t="shared" si="0"/>
        <v>0</v>
      </c>
      <c r="G37" s="1"/>
      <c r="H37" s="1"/>
    </row>
    <row r="38" spans="2:8">
      <c r="B38" s="1" t="s">
        <v>32</v>
      </c>
      <c r="C38" s="1"/>
      <c r="D38" s="1"/>
      <c r="E38" s="1">
        <v>500000</v>
      </c>
      <c r="F38" s="1">
        <f t="shared" si="0"/>
        <v>500000</v>
      </c>
      <c r="G38" s="1"/>
      <c r="H38" s="1" t="s">
        <v>83</v>
      </c>
    </row>
    <row r="39" spans="2:8">
      <c r="B39" s="1" t="s">
        <v>33</v>
      </c>
      <c r="C39" s="1"/>
      <c r="D39" s="1"/>
      <c r="E39" s="1"/>
      <c r="F39" s="1">
        <f t="shared" si="0"/>
        <v>0</v>
      </c>
      <c r="G39" s="1"/>
      <c r="H39" s="1"/>
    </row>
    <row r="40" spans="2:8">
      <c r="B40" s="2" t="s">
        <v>51</v>
      </c>
      <c r="F40" s="3">
        <f>SUM(F5:F39)</f>
        <v>5300000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40"/>
  <sheetViews>
    <sheetView topLeftCell="A16" workbookViewId="0">
      <selection activeCell="A42" sqref="A42"/>
    </sheetView>
  </sheetViews>
  <sheetFormatPr defaultRowHeight="14.25"/>
  <cols>
    <col min="6" max="6" width="12.75" bestFit="1" customWidth="1"/>
    <col min="7" max="7" width="86.5" customWidth="1"/>
    <col min="8" max="8" width="10.875" bestFit="1" customWidth="1"/>
  </cols>
  <sheetData>
    <row r="4" spans="2:8">
      <c r="B4" s="1" t="s">
        <v>37</v>
      </c>
      <c r="C4" s="1" t="s">
        <v>34</v>
      </c>
      <c r="D4" s="1" t="s">
        <v>35</v>
      </c>
      <c r="E4" s="1" t="s">
        <v>36</v>
      </c>
      <c r="F4" s="1" t="s">
        <v>38</v>
      </c>
      <c r="G4" s="1" t="s">
        <v>40</v>
      </c>
      <c r="H4" s="74" t="s">
        <v>218</v>
      </c>
    </row>
    <row r="5" spans="2:8">
      <c r="B5" s="1" t="s">
        <v>1</v>
      </c>
      <c r="C5" s="1"/>
      <c r="D5" s="1"/>
      <c r="E5" s="1">
        <v>30000</v>
      </c>
      <c r="F5" s="1">
        <f>C5+D5+E5</f>
        <v>30000</v>
      </c>
      <c r="G5" s="1" t="s">
        <v>45</v>
      </c>
      <c r="H5" s="24" t="s">
        <v>103</v>
      </c>
    </row>
    <row r="6" spans="2:8">
      <c r="B6" s="1" t="s">
        <v>0</v>
      </c>
      <c r="C6" s="1"/>
      <c r="D6" s="1"/>
      <c r="E6" s="1">
        <v>30000</v>
      </c>
      <c r="F6" s="1">
        <f>C6+D6+E6</f>
        <v>30000</v>
      </c>
      <c r="G6" s="1"/>
      <c r="H6" s="1" t="s">
        <v>73</v>
      </c>
    </row>
    <row r="7" spans="2:8">
      <c r="B7" s="1" t="s">
        <v>2</v>
      </c>
      <c r="C7" s="1"/>
      <c r="D7" s="1"/>
      <c r="E7" s="1">
        <v>30000</v>
      </c>
      <c r="F7" s="1">
        <f>C7+D7+E7</f>
        <v>30000</v>
      </c>
      <c r="G7" s="1" t="s">
        <v>42</v>
      </c>
      <c r="H7" s="1" t="s">
        <v>76</v>
      </c>
    </row>
    <row r="8" spans="2:8">
      <c r="B8" s="1" t="s">
        <v>3</v>
      </c>
      <c r="C8" s="1"/>
      <c r="D8" s="1"/>
      <c r="E8" s="1"/>
      <c r="F8" s="1">
        <f>C8+D8+E8</f>
        <v>0</v>
      </c>
      <c r="G8" s="1"/>
      <c r="H8" s="1"/>
    </row>
    <row r="9" spans="2:8">
      <c r="B9" s="1" t="s">
        <v>4</v>
      </c>
      <c r="C9" s="1"/>
      <c r="D9" s="1"/>
      <c r="E9" s="1"/>
      <c r="F9" s="1">
        <f t="shared" ref="F9:F39" si="0">C9+D9+E9</f>
        <v>0</v>
      </c>
      <c r="G9" s="1"/>
      <c r="H9" s="1"/>
    </row>
    <row r="10" spans="2:8">
      <c r="B10" s="1" t="s">
        <v>5</v>
      </c>
      <c r="C10" s="1"/>
      <c r="D10" s="1"/>
      <c r="E10" s="1"/>
      <c r="F10" s="1">
        <f t="shared" si="0"/>
        <v>0</v>
      </c>
      <c r="G10" s="1"/>
      <c r="H10" s="1"/>
    </row>
    <row r="11" spans="2:8">
      <c r="B11" s="1" t="s">
        <v>6</v>
      </c>
      <c r="C11" s="1"/>
      <c r="D11" s="1"/>
      <c r="E11" s="1"/>
      <c r="F11" s="1">
        <f t="shared" si="0"/>
        <v>0</v>
      </c>
      <c r="G11" s="1"/>
      <c r="H11" s="1"/>
    </row>
    <row r="12" spans="2:8">
      <c r="B12" s="1" t="s">
        <v>7</v>
      </c>
      <c r="C12" s="1"/>
      <c r="D12" s="1"/>
      <c r="E12" s="1"/>
      <c r="F12" s="1">
        <f t="shared" si="0"/>
        <v>0</v>
      </c>
      <c r="G12" s="1"/>
      <c r="H12" s="1"/>
    </row>
    <row r="13" spans="2:8">
      <c r="B13" s="1" t="s">
        <v>8</v>
      </c>
      <c r="C13" s="1"/>
      <c r="D13" s="1"/>
      <c r="E13" s="1"/>
      <c r="F13" s="1">
        <f t="shared" si="0"/>
        <v>0</v>
      </c>
      <c r="G13" s="1"/>
      <c r="H13" s="1"/>
    </row>
    <row r="14" spans="2:8">
      <c r="B14" s="1" t="s">
        <v>9</v>
      </c>
      <c r="C14" s="1"/>
      <c r="D14" s="1"/>
      <c r="E14" s="1"/>
      <c r="F14" s="1">
        <f t="shared" si="0"/>
        <v>0</v>
      </c>
      <c r="G14" s="1"/>
      <c r="H14" s="1"/>
    </row>
    <row r="15" spans="2:8">
      <c r="B15" s="1" t="s">
        <v>10</v>
      </c>
      <c r="C15" s="1"/>
      <c r="D15" s="1"/>
      <c r="E15" s="1"/>
      <c r="F15" s="1">
        <f t="shared" si="0"/>
        <v>0</v>
      </c>
      <c r="G15" s="1"/>
      <c r="H15" s="1"/>
    </row>
    <row r="16" spans="2:8">
      <c r="B16" s="1" t="s">
        <v>11</v>
      </c>
      <c r="C16" s="1"/>
      <c r="D16" s="1"/>
      <c r="E16" s="1"/>
      <c r="F16" s="1">
        <f t="shared" si="0"/>
        <v>0</v>
      </c>
      <c r="G16" s="1"/>
      <c r="H16" s="1"/>
    </row>
    <row r="17" spans="2:8">
      <c r="B17" s="1" t="s">
        <v>12</v>
      </c>
      <c r="C17" s="1"/>
      <c r="D17" s="1"/>
      <c r="E17" s="1"/>
      <c r="F17" s="1">
        <f t="shared" si="0"/>
        <v>0</v>
      </c>
      <c r="G17" s="1"/>
      <c r="H17" s="1"/>
    </row>
    <row r="18" spans="2:8">
      <c r="B18" s="1" t="s">
        <v>13</v>
      </c>
      <c r="C18" s="1"/>
      <c r="D18" s="1">
        <v>20000</v>
      </c>
      <c r="E18" s="1">
        <v>20000</v>
      </c>
      <c r="F18" s="1">
        <f t="shared" si="0"/>
        <v>40000</v>
      </c>
      <c r="G18" s="1"/>
      <c r="H18" s="1"/>
    </row>
    <row r="19" spans="2:8">
      <c r="B19" s="1" t="s">
        <v>14</v>
      </c>
      <c r="C19" s="1"/>
      <c r="D19" s="1"/>
      <c r="E19" s="1"/>
      <c r="F19" s="1">
        <f t="shared" si="0"/>
        <v>0</v>
      </c>
      <c r="G19" s="1"/>
      <c r="H19" s="1"/>
    </row>
    <row r="20" spans="2:8">
      <c r="B20" s="1" t="s">
        <v>15</v>
      </c>
      <c r="C20" s="1"/>
      <c r="D20" s="1"/>
      <c r="E20" s="1"/>
      <c r="F20" s="1">
        <f t="shared" si="0"/>
        <v>0</v>
      </c>
      <c r="G20" s="1"/>
      <c r="H20" s="1"/>
    </row>
    <row r="21" spans="2:8">
      <c r="B21" s="1" t="s">
        <v>16</v>
      </c>
      <c r="C21" s="1"/>
      <c r="D21" s="1"/>
      <c r="E21" s="1"/>
      <c r="F21" s="1">
        <f t="shared" si="0"/>
        <v>0</v>
      </c>
      <c r="G21" s="1"/>
      <c r="H21" s="1"/>
    </row>
    <row r="22" spans="2:8">
      <c r="B22" s="1" t="s">
        <v>17</v>
      </c>
      <c r="C22" s="1">
        <v>20000</v>
      </c>
      <c r="D22" s="1">
        <v>20000</v>
      </c>
      <c r="E22" s="1">
        <v>20000</v>
      </c>
      <c r="F22" s="1">
        <f t="shared" si="0"/>
        <v>60000</v>
      </c>
      <c r="G22" s="1" t="s">
        <v>49</v>
      </c>
      <c r="H22" s="77" t="s">
        <v>196</v>
      </c>
    </row>
    <row r="23" spans="2:8">
      <c r="B23" s="1" t="s">
        <v>18</v>
      </c>
      <c r="C23" s="1"/>
      <c r="D23" s="1"/>
      <c r="E23" s="1"/>
      <c r="F23" s="1">
        <f t="shared" si="0"/>
        <v>0</v>
      </c>
      <c r="G23" s="1"/>
      <c r="H23" s="1"/>
    </row>
    <row r="24" spans="2:8">
      <c r="B24" s="1" t="s">
        <v>19</v>
      </c>
      <c r="C24" s="1"/>
      <c r="D24" s="1"/>
      <c r="E24" s="1"/>
      <c r="F24" s="1">
        <f t="shared" si="0"/>
        <v>0</v>
      </c>
      <c r="G24" s="1"/>
      <c r="H24" s="1"/>
    </row>
    <row r="25" spans="2:8">
      <c r="B25" s="1" t="s">
        <v>20</v>
      </c>
      <c r="C25" s="1"/>
      <c r="D25" s="1">
        <v>20000</v>
      </c>
      <c r="E25" s="1">
        <v>20000</v>
      </c>
      <c r="F25" s="1">
        <f t="shared" si="0"/>
        <v>40000</v>
      </c>
      <c r="G25" s="1" t="s">
        <v>45</v>
      </c>
      <c r="H25" s="60" t="s">
        <v>203</v>
      </c>
    </row>
    <row r="26" spans="2:8">
      <c r="B26" s="1" t="s">
        <v>21</v>
      </c>
      <c r="C26" s="1"/>
      <c r="D26" s="1"/>
      <c r="E26" s="1"/>
      <c r="F26" s="1">
        <f t="shared" si="0"/>
        <v>0</v>
      </c>
      <c r="G26" s="1"/>
      <c r="H26" s="1"/>
    </row>
    <row r="27" spans="2:8">
      <c r="B27" s="1" t="s">
        <v>22</v>
      </c>
      <c r="C27" s="1"/>
      <c r="D27" s="1">
        <v>20000</v>
      </c>
      <c r="E27" s="1">
        <v>20000</v>
      </c>
      <c r="F27" s="1">
        <f t="shared" si="0"/>
        <v>40000</v>
      </c>
      <c r="G27" s="1"/>
      <c r="H27" s="1" t="s">
        <v>73</v>
      </c>
    </row>
    <row r="28" spans="2:8">
      <c r="B28" s="1" t="s">
        <v>23</v>
      </c>
      <c r="C28" s="1"/>
      <c r="D28" s="1"/>
      <c r="E28" s="1">
        <v>20000</v>
      </c>
      <c r="F28" s="1">
        <f t="shared" si="0"/>
        <v>20000</v>
      </c>
      <c r="G28" s="1" t="s">
        <v>43</v>
      </c>
      <c r="H28" s="1" t="s">
        <v>76</v>
      </c>
    </row>
    <row r="29" spans="2:8">
      <c r="B29" s="1" t="s">
        <v>24</v>
      </c>
      <c r="C29" s="1"/>
      <c r="D29" s="1"/>
      <c r="E29" s="1"/>
      <c r="F29" s="1">
        <f t="shared" si="0"/>
        <v>0</v>
      </c>
      <c r="G29" s="1"/>
      <c r="H29" s="1"/>
    </row>
    <row r="30" spans="2:8">
      <c r="B30" s="1" t="s">
        <v>25</v>
      </c>
      <c r="C30" s="1"/>
      <c r="D30" s="1"/>
      <c r="E30" s="1">
        <v>360000</v>
      </c>
      <c r="F30" s="1">
        <f t="shared" si="0"/>
        <v>360000</v>
      </c>
      <c r="G30" s="1"/>
      <c r="H30" s="1" t="s">
        <v>83</v>
      </c>
    </row>
    <row r="31" spans="2:8">
      <c r="B31" s="1" t="s">
        <v>46</v>
      </c>
      <c r="C31" s="1"/>
      <c r="D31" s="1">
        <v>120000</v>
      </c>
      <c r="E31" s="1"/>
      <c r="F31" s="1">
        <f t="shared" si="0"/>
        <v>120000</v>
      </c>
      <c r="G31" s="1" t="s">
        <v>47</v>
      </c>
      <c r="H31" s="75" t="s">
        <v>217</v>
      </c>
    </row>
    <row r="32" spans="2:8">
      <c r="B32" s="1" t="s">
        <v>26</v>
      </c>
      <c r="C32" s="1"/>
      <c r="D32" s="1"/>
      <c r="E32" s="1">
        <v>60000</v>
      </c>
      <c r="F32" s="1">
        <f t="shared" si="0"/>
        <v>60000</v>
      </c>
      <c r="G32" s="1" t="s">
        <v>48</v>
      </c>
      <c r="H32" s="20" t="s">
        <v>90</v>
      </c>
    </row>
    <row r="33" spans="2:8">
      <c r="B33" s="1" t="s">
        <v>27</v>
      </c>
      <c r="C33" s="1"/>
      <c r="D33" s="1"/>
      <c r="E33" s="1"/>
      <c r="F33" s="1">
        <f t="shared" si="0"/>
        <v>0</v>
      </c>
      <c r="G33" s="1"/>
      <c r="H33" s="1"/>
    </row>
    <row r="34" spans="2:8">
      <c r="B34" s="1" t="s">
        <v>28</v>
      </c>
      <c r="C34" s="1"/>
      <c r="D34" s="1"/>
      <c r="E34" s="1">
        <v>240000</v>
      </c>
      <c r="F34" s="1">
        <f t="shared" si="0"/>
        <v>240000</v>
      </c>
      <c r="G34" s="1"/>
      <c r="H34" s="1" t="s">
        <v>83</v>
      </c>
    </row>
    <row r="35" spans="2:8">
      <c r="B35" s="1" t="s">
        <v>29</v>
      </c>
      <c r="C35" s="1"/>
      <c r="D35" s="1"/>
      <c r="E35" s="1"/>
      <c r="F35" s="1">
        <f t="shared" si="0"/>
        <v>0</v>
      </c>
      <c r="G35" s="1"/>
      <c r="H35" s="1"/>
    </row>
    <row r="36" spans="2:8">
      <c r="B36" s="1" t="s">
        <v>30</v>
      </c>
      <c r="C36" s="1"/>
      <c r="D36" s="1"/>
      <c r="E36" s="1"/>
      <c r="F36" s="1">
        <f t="shared" si="0"/>
        <v>0</v>
      </c>
      <c r="G36" s="1"/>
      <c r="H36" s="1"/>
    </row>
    <row r="37" spans="2:8">
      <c r="B37" s="1" t="s">
        <v>31</v>
      </c>
      <c r="C37" s="1"/>
      <c r="D37" s="1"/>
      <c r="E37" s="1"/>
      <c r="F37" s="1">
        <f t="shared" si="0"/>
        <v>0</v>
      </c>
      <c r="G37" s="1"/>
      <c r="H37" s="1"/>
    </row>
    <row r="38" spans="2:8">
      <c r="B38" s="1" t="s">
        <v>32</v>
      </c>
      <c r="C38" s="1"/>
      <c r="D38" s="1"/>
      <c r="E38" s="1">
        <v>40000</v>
      </c>
      <c r="F38" s="1">
        <f t="shared" si="0"/>
        <v>40000</v>
      </c>
      <c r="G38" s="1"/>
      <c r="H38" s="1" t="s">
        <v>83</v>
      </c>
    </row>
    <row r="39" spans="2:8">
      <c r="B39" s="1" t="s">
        <v>33</v>
      </c>
      <c r="C39" s="1"/>
      <c r="D39" s="1"/>
      <c r="E39" s="1"/>
      <c r="F39" s="1">
        <f t="shared" si="0"/>
        <v>0</v>
      </c>
      <c r="G39" s="1"/>
      <c r="H39" s="1"/>
    </row>
    <row r="40" spans="2:8">
      <c r="B40" s="2" t="s">
        <v>51</v>
      </c>
      <c r="F40" s="3">
        <f>SUM(F5:F39)</f>
        <v>1110000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zoomScale="115" zoomScaleNormal="115" workbookViewId="0">
      <pane xSplit="1" ySplit="4" topLeftCell="I59" activePane="bottomRight" state="frozen"/>
      <selection pane="topRight" activeCell="B1" sqref="B1"/>
      <selection pane="bottomLeft" activeCell="A5" sqref="A5"/>
      <selection pane="bottomRight" activeCell="N62" sqref="H62:N62"/>
    </sheetView>
  </sheetViews>
  <sheetFormatPr defaultRowHeight="14.25"/>
  <cols>
    <col min="1" max="1" width="8.875" customWidth="1"/>
    <col min="2" max="2" width="14.875" customWidth="1"/>
    <col min="3" max="3" width="26.625" customWidth="1"/>
    <col min="4" max="4" width="10.5" customWidth="1"/>
    <col min="5" max="5" width="10.625" style="7" customWidth="1"/>
    <col min="6" max="6" width="10.5" style="7" customWidth="1"/>
    <col min="7" max="7" width="9.375" style="31" customWidth="1"/>
    <col min="8" max="8" width="9.25" style="78" customWidth="1"/>
    <col min="9" max="9" width="9.5" style="78" customWidth="1"/>
    <col min="10" max="10" width="7.75" style="78" customWidth="1"/>
    <col min="11" max="11" width="8.375" style="78" customWidth="1"/>
    <col min="12" max="13" width="9.375" style="78" customWidth="1"/>
    <col min="14" max="14" width="13.25" style="78" customWidth="1"/>
    <col min="15" max="15" width="11.25" style="78" customWidth="1"/>
    <col min="16" max="16" width="12" style="78" customWidth="1"/>
    <col min="17" max="17" width="13.25" style="78" customWidth="1"/>
    <col min="18" max="18" width="12" style="78" customWidth="1"/>
    <col min="19" max="19" width="12.875" style="78" customWidth="1"/>
  </cols>
  <sheetData>
    <row r="1" spans="1:19" ht="15">
      <c r="B1" t="s">
        <v>52</v>
      </c>
      <c r="C1" s="207" t="s">
        <v>53</v>
      </c>
      <c r="D1" s="207"/>
      <c r="E1" s="207"/>
      <c r="F1" s="207"/>
      <c r="G1" s="207"/>
      <c r="H1" s="207"/>
    </row>
    <row r="3" spans="1:19" ht="42.75">
      <c r="A3" s="1" t="s">
        <v>54</v>
      </c>
      <c r="B3" s="1" t="s">
        <v>55</v>
      </c>
      <c r="C3" s="1" t="s">
        <v>56</v>
      </c>
      <c r="D3" s="1" t="s">
        <v>57</v>
      </c>
      <c r="E3" s="100" t="s">
        <v>58</v>
      </c>
      <c r="F3" s="100" t="s">
        <v>221</v>
      </c>
      <c r="G3" s="6" t="s">
        <v>59</v>
      </c>
      <c r="H3" s="208" t="s">
        <v>60</v>
      </c>
      <c r="I3" s="209"/>
      <c r="J3" s="148"/>
      <c r="K3" s="148"/>
      <c r="L3" s="148"/>
      <c r="M3" s="148"/>
      <c r="N3" s="210" t="s">
        <v>61</v>
      </c>
      <c r="O3" s="211"/>
      <c r="P3" s="211"/>
      <c r="Q3" s="211"/>
    </row>
    <row r="4" spans="1:19">
      <c r="A4" s="1"/>
      <c r="B4" s="1"/>
      <c r="C4" s="1"/>
      <c r="D4" s="1"/>
      <c r="F4" s="5"/>
      <c r="G4" s="102"/>
      <c r="H4" s="149" t="s">
        <v>62</v>
      </c>
      <c r="I4" s="149" t="s">
        <v>63</v>
      </c>
      <c r="J4" s="149" t="s">
        <v>64</v>
      </c>
      <c r="K4" s="149" t="s">
        <v>65</v>
      </c>
      <c r="L4" s="149" t="s">
        <v>3443</v>
      </c>
      <c r="M4" s="149" t="s">
        <v>4260</v>
      </c>
      <c r="N4" s="79" t="s">
        <v>62</v>
      </c>
      <c r="O4" s="79" t="s">
        <v>63</v>
      </c>
      <c r="P4" s="79" t="s">
        <v>66</v>
      </c>
      <c r="Q4" s="79" t="s">
        <v>67</v>
      </c>
      <c r="R4" s="172" t="s">
        <v>3443</v>
      </c>
      <c r="S4" s="79" t="s">
        <v>4239</v>
      </c>
    </row>
    <row r="5" spans="1:19" ht="15">
      <c r="A5" s="1" t="s">
        <v>68</v>
      </c>
      <c r="B5" s="1" t="s">
        <v>69</v>
      </c>
      <c r="C5" s="1" t="s">
        <v>70</v>
      </c>
      <c r="D5" s="1" t="s">
        <v>71</v>
      </c>
      <c r="E5" s="101">
        <v>45945</v>
      </c>
      <c r="F5" s="40"/>
      <c r="G5" s="103">
        <v>600000</v>
      </c>
      <c r="H5" s="150">
        <v>20000</v>
      </c>
      <c r="I5" s="150">
        <v>20000</v>
      </c>
      <c r="J5" s="150"/>
      <c r="K5" s="150"/>
      <c r="L5" s="150"/>
      <c r="M5" s="150"/>
      <c r="N5" s="80">
        <v>600000</v>
      </c>
      <c r="O5" s="80">
        <v>600000</v>
      </c>
      <c r="P5" s="80">
        <v>600000</v>
      </c>
      <c r="Q5" s="80">
        <v>600000</v>
      </c>
      <c r="R5" s="80">
        <v>600000</v>
      </c>
      <c r="S5" s="80">
        <v>600000</v>
      </c>
    </row>
    <row r="6" spans="1:19" ht="15">
      <c r="A6" s="1" t="s">
        <v>72</v>
      </c>
      <c r="B6" s="1">
        <v>5</v>
      </c>
      <c r="C6" s="1" t="s">
        <v>74</v>
      </c>
      <c r="D6" s="1" t="s">
        <v>71</v>
      </c>
      <c r="E6" s="12">
        <v>45962</v>
      </c>
      <c r="F6" s="104"/>
      <c r="G6" s="13">
        <v>400000</v>
      </c>
      <c r="H6" s="80">
        <v>20000</v>
      </c>
      <c r="I6" s="151">
        <v>20000</v>
      </c>
      <c r="J6" s="150">
        <v>20000</v>
      </c>
      <c r="K6" s="151"/>
      <c r="L6" s="151"/>
      <c r="M6" s="151"/>
      <c r="N6" s="80">
        <v>400000</v>
      </c>
      <c r="O6" s="80">
        <v>400000</v>
      </c>
      <c r="P6" s="81">
        <v>400000</v>
      </c>
      <c r="Q6" s="80">
        <v>400000</v>
      </c>
      <c r="R6" s="80">
        <v>400000</v>
      </c>
      <c r="S6" s="80">
        <v>400000</v>
      </c>
    </row>
    <row r="7" spans="1:19" ht="15">
      <c r="A7" s="1" t="s">
        <v>75</v>
      </c>
      <c r="B7" s="1" t="s">
        <v>76</v>
      </c>
      <c r="C7" s="1" t="s">
        <v>77</v>
      </c>
      <c r="D7" s="1" t="s">
        <v>71</v>
      </c>
      <c r="E7" s="15">
        <v>45935</v>
      </c>
      <c r="F7" s="15"/>
      <c r="G7" s="13">
        <v>300000</v>
      </c>
      <c r="H7" s="82">
        <v>20000</v>
      </c>
      <c r="I7" s="82">
        <v>20000</v>
      </c>
      <c r="J7" s="150">
        <v>20000</v>
      </c>
      <c r="K7" s="150">
        <v>20000</v>
      </c>
      <c r="L7" s="151">
        <v>20000</v>
      </c>
      <c r="M7" s="151">
        <v>20000</v>
      </c>
      <c r="N7" s="82">
        <v>300000</v>
      </c>
      <c r="O7" s="82">
        <v>300000</v>
      </c>
      <c r="P7" s="81">
        <v>300000</v>
      </c>
      <c r="Q7" s="80">
        <v>300000</v>
      </c>
      <c r="R7" s="80">
        <v>300000</v>
      </c>
      <c r="S7" s="80">
        <v>300000</v>
      </c>
    </row>
    <row r="8" spans="1:19" ht="15">
      <c r="A8" s="1" t="s">
        <v>78</v>
      </c>
      <c r="B8" s="1" t="s">
        <v>79</v>
      </c>
      <c r="C8" s="1" t="s">
        <v>80</v>
      </c>
      <c r="D8" s="1" t="s">
        <v>81</v>
      </c>
      <c r="E8" s="15">
        <v>45940</v>
      </c>
      <c r="F8" s="15">
        <v>46122</v>
      </c>
      <c r="G8" s="17">
        <v>200000</v>
      </c>
      <c r="H8" s="80"/>
      <c r="I8" s="80"/>
      <c r="J8" s="80"/>
      <c r="K8" s="80"/>
      <c r="L8" s="95"/>
      <c r="M8" s="95"/>
      <c r="N8" s="83">
        <v>200000</v>
      </c>
      <c r="O8" s="82">
        <v>200000</v>
      </c>
      <c r="P8" s="81">
        <v>200000</v>
      </c>
      <c r="Q8" s="82">
        <v>0</v>
      </c>
      <c r="R8" s="80">
        <v>0</v>
      </c>
      <c r="S8" s="80"/>
    </row>
    <row r="9" spans="1:19" ht="29.25">
      <c r="A9" s="1" t="s">
        <v>78</v>
      </c>
      <c r="B9" s="1">
        <v>786425307</v>
      </c>
      <c r="C9" s="120" t="s">
        <v>4227</v>
      </c>
      <c r="D9" s="1" t="s">
        <v>71</v>
      </c>
      <c r="E9" s="15">
        <v>45778</v>
      </c>
      <c r="F9" s="15"/>
      <c r="G9" s="17">
        <v>100000</v>
      </c>
      <c r="H9" s="80"/>
      <c r="I9" s="80"/>
      <c r="J9" s="80"/>
      <c r="K9" s="80"/>
      <c r="L9" s="95"/>
      <c r="M9" s="95"/>
      <c r="N9" s="83"/>
      <c r="O9" s="82"/>
      <c r="P9" s="81"/>
      <c r="Q9" s="82"/>
      <c r="R9" s="80">
        <v>150000</v>
      </c>
      <c r="S9" s="80">
        <v>150000</v>
      </c>
    </row>
    <row r="10" spans="1:19" ht="15">
      <c r="A10" s="1" t="s">
        <v>82</v>
      </c>
      <c r="B10" s="1" t="s">
        <v>83</v>
      </c>
      <c r="C10" s="1" t="s">
        <v>84</v>
      </c>
      <c r="D10" s="1" t="s">
        <v>85</v>
      </c>
      <c r="E10" s="12">
        <v>45931</v>
      </c>
      <c r="F10" s="21"/>
      <c r="G10" s="13">
        <v>1000000</v>
      </c>
      <c r="H10" s="151"/>
      <c r="I10" s="151"/>
      <c r="J10" s="151"/>
      <c r="K10" s="151"/>
      <c r="L10" s="152"/>
      <c r="M10" s="152"/>
      <c r="N10" s="84">
        <v>1000000</v>
      </c>
      <c r="O10" s="82">
        <v>1000000</v>
      </c>
      <c r="P10" s="81">
        <v>1000000</v>
      </c>
      <c r="Q10" s="150">
        <v>1000000</v>
      </c>
      <c r="R10" s="80">
        <v>1000000</v>
      </c>
      <c r="S10" s="80">
        <v>1000000</v>
      </c>
    </row>
    <row r="11" spans="1:19" ht="15">
      <c r="A11" s="8" t="s">
        <v>86</v>
      </c>
      <c r="B11" s="18">
        <v>788307686</v>
      </c>
      <c r="C11" s="1" t="s">
        <v>87</v>
      </c>
      <c r="D11" s="1" t="s">
        <v>71</v>
      </c>
      <c r="E11" s="12" t="s">
        <v>88</v>
      </c>
      <c r="F11" s="21"/>
      <c r="G11" s="19">
        <v>750000</v>
      </c>
      <c r="H11" s="151"/>
      <c r="I11" s="151"/>
      <c r="J11" s="151"/>
      <c r="K11" s="151"/>
      <c r="L11" s="151"/>
      <c r="M11" s="151"/>
      <c r="N11" s="85">
        <v>750000</v>
      </c>
      <c r="O11" s="86">
        <v>750000</v>
      </c>
      <c r="P11" s="99">
        <v>750000</v>
      </c>
      <c r="Q11" s="89">
        <v>750000</v>
      </c>
      <c r="R11" s="80">
        <v>0</v>
      </c>
      <c r="S11" s="80">
        <v>750000</v>
      </c>
    </row>
    <row r="12" spans="1:19" ht="15">
      <c r="A12" s="1" t="s">
        <v>89</v>
      </c>
      <c r="B12" s="20" t="s">
        <v>90</v>
      </c>
      <c r="C12" s="1" t="s">
        <v>91</v>
      </c>
      <c r="D12" s="1" t="s">
        <v>92</v>
      </c>
      <c r="E12" s="15">
        <v>45935</v>
      </c>
      <c r="F12" s="15">
        <v>46146</v>
      </c>
      <c r="G12" s="13">
        <v>250000</v>
      </c>
      <c r="H12" s="151"/>
      <c r="I12" s="151"/>
      <c r="J12" s="151"/>
      <c r="K12" s="151"/>
      <c r="L12" s="151"/>
      <c r="M12" s="151"/>
      <c r="N12" s="87">
        <v>250000</v>
      </c>
      <c r="O12" s="88">
        <v>250000</v>
      </c>
      <c r="P12" s="89">
        <v>250000</v>
      </c>
      <c r="Q12" s="89">
        <v>250000</v>
      </c>
      <c r="R12" s="80">
        <v>250000</v>
      </c>
      <c r="S12" s="80"/>
    </row>
    <row r="13" spans="1:19" ht="15">
      <c r="A13" s="1" t="s">
        <v>93</v>
      </c>
      <c r="B13" s="1" t="s">
        <v>83</v>
      </c>
      <c r="C13" s="1" t="s">
        <v>84</v>
      </c>
      <c r="D13" s="1" t="s">
        <v>85</v>
      </c>
      <c r="E13" s="21">
        <v>45669</v>
      </c>
      <c r="F13" s="21"/>
      <c r="G13" s="13">
        <v>800000</v>
      </c>
      <c r="H13" s="151"/>
      <c r="I13" s="151"/>
      <c r="J13" s="151"/>
      <c r="K13" s="151"/>
      <c r="L13" s="151"/>
      <c r="M13" s="151"/>
      <c r="N13" s="84">
        <v>800000</v>
      </c>
      <c r="O13" s="90">
        <v>800000</v>
      </c>
      <c r="P13" s="81">
        <v>800000</v>
      </c>
      <c r="Q13" s="82">
        <v>0</v>
      </c>
      <c r="R13" s="80">
        <v>800000</v>
      </c>
      <c r="S13" s="80">
        <v>800000</v>
      </c>
    </row>
    <row r="14" spans="1:19" ht="15">
      <c r="A14" s="1" t="s">
        <v>4813</v>
      </c>
      <c r="B14" s="1" t="s">
        <v>4814</v>
      </c>
      <c r="C14" s="1" t="s">
        <v>4815</v>
      </c>
      <c r="D14" s="1" t="s">
        <v>219</v>
      </c>
      <c r="E14" s="9">
        <v>46185</v>
      </c>
      <c r="F14" s="21"/>
      <c r="G14" s="13"/>
      <c r="H14" s="151"/>
      <c r="I14" s="151"/>
      <c r="J14" s="151"/>
      <c r="K14" s="151"/>
      <c r="L14" s="151"/>
      <c r="M14" s="151"/>
      <c r="N14" s="206"/>
      <c r="O14" s="206"/>
      <c r="P14" s="81"/>
      <c r="Q14" s="82"/>
      <c r="R14" s="80"/>
      <c r="S14" s="80">
        <f>520000+559000</f>
        <v>1079000</v>
      </c>
    </row>
    <row r="15" spans="1:19" ht="17.100000000000001" customHeight="1">
      <c r="A15" s="1" t="s">
        <v>94</v>
      </c>
      <c r="B15" s="20" t="s">
        <v>95</v>
      </c>
      <c r="C15" s="1" t="s">
        <v>96</v>
      </c>
      <c r="D15" s="1" t="s">
        <v>219</v>
      </c>
      <c r="E15" s="22" t="s">
        <v>97</v>
      </c>
      <c r="F15" s="27"/>
      <c r="G15" s="13">
        <v>200000</v>
      </c>
      <c r="H15" s="80">
        <v>20000</v>
      </c>
      <c r="I15" s="80">
        <v>20000</v>
      </c>
      <c r="J15" s="80">
        <v>20000</v>
      </c>
      <c r="K15" s="80">
        <v>20000</v>
      </c>
      <c r="L15" s="80"/>
      <c r="M15" s="80"/>
      <c r="N15" s="91">
        <v>200000</v>
      </c>
      <c r="O15" s="92">
        <v>200000</v>
      </c>
      <c r="P15" s="93">
        <v>200000</v>
      </c>
      <c r="Q15" s="93">
        <v>200000</v>
      </c>
      <c r="R15" s="80">
        <v>0</v>
      </c>
      <c r="S15" s="80"/>
    </row>
    <row r="16" spans="1:19" ht="17.100000000000001" customHeight="1">
      <c r="A16" s="1" t="s">
        <v>94</v>
      </c>
      <c r="B16" s="20" t="s">
        <v>4817</v>
      </c>
      <c r="C16" s="1" t="s">
        <v>4818</v>
      </c>
      <c r="D16" s="1" t="s">
        <v>105</v>
      </c>
      <c r="E16" s="9">
        <v>46175</v>
      </c>
      <c r="F16" s="27"/>
      <c r="G16" s="13"/>
      <c r="H16" s="80"/>
      <c r="I16" s="80"/>
      <c r="J16" s="80"/>
      <c r="K16" s="80"/>
      <c r="L16" s="80"/>
      <c r="M16" s="80"/>
      <c r="N16" s="94"/>
      <c r="O16" s="94"/>
      <c r="P16" s="93"/>
      <c r="Q16" s="93"/>
      <c r="R16" s="80"/>
      <c r="S16" s="80">
        <v>750000</v>
      </c>
    </row>
    <row r="17" spans="1:19" ht="15">
      <c r="A17" s="1" t="s">
        <v>98</v>
      </c>
      <c r="B17" s="20" t="s">
        <v>99</v>
      </c>
      <c r="C17" s="1" t="s">
        <v>4886</v>
      </c>
      <c r="D17" s="1" t="s">
        <v>71</v>
      </c>
      <c r="E17" s="22">
        <v>46113</v>
      </c>
      <c r="F17" s="27"/>
      <c r="G17" s="13">
        <v>150000</v>
      </c>
      <c r="H17" s="80"/>
      <c r="I17" s="80"/>
      <c r="J17" s="80"/>
      <c r="K17" s="80"/>
      <c r="L17" s="80"/>
      <c r="M17" s="80"/>
      <c r="N17" s="94"/>
      <c r="O17" s="94"/>
      <c r="P17" s="93">
        <v>75000</v>
      </c>
      <c r="Q17" s="93">
        <v>150000</v>
      </c>
      <c r="R17" s="80">
        <v>150000</v>
      </c>
      <c r="S17" s="80">
        <v>160000</v>
      </c>
    </row>
    <row r="18" spans="1:19" ht="15">
      <c r="A18" s="1" t="s">
        <v>4883</v>
      </c>
      <c r="B18" s="1" t="s">
        <v>83</v>
      </c>
      <c r="C18" s="1" t="s">
        <v>84</v>
      </c>
      <c r="D18" s="1" t="s">
        <v>85</v>
      </c>
      <c r="E18" s="12">
        <v>46023</v>
      </c>
      <c r="F18" s="21">
        <v>46142</v>
      </c>
      <c r="G18" s="23">
        <v>500000</v>
      </c>
      <c r="H18" s="80"/>
      <c r="I18" s="80"/>
      <c r="J18" s="151">
        <v>40000</v>
      </c>
      <c r="K18" s="80"/>
      <c r="L18" s="80"/>
      <c r="M18" s="80"/>
      <c r="N18" s="95">
        <v>500000</v>
      </c>
      <c r="O18" s="90">
        <v>500000</v>
      </c>
      <c r="P18" s="81">
        <v>500000</v>
      </c>
      <c r="Q18" s="82">
        <v>500000</v>
      </c>
      <c r="R18" s="80">
        <v>0</v>
      </c>
      <c r="S18" s="80">
        <v>0</v>
      </c>
    </row>
    <row r="19" spans="1:19" ht="15">
      <c r="A19" s="1" t="s">
        <v>4882</v>
      </c>
      <c r="B19" s="1"/>
      <c r="C19" s="1" t="s">
        <v>4884</v>
      </c>
      <c r="D19" s="1" t="s">
        <v>105</v>
      </c>
      <c r="E19" s="21"/>
      <c r="F19" s="21"/>
      <c r="G19" s="23"/>
      <c r="H19" s="80"/>
      <c r="I19" s="80"/>
      <c r="J19" s="151"/>
      <c r="K19" s="80"/>
      <c r="L19" s="80"/>
      <c r="M19" s="80"/>
      <c r="N19" s="153"/>
      <c r="O19" s="206"/>
      <c r="P19" s="81"/>
      <c r="Q19" s="82"/>
      <c r="R19" s="80">
        <v>990000</v>
      </c>
      <c r="S19" s="80">
        <v>750000</v>
      </c>
    </row>
    <row r="20" spans="1:19" s="26" customFormat="1" ht="15">
      <c r="A20" s="16" t="s">
        <v>102</v>
      </c>
      <c r="B20" s="24" t="s">
        <v>103</v>
      </c>
      <c r="C20" s="16" t="s">
        <v>104</v>
      </c>
      <c r="D20" s="16" t="s">
        <v>105</v>
      </c>
      <c r="E20" s="15">
        <v>45945</v>
      </c>
      <c r="F20" s="15">
        <v>46096</v>
      </c>
      <c r="G20" s="25">
        <v>250000</v>
      </c>
      <c r="H20" s="82">
        <v>30000</v>
      </c>
      <c r="I20" s="151">
        <v>30000</v>
      </c>
      <c r="J20" s="82"/>
      <c r="K20" s="82"/>
      <c r="L20" s="82"/>
      <c r="M20" s="82"/>
      <c r="N20" s="85">
        <v>400000</v>
      </c>
      <c r="O20" s="88">
        <v>400000</v>
      </c>
      <c r="P20" s="96">
        <v>400000</v>
      </c>
      <c r="Q20" s="96">
        <v>0</v>
      </c>
      <c r="R20" s="82">
        <v>0</v>
      </c>
      <c r="S20" s="82"/>
    </row>
    <row r="21" spans="1:19" s="26" customFormat="1" ht="19.5" customHeight="1">
      <c r="A21" s="16" t="s">
        <v>1</v>
      </c>
      <c r="B21" s="24" t="s">
        <v>4225</v>
      </c>
      <c r="C21" s="16" t="s">
        <v>4231</v>
      </c>
      <c r="D21" s="16" t="s">
        <v>4226</v>
      </c>
      <c r="E21" s="15">
        <v>46134</v>
      </c>
      <c r="F21" s="15"/>
      <c r="G21" s="25">
        <v>200000</v>
      </c>
      <c r="H21" s="82"/>
      <c r="I21" s="151"/>
      <c r="J21" s="82"/>
      <c r="K21" s="82">
        <v>30000</v>
      </c>
      <c r="L21" s="84">
        <v>30000</v>
      </c>
      <c r="M21" s="84">
        <v>30000</v>
      </c>
      <c r="N21" s="170"/>
      <c r="O21" s="170"/>
      <c r="P21" s="96"/>
      <c r="Q21" s="96">
        <v>400000</v>
      </c>
      <c r="R21" s="82">
        <v>400000</v>
      </c>
      <c r="S21" s="82">
        <v>430000</v>
      </c>
    </row>
    <row r="22" spans="1:19" ht="15">
      <c r="A22" s="1" t="s">
        <v>106</v>
      </c>
      <c r="B22" s="1" t="s">
        <v>79</v>
      </c>
      <c r="C22" s="1" t="s">
        <v>107</v>
      </c>
      <c r="D22" s="1" t="s">
        <v>81</v>
      </c>
      <c r="E22" s="12">
        <v>45936</v>
      </c>
      <c r="F22" s="21">
        <v>46118</v>
      </c>
      <c r="G22" s="13">
        <v>300000</v>
      </c>
      <c r="H22" s="80">
        <v>30000</v>
      </c>
      <c r="I22" s="80">
        <v>30000</v>
      </c>
      <c r="J22" s="151">
        <v>30000</v>
      </c>
      <c r="K22" s="80"/>
      <c r="L22" s="95"/>
      <c r="M22" s="95"/>
      <c r="N22" s="83">
        <v>300000</v>
      </c>
      <c r="O22" s="97">
        <v>300000</v>
      </c>
      <c r="P22" s="81">
        <v>300000</v>
      </c>
      <c r="Q22" s="80">
        <v>0</v>
      </c>
      <c r="R22" s="80">
        <v>0</v>
      </c>
      <c r="S22" s="80"/>
    </row>
    <row r="23" spans="1:19" ht="15">
      <c r="A23" s="1" t="s">
        <v>4261</v>
      </c>
      <c r="B23" s="1" t="s">
        <v>4822</v>
      </c>
      <c r="C23" s="1" t="s">
        <v>4823</v>
      </c>
      <c r="D23" s="1" t="s">
        <v>4824</v>
      </c>
      <c r="E23" s="9">
        <v>46157</v>
      </c>
      <c r="F23" s="21"/>
      <c r="G23" s="13"/>
      <c r="H23" s="80"/>
      <c r="I23" s="80"/>
      <c r="J23" s="151"/>
      <c r="K23" s="80"/>
      <c r="L23" s="95">
        <v>30000</v>
      </c>
      <c r="M23" s="95"/>
      <c r="N23" s="83"/>
      <c r="O23" s="97"/>
      <c r="P23" s="81"/>
      <c r="Q23" s="80"/>
      <c r="R23" s="80">
        <v>300000</v>
      </c>
      <c r="S23" s="80">
        <v>330000</v>
      </c>
    </row>
    <row r="24" spans="1:19" ht="15">
      <c r="A24" s="1" t="s">
        <v>108</v>
      </c>
      <c r="B24" s="1" t="s">
        <v>109</v>
      </c>
      <c r="C24" s="1" t="s">
        <v>110</v>
      </c>
      <c r="D24" s="1" t="s">
        <v>81</v>
      </c>
      <c r="E24" s="15">
        <v>45932</v>
      </c>
      <c r="F24" s="15">
        <v>46158</v>
      </c>
      <c r="G24" s="13">
        <v>300000</v>
      </c>
      <c r="H24" s="82">
        <v>30000</v>
      </c>
      <c r="I24" s="80">
        <v>30000</v>
      </c>
      <c r="J24" s="151">
        <v>30000</v>
      </c>
      <c r="K24" s="80"/>
      <c r="L24" s="80"/>
      <c r="M24" s="80"/>
      <c r="N24" s="80">
        <v>300000</v>
      </c>
      <c r="O24" s="80">
        <v>300000</v>
      </c>
      <c r="P24" s="80">
        <v>300000</v>
      </c>
      <c r="Q24" s="80">
        <v>300000</v>
      </c>
      <c r="R24" s="80">
        <v>0</v>
      </c>
      <c r="S24" s="80"/>
    </row>
    <row r="25" spans="1:19" ht="15">
      <c r="A25" s="1" t="s">
        <v>4258</v>
      </c>
      <c r="B25" s="1"/>
      <c r="C25" s="1" t="s">
        <v>4259</v>
      </c>
      <c r="D25" s="1" t="s">
        <v>105</v>
      </c>
      <c r="E25" s="15">
        <v>46159</v>
      </c>
      <c r="F25" s="15">
        <v>46177</v>
      </c>
      <c r="G25" s="13">
        <v>300000</v>
      </c>
      <c r="H25" s="82"/>
      <c r="I25" s="80"/>
      <c r="J25" s="151"/>
      <c r="K25" s="80"/>
      <c r="L25" s="80">
        <v>30000</v>
      </c>
      <c r="M25" s="80">
        <v>30000</v>
      </c>
      <c r="N25" s="80"/>
      <c r="O25" s="80"/>
      <c r="P25" s="80"/>
      <c r="Q25" s="80"/>
      <c r="R25" s="80">
        <v>300000</v>
      </c>
      <c r="S25" s="80">
        <v>300000</v>
      </c>
    </row>
    <row r="26" spans="1:19" ht="15">
      <c r="A26" s="1" t="s">
        <v>4258</v>
      </c>
      <c r="B26" s="1" t="s">
        <v>4826</v>
      </c>
      <c r="C26" s="1" t="s">
        <v>4827</v>
      </c>
      <c r="D26" s="1" t="s">
        <v>4238</v>
      </c>
      <c r="E26" s="9">
        <v>46177</v>
      </c>
      <c r="F26" s="15"/>
      <c r="G26" s="13"/>
      <c r="H26" s="82"/>
      <c r="I26" s="80"/>
      <c r="J26" s="151"/>
      <c r="K26" s="80"/>
      <c r="L26" s="80"/>
      <c r="M26" s="80">
        <v>30000</v>
      </c>
      <c r="N26" s="80"/>
      <c r="O26" s="80"/>
      <c r="P26" s="80"/>
      <c r="Q26" s="80"/>
      <c r="R26" s="80"/>
      <c r="S26" s="80">
        <v>300000</v>
      </c>
    </row>
    <row r="27" spans="1:19" ht="15" customHeight="1">
      <c r="A27" s="1" t="s">
        <v>111</v>
      </c>
      <c r="B27" s="20" t="s">
        <v>112</v>
      </c>
      <c r="C27" s="1" t="s">
        <v>113</v>
      </c>
      <c r="D27" s="1" t="s">
        <v>105</v>
      </c>
      <c r="E27" s="9">
        <v>46082</v>
      </c>
      <c r="F27" s="9"/>
      <c r="G27" s="13">
        <v>300000</v>
      </c>
      <c r="H27" s="151"/>
      <c r="I27" s="80"/>
      <c r="J27" s="80">
        <v>30000</v>
      </c>
      <c r="K27" s="80">
        <v>30000</v>
      </c>
      <c r="L27" s="80">
        <v>30000</v>
      </c>
      <c r="M27" s="80">
        <v>30000</v>
      </c>
      <c r="N27" s="80"/>
      <c r="O27" s="80">
        <v>70000</v>
      </c>
      <c r="P27" s="80">
        <v>300000</v>
      </c>
      <c r="Q27" s="80">
        <v>300000</v>
      </c>
      <c r="R27" s="80">
        <v>300000</v>
      </c>
      <c r="S27" s="80">
        <v>300000</v>
      </c>
    </row>
    <row r="28" spans="1:19" ht="15">
      <c r="A28" s="1" t="s">
        <v>114</v>
      </c>
      <c r="B28" s="1" t="s">
        <v>115</v>
      </c>
      <c r="C28" s="1" t="s">
        <v>116</v>
      </c>
      <c r="D28" s="1" t="s">
        <v>117</v>
      </c>
      <c r="E28" s="15">
        <v>45962</v>
      </c>
      <c r="F28" s="15"/>
      <c r="G28" s="13">
        <v>300000</v>
      </c>
      <c r="H28" s="80">
        <v>30000</v>
      </c>
      <c r="I28" s="80">
        <v>30000</v>
      </c>
      <c r="J28" s="80">
        <v>30000</v>
      </c>
      <c r="K28" s="80">
        <v>30000</v>
      </c>
      <c r="L28" s="95">
        <v>30000</v>
      </c>
      <c r="M28" s="95">
        <v>30000</v>
      </c>
      <c r="N28" s="95">
        <v>300000</v>
      </c>
      <c r="O28" s="80">
        <v>300000</v>
      </c>
      <c r="P28" s="80">
        <v>300000</v>
      </c>
      <c r="Q28" s="80">
        <v>300000</v>
      </c>
      <c r="R28" s="80"/>
      <c r="S28" s="80">
        <v>300000</v>
      </c>
    </row>
    <row r="29" spans="1:19" ht="15">
      <c r="A29" s="1" t="s">
        <v>118</v>
      </c>
      <c r="B29" s="1" t="s">
        <v>119</v>
      </c>
      <c r="C29" s="1" t="s">
        <v>120</v>
      </c>
      <c r="D29" s="1" t="s">
        <v>71</v>
      </c>
      <c r="E29" s="9">
        <v>45945</v>
      </c>
      <c r="F29" s="9"/>
      <c r="G29" s="13">
        <v>300000</v>
      </c>
      <c r="H29" s="82">
        <v>30000</v>
      </c>
      <c r="I29" s="80">
        <v>30000</v>
      </c>
      <c r="J29" s="151"/>
      <c r="K29" s="151"/>
      <c r="L29" s="153">
        <v>30000</v>
      </c>
      <c r="M29" s="153"/>
      <c r="N29" s="98">
        <v>300000</v>
      </c>
      <c r="O29" s="81">
        <v>300000</v>
      </c>
      <c r="P29" s="81">
        <v>300000</v>
      </c>
      <c r="Q29" s="81">
        <v>300000</v>
      </c>
      <c r="R29" s="80">
        <v>300000</v>
      </c>
      <c r="S29" s="80">
        <v>300000</v>
      </c>
    </row>
    <row r="30" spans="1:19" ht="15">
      <c r="A30" s="1" t="s">
        <v>121</v>
      </c>
      <c r="B30" s="20" t="s">
        <v>122</v>
      </c>
      <c r="C30" s="120" t="s">
        <v>123</v>
      </c>
      <c r="D30" s="1" t="s">
        <v>124</v>
      </c>
      <c r="E30" s="27">
        <v>45938</v>
      </c>
      <c r="F30" s="27"/>
      <c r="G30" s="13">
        <v>300000</v>
      </c>
      <c r="H30" s="80">
        <v>30000</v>
      </c>
      <c r="I30" s="80">
        <v>30000</v>
      </c>
      <c r="J30" s="80">
        <v>30000</v>
      </c>
      <c r="K30" s="80">
        <v>30000</v>
      </c>
      <c r="L30" s="80">
        <v>30000</v>
      </c>
      <c r="M30" s="80">
        <v>30000</v>
      </c>
      <c r="N30" s="80">
        <v>300000</v>
      </c>
      <c r="O30" s="80">
        <v>300000</v>
      </c>
      <c r="P30" s="80">
        <v>300000</v>
      </c>
      <c r="Q30" s="80">
        <v>300000</v>
      </c>
      <c r="R30" s="80">
        <v>300000</v>
      </c>
      <c r="S30" s="80">
        <v>300000</v>
      </c>
    </row>
    <row r="31" spans="1:19" ht="15">
      <c r="A31" s="1" t="s">
        <v>125</v>
      </c>
      <c r="B31" s="1" t="s">
        <v>126</v>
      </c>
      <c r="C31" s="1" t="s">
        <v>127</v>
      </c>
      <c r="D31" s="1" t="s">
        <v>117</v>
      </c>
      <c r="E31" s="27">
        <v>45962</v>
      </c>
      <c r="F31" s="27"/>
      <c r="G31" s="13">
        <v>300000</v>
      </c>
      <c r="H31" s="80">
        <v>30000</v>
      </c>
      <c r="I31" s="80">
        <v>30000</v>
      </c>
      <c r="J31" s="80">
        <v>30000</v>
      </c>
      <c r="K31" s="80">
        <v>30000</v>
      </c>
      <c r="L31" s="80">
        <v>30000</v>
      </c>
      <c r="M31" s="80">
        <v>30000</v>
      </c>
      <c r="N31" s="80">
        <v>300000</v>
      </c>
      <c r="O31" s="80">
        <v>300000</v>
      </c>
      <c r="P31" s="80">
        <v>300000</v>
      </c>
      <c r="Q31" s="80">
        <v>300000</v>
      </c>
      <c r="R31" s="80">
        <v>300000</v>
      </c>
      <c r="S31" s="80">
        <v>300000</v>
      </c>
    </row>
    <row r="32" spans="1:19" ht="15">
      <c r="A32" s="1" t="s">
        <v>128</v>
      </c>
      <c r="B32" s="1" t="s">
        <v>129</v>
      </c>
      <c r="C32" s="1" t="s">
        <v>130</v>
      </c>
      <c r="D32" s="1" t="s">
        <v>71</v>
      </c>
      <c r="E32" s="9">
        <v>45940</v>
      </c>
      <c r="F32" s="9"/>
      <c r="G32" s="13">
        <v>300000</v>
      </c>
      <c r="H32" s="80">
        <v>30000</v>
      </c>
      <c r="I32" s="80">
        <v>30000</v>
      </c>
      <c r="J32" s="80">
        <v>30000</v>
      </c>
      <c r="K32" s="80">
        <v>30000</v>
      </c>
      <c r="L32" s="80">
        <v>30000</v>
      </c>
      <c r="M32" s="80">
        <v>30000</v>
      </c>
      <c r="N32" s="80">
        <v>300000</v>
      </c>
      <c r="O32" s="80">
        <v>300000</v>
      </c>
      <c r="P32" s="80">
        <v>300000</v>
      </c>
      <c r="Q32" s="80">
        <v>300000</v>
      </c>
      <c r="R32" s="80">
        <v>300000</v>
      </c>
      <c r="S32" s="80">
        <v>630000</v>
      </c>
    </row>
    <row r="33" spans="1:19" ht="15">
      <c r="A33" s="1" t="s">
        <v>131</v>
      </c>
      <c r="B33" s="1" t="s">
        <v>132</v>
      </c>
      <c r="C33" s="1" t="s">
        <v>133</v>
      </c>
      <c r="D33" s="1" t="s">
        <v>134</v>
      </c>
      <c r="E33" s="27">
        <v>45954</v>
      </c>
      <c r="F33" s="27"/>
      <c r="G33" s="13">
        <v>300000</v>
      </c>
      <c r="H33" s="80">
        <v>30000</v>
      </c>
      <c r="I33" s="80">
        <v>30000</v>
      </c>
      <c r="J33" s="80">
        <v>30000</v>
      </c>
      <c r="K33" s="80">
        <v>30000</v>
      </c>
      <c r="L33" s="80">
        <v>30000</v>
      </c>
      <c r="M33" s="80">
        <v>30000</v>
      </c>
      <c r="N33" s="80">
        <v>300000</v>
      </c>
      <c r="O33" s="80">
        <v>300000</v>
      </c>
      <c r="P33" s="80">
        <v>300000</v>
      </c>
      <c r="Q33" s="80">
        <v>300000</v>
      </c>
      <c r="R33" s="80">
        <v>300000</v>
      </c>
      <c r="S33" s="80">
        <v>300000</v>
      </c>
    </row>
    <row r="34" spans="1:19" ht="15">
      <c r="A34" s="1" t="s">
        <v>135</v>
      </c>
      <c r="B34" s="28" t="s">
        <v>136</v>
      </c>
      <c r="C34" s="16" t="s">
        <v>137</v>
      </c>
      <c r="D34" s="1" t="s">
        <v>71</v>
      </c>
      <c r="E34" s="15">
        <v>45934</v>
      </c>
      <c r="F34" s="15"/>
      <c r="G34" s="13">
        <v>300000</v>
      </c>
      <c r="H34" s="80">
        <v>30000</v>
      </c>
      <c r="I34" s="80">
        <v>30000</v>
      </c>
      <c r="J34" s="80">
        <v>30000</v>
      </c>
      <c r="K34" s="80">
        <v>30000</v>
      </c>
      <c r="L34" s="78">
        <v>30000</v>
      </c>
      <c r="M34" s="80">
        <v>30000</v>
      </c>
      <c r="N34" s="80">
        <v>300000</v>
      </c>
      <c r="O34" s="80">
        <v>300000</v>
      </c>
      <c r="P34" s="80">
        <v>300000</v>
      </c>
      <c r="Q34" s="80">
        <v>300000</v>
      </c>
      <c r="R34" s="80">
        <v>300000</v>
      </c>
      <c r="S34" s="80">
        <v>300000</v>
      </c>
    </row>
    <row r="35" spans="1:19" ht="30">
      <c r="A35" s="1" t="s">
        <v>138</v>
      </c>
      <c r="B35" s="1" t="s">
        <v>139</v>
      </c>
      <c r="C35" s="1" t="s">
        <v>140</v>
      </c>
      <c r="D35" s="1" t="s">
        <v>81</v>
      </c>
      <c r="E35" s="27">
        <v>45958</v>
      </c>
      <c r="F35" s="27" t="s">
        <v>3441</v>
      </c>
      <c r="G35" s="13">
        <v>300000</v>
      </c>
      <c r="H35" s="80">
        <v>30000</v>
      </c>
      <c r="I35" s="80">
        <v>30000</v>
      </c>
      <c r="J35" s="80"/>
      <c r="K35" s="80"/>
      <c r="L35" s="80"/>
      <c r="M35" s="80"/>
      <c r="N35" s="80">
        <v>300000</v>
      </c>
      <c r="O35" s="80">
        <v>300000</v>
      </c>
      <c r="P35" s="80">
        <v>300000</v>
      </c>
      <c r="Q35" s="80">
        <v>0</v>
      </c>
      <c r="R35" s="80"/>
      <c r="S35" s="80"/>
    </row>
    <row r="36" spans="1:19" ht="15">
      <c r="A36" s="1" t="s">
        <v>4228</v>
      </c>
      <c r="B36" s="1">
        <v>79167649</v>
      </c>
      <c r="C36" s="1" t="s">
        <v>4235</v>
      </c>
      <c r="D36" s="1" t="s">
        <v>81</v>
      </c>
      <c r="E36" s="27">
        <v>46137</v>
      </c>
      <c r="F36" s="27"/>
      <c r="G36" s="13">
        <v>300000</v>
      </c>
      <c r="H36" s="80"/>
      <c r="I36" s="80"/>
      <c r="J36" s="80"/>
      <c r="K36" s="80"/>
      <c r="L36" s="80">
        <v>30000</v>
      </c>
      <c r="M36" s="80">
        <v>30000</v>
      </c>
      <c r="N36" s="153"/>
      <c r="O36" s="80"/>
      <c r="P36" s="80"/>
      <c r="Q36" s="80">
        <v>300000</v>
      </c>
      <c r="R36" s="80">
        <v>300000</v>
      </c>
      <c r="S36" s="80">
        <v>330000</v>
      </c>
    </row>
    <row r="37" spans="1:19" ht="15.6" customHeight="1">
      <c r="A37" s="29" t="s">
        <v>141</v>
      </c>
      <c r="B37" s="29" t="s">
        <v>142</v>
      </c>
      <c r="C37" s="29" t="s">
        <v>143</v>
      </c>
      <c r="D37" s="29" t="s">
        <v>71</v>
      </c>
      <c r="E37" s="30" t="s">
        <v>144</v>
      </c>
      <c r="F37" s="30" t="s">
        <v>4233</v>
      </c>
      <c r="G37" s="13"/>
      <c r="H37" s="151"/>
      <c r="I37" s="80"/>
      <c r="J37" s="80"/>
      <c r="K37" s="80"/>
      <c r="L37" s="80"/>
      <c r="M37" s="80"/>
      <c r="N37" s="85">
        <v>250000</v>
      </c>
      <c r="O37" s="80"/>
      <c r="P37" s="80"/>
      <c r="Q37" s="80"/>
      <c r="R37" s="80"/>
      <c r="S37" s="80"/>
    </row>
    <row r="38" spans="1:19" ht="15" customHeight="1">
      <c r="A38" s="113" t="s">
        <v>111</v>
      </c>
      <c r="B38" s="114" t="s">
        <v>145</v>
      </c>
      <c r="C38" s="113" t="s">
        <v>146</v>
      </c>
      <c r="D38" s="113" t="s">
        <v>81</v>
      </c>
      <c r="E38" s="115" t="s">
        <v>147</v>
      </c>
      <c r="F38" s="115" t="s">
        <v>4234</v>
      </c>
      <c r="G38" s="116"/>
      <c r="H38" s="154"/>
      <c r="I38" s="118"/>
      <c r="J38" s="118"/>
      <c r="K38" s="118"/>
      <c r="L38" s="80"/>
      <c r="M38" s="80"/>
      <c r="N38" s="117">
        <v>300000</v>
      </c>
      <c r="O38" s="118"/>
      <c r="P38" s="118"/>
      <c r="Q38" s="118"/>
      <c r="R38" s="80"/>
      <c r="S38" s="80"/>
    </row>
    <row r="39" spans="1:19">
      <c r="A39" s="1"/>
      <c r="B39" s="1"/>
      <c r="C39" s="1"/>
      <c r="D39" s="1"/>
      <c r="E39" s="5"/>
      <c r="F39" s="5"/>
      <c r="G39" s="6"/>
      <c r="H39" s="80">
        <f>H5+H6+H7+H15+H20+H22+H28+H29+H30+H31+H32+H33+H34+H35</f>
        <v>380000</v>
      </c>
      <c r="I39" s="80"/>
      <c r="J39" s="80"/>
      <c r="K39" s="80"/>
      <c r="L39" s="80"/>
      <c r="M39" s="80"/>
      <c r="N39" s="80">
        <f t="shared" ref="N39:S39" si="0">SUM(N5:N38)</f>
        <v>8950000</v>
      </c>
      <c r="O39" s="80">
        <f t="shared" si="0"/>
        <v>8470000</v>
      </c>
      <c r="P39" s="80">
        <f t="shared" si="0"/>
        <v>8775000</v>
      </c>
      <c r="Q39" s="80">
        <f t="shared" si="0"/>
        <v>7550000</v>
      </c>
      <c r="R39" s="80">
        <f t="shared" si="0"/>
        <v>8040000</v>
      </c>
      <c r="S39" s="80">
        <f t="shared" si="0"/>
        <v>11159000</v>
      </c>
    </row>
    <row r="40" spans="1:19" ht="15">
      <c r="C40" s="33"/>
    </row>
    <row r="43" spans="1:19" ht="30.75" thickBot="1">
      <c r="C43" s="121" t="s">
        <v>170</v>
      </c>
      <c r="D43" s="1" t="s">
        <v>171</v>
      </c>
      <c r="E43" s="105"/>
      <c r="F43"/>
      <c r="G43"/>
      <c r="H43"/>
      <c r="I43"/>
      <c r="J43"/>
      <c r="K43"/>
      <c r="L43"/>
      <c r="M43"/>
      <c r="N43"/>
      <c r="O43"/>
      <c r="P43"/>
    </row>
    <row r="44" spans="1:19" ht="15" thickBot="1">
      <c r="C44" s="122"/>
      <c r="E44"/>
      <c r="F44"/>
      <c r="G44"/>
      <c r="H44" s="212" t="s">
        <v>60</v>
      </c>
      <c r="I44" s="213"/>
      <c r="J44" s="214"/>
      <c r="K44" s="107"/>
      <c r="L44" s="107"/>
      <c r="M44" s="107"/>
      <c r="N44" s="187"/>
      <c r="O44" s="110"/>
      <c r="P44" s="1"/>
      <c r="Q44" s="80"/>
    </row>
    <row r="45" spans="1:19" ht="42.75">
      <c r="A45" s="1" t="s">
        <v>54</v>
      </c>
      <c r="B45" s="1" t="s">
        <v>173</v>
      </c>
      <c r="C45" s="120" t="s">
        <v>174</v>
      </c>
      <c r="D45" s="1" t="s">
        <v>57</v>
      </c>
      <c r="E45" s="120" t="s">
        <v>58</v>
      </c>
      <c r="F45" s="120" t="s">
        <v>221</v>
      </c>
      <c r="G45" s="43" t="s">
        <v>175</v>
      </c>
      <c r="H45" s="44" t="s">
        <v>176</v>
      </c>
      <c r="I45" s="44" t="s">
        <v>177</v>
      </c>
      <c r="J45" s="44" t="s">
        <v>64</v>
      </c>
      <c r="K45" s="44" t="s">
        <v>222</v>
      </c>
      <c r="L45" s="44" t="s">
        <v>3443</v>
      </c>
      <c r="M45" s="44"/>
      <c r="N45" s="109" t="s">
        <v>62</v>
      </c>
      <c r="O45" s="144" t="s">
        <v>63</v>
      </c>
      <c r="P45" s="8" t="s">
        <v>4880</v>
      </c>
      <c r="Q45" s="80" t="s">
        <v>4881</v>
      </c>
      <c r="R45" s="78" t="s">
        <v>3443</v>
      </c>
      <c r="S45" s="78" t="s">
        <v>4239</v>
      </c>
    </row>
    <row r="46" spans="1:19" ht="28.5">
      <c r="A46" s="46" t="s">
        <v>180</v>
      </c>
      <c r="B46" s="47" t="s">
        <v>181</v>
      </c>
      <c r="C46" s="123" t="s">
        <v>3430</v>
      </c>
      <c r="D46" s="46" t="s">
        <v>124</v>
      </c>
      <c r="E46" s="46" t="s">
        <v>182</v>
      </c>
      <c r="F46" s="46"/>
      <c r="G46" s="49">
        <v>100000</v>
      </c>
      <c r="H46" s="16">
        <v>20000</v>
      </c>
      <c r="I46" s="16">
        <v>20000</v>
      </c>
      <c r="J46" s="16"/>
      <c r="K46" s="16"/>
      <c r="L46" s="16"/>
      <c r="M46" s="16"/>
      <c r="N46" s="110">
        <v>400000</v>
      </c>
      <c r="O46" s="110">
        <v>400000</v>
      </c>
      <c r="P46" s="1"/>
      <c r="Q46" s="80">
        <v>400000</v>
      </c>
      <c r="S46" s="78">
        <v>400000</v>
      </c>
    </row>
    <row r="47" spans="1:19" ht="28.5">
      <c r="A47" s="50" t="s">
        <v>183</v>
      </c>
      <c r="B47" s="47" t="s">
        <v>184</v>
      </c>
      <c r="C47" s="124" t="s">
        <v>185</v>
      </c>
      <c r="D47" s="50" t="s">
        <v>124</v>
      </c>
      <c r="E47" s="50" t="s">
        <v>186</v>
      </c>
      <c r="F47" s="53">
        <v>46130</v>
      </c>
      <c r="G47" s="48">
        <v>350000</v>
      </c>
      <c r="H47" s="14">
        <v>20000</v>
      </c>
      <c r="I47" s="14">
        <v>20000</v>
      </c>
      <c r="J47" s="14"/>
      <c r="K47" s="14"/>
      <c r="L47" s="14"/>
      <c r="M47" s="14"/>
      <c r="N47" s="110">
        <v>350000</v>
      </c>
      <c r="O47" s="110">
        <v>350000</v>
      </c>
      <c r="P47" s="1"/>
      <c r="Q47" s="80"/>
      <c r="R47" s="80"/>
      <c r="S47" s="80"/>
    </row>
    <row r="48" spans="1:19">
      <c r="A48" s="50" t="s">
        <v>183</v>
      </c>
      <c r="B48" s="47"/>
      <c r="C48" s="124"/>
      <c r="D48" s="50"/>
      <c r="E48" s="50"/>
      <c r="F48" s="53"/>
      <c r="G48" s="48"/>
      <c r="H48" s="14"/>
      <c r="I48" s="14"/>
      <c r="J48" s="14"/>
      <c r="K48" s="14"/>
      <c r="L48" s="14"/>
      <c r="M48" s="14"/>
      <c r="N48" s="110"/>
      <c r="O48" s="110"/>
      <c r="P48" s="1"/>
      <c r="Q48" s="80"/>
      <c r="R48" s="80"/>
      <c r="S48" s="80"/>
    </row>
    <row r="49" spans="1:19" ht="28.5">
      <c r="A49" s="50" t="s">
        <v>187</v>
      </c>
      <c r="B49" s="52" t="s">
        <v>188</v>
      </c>
      <c r="C49" s="125" t="s">
        <v>189</v>
      </c>
      <c r="D49" s="50" t="s">
        <v>190</v>
      </c>
      <c r="E49" s="53">
        <v>46033</v>
      </c>
      <c r="F49" s="53"/>
      <c r="G49" s="48"/>
      <c r="H49" s="14"/>
      <c r="I49" s="14"/>
      <c r="J49" s="14"/>
      <c r="K49" s="14"/>
      <c r="L49" s="14"/>
      <c r="M49" s="14"/>
      <c r="N49" s="110">
        <v>0</v>
      </c>
      <c r="O49" s="110">
        <v>0</v>
      </c>
      <c r="P49" s="1"/>
      <c r="Q49" s="80"/>
      <c r="R49" s="80"/>
      <c r="S49" s="80"/>
    </row>
    <row r="50" spans="1:19" ht="28.5">
      <c r="A50" s="50" t="s">
        <v>3442</v>
      </c>
      <c r="B50" s="52" t="s">
        <v>4237</v>
      </c>
      <c r="C50" s="125" t="s">
        <v>4236</v>
      </c>
      <c r="D50" s="50" t="s">
        <v>4238</v>
      </c>
      <c r="E50" s="53">
        <v>46099</v>
      </c>
      <c r="F50" s="53">
        <v>46160</v>
      </c>
      <c r="G50" s="48">
        <v>350000</v>
      </c>
      <c r="H50" s="14"/>
      <c r="I50" s="14"/>
      <c r="J50" s="119">
        <v>20000</v>
      </c>
      <c r="K50" s="14"/>
      <c r="L50" s="14"/>
      <c r="M50" s="14"/>
      <c r="N50" s="110"/>
      <c r="O50" s="110"/>
      <c r="P50" s="110">
        <v>350000</v>
      </c>
      <c r="Q50" s="110">
        <v>185000</v>
      </c>
      <c r="R50" s="1">
        <v>175000</v>
      </c>
      <c r="S50" s="80"/>
    </row>
    <row r="51" spans="1:19">
      <c r="A51" s="50" t="s">
        <v>3442</v>
      </c>
      <c r="B51" s="52" t="s">
        <v>4831</v>
      </c>
      <c r="C51" s="125" t="s">
        <v>4832</v>
      </c>
      <c r="D51" s="50" t="s">
        <v>4833</v>
      </c>
      <c r="E51" s="200">
        <v>46177</v>
      </c>
      <c r="F51" s="53"/>
      <c r="G51" s="48">
        <v>350000</v>
      </c>
      <c r="H51" s="14"/>
      <c r="I51" s="14"/>
      <c r="J51" s="119"/>
      <c r="K51" s="14"/>
      <c r="L51" s="14"/>
      <c r="M51" s="14"/>
      <c r="N51" s="110"/>
      <c r="O51" s="110"/>
      <c r="P51" s="110"/>
      <c r="Q51" s="110"/>
      <c r="R51" s="1"/>
      <c r="S51" s="80">
        <v>370000</v>
      </c>
    </row>
    <row r="52" spans="1:19" ht="15">
      <c r="A52" s="50" t="s">
        <v>191</v>
      </c>
      <c r="B52" s="52" t="s">
        <v>192</v>
      </c>
      <c r="C52" s="125" t="s">
        <v>193</v>
      </c>
      <c r="D52" s="50" t="s">
        <v>194</v>
      </c>
      <c r="E52" s="54">
        <v>45837</v>
      </c>
      <c r="F52" s="54">
        <v>46112</v>
      </c>
      <c r="G52" s="55">
        <v>400000</v>
      </c>
      <c r="H52" s="16">
        <v>16000</v>
      </c>
      <c r="I52" s="16">
        <v>16000</v>
      </c>
      <c r="J52" s="16">
        <v>16000</v>
      </c>
      <c r="K52" s="16"/>
      <c r="L52" s="16"/>
      <c r="M52" s="16"/>
      <c r="N52" s="110">
        <v>400000</v>
      </c>
      <c r="O52" s="110">
        <v>400000</v>
      </c>
      <c r="P52" s="1">
        <v>400000</v>
      </c>
      <c r="Q52" s="80"/>
      <c r="R52" s="80"/>
      <c r="S52" s="80"/>
    </row>
    <row r="53" spans="1:19" ht="15">
      <c r="A53" s="50" t="s">
        <v>3890</v>
      </c>
      <c r="B53" s="52" t="s">
        <v>3892</v>
      </c>
      <c r="C53" s="125" t="s">
        <v>4232</v>
      </c>
      <c r="D53" s="50">
        <v>2026</v>
      </c>
      <c r="E53" s="54">
        <v>46143</v>
      </c>
      <c r="F53" s="54"/>
      <c r="G53" s="55"/>
      <c r="H53" s="16"/>
      <c r="I53" s="16"/>
      <c r="J53" s="16"/>
      <c r="K53" s="16"/>
      <c r="L53" s="16">
        <v>20000</v>
      </c>
      <c r="M53" s="16">
        <v>20000</v>
      </c>
      <c r="N53" s="110"/>
      <c r="O53" s="110"/>
      <c r="P53" s="1">
        <v>350000</v>
      </c>
      <c r="Q53" s="80">
        <v>350000</v>
      </c>
      <c r="R53" s="80">
        <v>370000</v>
      </c>
      <c r="S53" s="80">
        <v>370000</v>
      </c>
    </row>
    <row r="54" spans="1:19">
      <c r="A54" s="50" t="s">
        <v>195</v>
      </c>
      <c r="B54" s="52" t="s">
        <v>196</v>
      </c>
      <c r="C54" s="125" t="s">
        <v>197</v>
      </c>
      <c r="D54" s="50" t="s">
        <v>124</v>
      </c>
      <c r="E54" s="131">
        <v>46023</v>
      </c>
      <c r="F54" s="56"/>
      <c r="G54" s="57">
        <v>100000</v>
      </c>
      <c r="H54" s="58"/>
      <c r="I54" s="14"/>
      <c r="J54" s="10"/>
      <c r="K54" s="119"/>
      <c r="L54" s="119"/>
      <c r="M54" s="119"/>
      <c r="N54" s="111">
        <v>350000</v>
      </c>
      <c r="O54" s="145">
        <v>350000</v>
      </c>
      <c r="P54" s="1">
        <v>350000</v>
      </c>
      <c r="Q54" s="80"/>
      <c r="R54" s="80">
        <v>350000</v>
      </c>
      <c r="S54" s="80"/>
    </row>
    <row r="55" spans="1:19">
      <c r="A55" s="50" t="s">
        <v>4885</v>
      </c>
      <c r="B55" s="52" t="s">
        <v>198</v>
      </c>
      <c r="C55" s="125" t="s">
        <v>199</v>
      </c>
      <c r="D55" s="50" t="s">
        <v>200</v>
      </c>
      <c r="E55" s="131"/>
      <c r="F55" s="56"/>
      <c r="G55" s="57"/>
      <c r="H55" s="205"/>
      <c r="I55" s="14"/>
      <c r="J55" s="10"/>
      <c r="K55" s="106"/>
      <c r="L55" s="106"/>
      <c r="M55" s="106"/>
      <c r="N55" s="111"/>
      <c r="O55" s="145"/>
      <c r="P55" s="1"/>
      <c r="Q55" s="80"/>
      <c r="R55" s="80">
        <v>420000</v>
      </c>
      <c r="S55" s="80">
        <v>420000</v>
      </c>
    </row>
    <row r="56" spans="1:19">
      <c r="A56" s="50" t="s">
        <v>4879</v>
      </c>
      <c r="B56" s="52" t="s">
        <v>198</v>
      </c>
      <c r="C56" s="125" t="s">
        <v>199</v>
      </c>
      <c r="D56" s="50" t="s">
        <v>200</v>
      </c>
      <c r="E56" s="50" t="s">
        <v>201</v>
      </c>
      <c r="F56" s="50"/>
      <c r="G56" s="1">
        <v>350000</v>
      </c>
      <c r="H56">
        <v>0</v>
      </c>
      <c r="I56" s="6">
        <v>20000</v>
      </c>
      <c r="J56" s="6">
        <v>20000</v>
      </c>
      <c r="K56" s="108">
        <v>20000</v>
      </c>
      <c r="L56" s="108">
        <v>20000</v>
      </c>
      <c r="M56" s="108"/>
      <c r="N56" s="112">
        <v>350000</v>
      </c>
      <c r="O56" s="110">
        <v>350000</v>
      </c>
      <c r="P56" s="143">
        <v>350000</v>
      </c>
      <c r="Q56" s="80">
        <v>350000</v>
      </c>
      <c r="R56" s="80"/>
      <c r="S56" s="80"/>
    </row>
    <row r="57" spans="1:19">
      <c r="A57" s="50" t="s">
        <v>4835</v>
      </c>
      <c r="B57" s="52"/>
      <c r="C57" s="125" t="s">
        <v>4837</v>
      </c>
      <c r="D57" s="50" t="s">
        <v>4838</v>
      </c>
      <c r="E57" s="200">
        <v>46189</v>
      </c>
      <c r="F57" s="50"/>
      <c r="G57" s="1">
        <v>350000</v>
      </c>
      <c r="H57"/>
      <c r="I57" s="6"/>
      <c r="J57" s="6"/>
      <c r="K57" s="108"/>
      <c r="L57" s="108"/>
      <c r="M57" s="108">
        <v>720000</v>
      </c>
      <c r="N57" s="112"/>
      <c r="O57" s="110"/>
      <c r="P57" s="143"/>
      <c r="Q57" s="80"/>
      <c r="R57" s="80"/>
      <c r="S57" s="80"/>
    </row>
    <row r="58" spans="1:19" ht="15">
      <c r="A58" s="59" t="s">
        <v>202</v>
      </c>
      <c r="B58" s="60" t="s">
        <v>203</v>
      </c>
      <c r="C58" s="126" t="s">
        <v>204</v>
      </c>
      <c r="D58" s="59" t="s">
        <v>205</v>
      </c>
      <c r="E58" s="61" t="s">
        <v>206</v>
      </c>
      <c r="F58" s="61"/>
      <c r="G58" s="1">
        <v>100000</v>
      </c>
      <c r="H58" s="16">
        <v>16000</v>
      </c>
      <c r="I58" s="10">
        <v>20000</v>
      </c>
      <c r="J58" s="14">
        <v>20000</v>
      </c>
      <c r="K58" s="14"/>
      <c r="L58" s="14"/>
      <c r="M58" s="14"/>
      <c r="N58" s="147">
        <v>200000</v>
      </c>
      <c r="O58" s="110">
        <v>0</v>
      </c>
      <c r="P58" s="1"/>
      <c r="Q58" s="80"/>
      <c r="R58" s="80">
        <v>550000</v>
      </c>
      <c r="S58" s="80">
        <v>275000</v>
      </c>
    </row>
    <row r="59" spans="1:19" ht="15">
      <c r="A59" s="59"/>
      <c r="B59" s="60"/>
      <c r="C59" s="126"/>
      <c r="D59" s="59"/>
      <c r="E59" s="59"/>
      <c r="F59" s="61"/>
      <c r="G59" s="1"/>
      <c r="H59" s="16"/>
      <c r="I59" s="14"/>
      <c r="J59" s="14"/>
      <c r="K59" s="14"/>
      <c r="L59" s="14"/>
      <c r="M59" s="14"/>
      <c r="N59" s="1"/>
      <c r="O59" s="1"/>
      <c r="P59" s="1"/>
      <c r="Q59" s="80"/>
      <c r="R59" s="80"/>
      <c r="S59" s="80"/>
    </row>
    <row r="60" spans="1:19">
      <c r="A60" s="146" t="s">
        <v>51</v>
      </c>
      <c r="B60" s="1"/>
      <c r="C60" s="120"/>
      <c r="D60" s="1"/>
      <c r="E60" s="1"/>
      <c r="F60" s="1"/>
      <c r="G60" s="1">
        <f>SUM(G46:G59)</f>
        <v>2450000</v>
      </c>
      <c r="H60" s="1">
        <f>SUM(H46:H59)</f>
        <v>72000</v>
      </c>
      <c r="I60" s="1">
        <f>SUM(I46:I59)</f>
        <v>96000</v>
      </c>
      <c r="J60" s="1">
        <f>SUM(J46:J59)</f>
        <v>76000</v>
      </c>
      <c r="K60" s="1">
        <f>SUM(K46:K59)</f>
        <v>20000</v>
      </c>
      <c r="L60" s="1"/>
      <c r="M60" s="1"/>
      <c r="N60" s="1">
        <f t="shared" ref="N60:S60" si="1">SUM(N46:N59)</f>
        <v>2050000</v>
      </c>
      <c r="O60" s="1">
        <f t="shared" si="1"/>
        <v>1850000</v>
      </c>
      <c r="P60" s="1">
        <f t="shared" si="1"/>
        <v>1800000</v>
      </c>
      <c r="Q60" s="1">
        <f t="shared" si="1"/>
        <v>1285000</v>
      </c>
      <c r="R60" s="1">
        <f t="shared" si="1"/>
        <v>1865000</v>
      </c>
      <c r="S60" s="1">
        <f t="shared" si="1"/>
        <v>1835000</v>
      </c>
    </row>
    <row r="61" spans="1:19">
      <c r="E61"/>
      <c r="F61"/>
    </row>
    <row r="62" spans="1:19">
      <c r="H62" s="78">
        <f t="shared" ref="H62:N62" si="2">+H39+H60</f>
        <v>452000</v>
      </c>
      <c r="I62" s="78">
        <f t="shared" si="2"/>
        <v>96000</v>
      </c>
      <c r="J62" s="78">
        <f t="shared" si="2"/>
        <v>76000</v>
      </c>
      <c r="K62" s="78">
        <f t="shared" si="2"/>
        <v>20000</v>
      </c>
      <c r="L62" s="78">
        <f t="shared" si="2"/>
        <v>0</v>
      </c>
      <c r="M62" s="78">
        <f t="shared" si="2"/>
        <v>0</v>
      </c>
      <c r="N62" s="78">
        <f t="shared" si="2"/>
        <v>11000000</v>
      </c>
      <c r="O62" s="78">
        <f t="shared" ref="O62:R62" si="3">+O39+O60</f>
        <v>10320000</v>
      </c>
      <c r="P62" s="78">
        <f t="shared" si="3"/>
        <v>10575000</v>
      </c>
      <c r="Q62" s="78">
        <f t="shared" si="3"/>
        <v>8835000</v>
      </c>
      <c r="R62" s="78">
        <f t="shared" si="3"/>
        <v>9905000</v>
      </c>
      <c r="S62" s="78">
        <f>+S39+S60</f>
        <v>12994000</v>
      </c>
    </row>
  </sheetData>
  <mergeCells count="4">
    <mergeCell ref="C1:H1"/>
    <mergeCell ref="H3:I3"/>
    <mergeCell ref="N3:Q3"/>
    <mergeCell ref="H44:J4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16"/>
  <sheetViews>
    <sheetView topLeftCell="B4" zoomScale="205" zoomScaleNormal="205" workbookViewId="0">
      <selection activeCell="B4" sqref="B4"/>
    </sheetView>
  </sheetViews>
  <sheetFormatPr defaultRowHeight="14.25"/>
  <cols>
    <col min="2" max="2" width="11.75" customWidth="1"/>
    <col min="3" max="3" width="21.25" style="122" customWidth="1"/>
    <col min="4" max="5" width="11.375" customWidth="1"/>
    <col min="6" max="6" width="10.5" customWidth="1"/>
    <col min="13" max="13" width="10.125" bestFit="1" customWidth="1"/>
  </cols>
  <sheetData>
    <row r="2" spans="1:18" ht="30.75" thickBot="1">
      <c r="C2" s="121" t="s">
        <v>170</v>
      </c>
      <c r="D2" s="1" t="s">
        <v>171</v>
      </c>
      <c r="E2" s="105"/>
    </row>
    <row r="3" spans="1:18" ht="15" thickBot="1">
      <c r="H3" s="212" t="s">
        <v>60</v>
      </c>
      <c r="I3" s="213"/>
      <c r="J3" s="214"/>
      <c r="K3" s="107"/>
      <c r="L3" s="107"/>
      <c r="M3" s="212" t="s">
        <v>172</v>
      </c>
      <c r="N3" s="213"/>
      <c r="O3" s="214"/>
      <c r="P3" s="110"/>
      <c r="Q3" s="1"/>
    </row>
    <row r="4" spans="1:18" ht="42.75">
      <c r="A4" s="1" t="s">
        <v>54</v>
      </c>
      <c r="B4" s="1" t="s">
        <v>173</v>
      </c>
      <c r="C4" s="120" t="s">
        <v>174</v>
      </c>
      <c r="D4" s="1" t="s">
        <v>57</v>
      </c>
      <c r="E4" s="120" t="s">
        <v>58</v>
      </c>
      <c r="F4" s="120" t="s">
        <v>221</v>
      </c>
      <c r="G4" s="43" t="s">
        <v>175</v>
      </c>
      <c r="H4" s="44" t="s">
        <v>176</v>
      </c>
      <c r="I4" s="44" t="s">
        <v>177</v>
      </c>
      <c r="J4" s="44" t="s">
        <v>64</v>
      </c>
      <c r="K4" s="44" t="s">
        <v>222</v>
      </c>
      <c r="L4" s="44" t="s">
        <v>3443</v>
      </c>
      <c r="M4" s="45" t="s">
        <v>178</v>
      </c>
      <c r="N4" s="45" t="s">
        <v>179</v>
      </c>
      <c r="O4" s="109" t="s">
        <v>64</v>
      </c>
      <c r="P4" s="144" t="s">
        <v>220</v>
      </c>
      <c r="Q4" s="8" t="s">
        <v>3443</v>
      </c>
    </row>
    <row r="5" spans="1:18" ht="28.5">
      <c r="A5" s="46" t="s">
        <v>180</v>
      </c>
      <c r="B5" s="47" t="s">
        <v>181</v>
      </c>
      <c r="C5" s="123" t="s">
        <v>3430</v>
      </c>
      <c r="D5" s="46" t="s">
        <v>124</v>
      </c>
      <c r="E5" s="46" t="s">
        <v>182</v>
      </c>
      <c r="F5" s="46"/>
      <c r="G5" s="49">
        <v>100000</v>
      </c>
      <c r="H5" s="16">
        <v>20000</v>
      </c>
      <c r="I5" s="16">
        <v>20000</v>
      </c>
      <c r="J5" s="16"/>
      <c r="K5" s="16"/>
      <c r="L5" s="16"/>
      <c r="M5" s="1">
        <v>400000</v>
      </c>
      <c r="N5" s="1">
        <v>400000</v>
      </c>
      <c r="O5" s="110">
        <v>400000</v>
      </c>
      <c r="P5" s="110">
        <v>400000</v>
      </c>
      <c r="Q5" s="1"/>
    </row>
    <row r="6" spans="1:18" ht="42.75">
      <c r="A6" s="50" t="s">
        <v>183</v>
      </c>
      <c r="B6" s="47" t="s">
        <v>184</v>
      </c>
      <c r="C6" s="124" t="s">
        <v>185</v>
      </c>
      <c r="D6" s="50" t="s">
        <v>124</v>
      </c>
      <c r="E6" s="50" t="s">
        <v>186</v>
      </c>
      <c r="F6" s="53">
        <v>46130</v>
      </c>
      <c r="G6" s="48">
        <v>350000</v>
      </c>
      <c r="H6" s="14">
        <v>20000</v>
      </c>
      <c r="I6" s="14">
        <v>20000</v>
      </c>
      <c r="J6" s="14"/>
      <c r="K6" s="14"/>
      <c r="L6" s="14"/>
      <c r="M6" s="1">
        <v>350000</v>
      </c>
      <c r="N6" s="1">
        <v>350000</v>
      </c>
      <c r="O6" s="110">
        <v>350000</v>
      </c>
      <c r="P6" s="110">
        <v>350000</v>
      </c>
      <c r="Q6" s="1"/>
    </row>
    <row r="7" spans="1:18" ht="28.5">
      <c r="A7" s="50" t="s">
        <v>187</v>
      </c>
      <c r="B7" s="52" t="s">
        <v>188</v>
      </c>
      <c r="C7" s="125" t="s">
        <v>189</v>
      </c>
      <c r="D7" s="50" t="s">
        <v>190</v>
      </c>
      <c r="E7" s="53">
        <v>46033</v>
      </c>
      <c r="F7" s="53">
        <v>46064</v>
      </c>
      <c r="G7" s="48"/>
      <c r="H7" s="14"/>
      <c r="I7" s="14"/>
      <c r="J7" s="14"/>
      <c r="K7" s="14"/>
      <c r="L7" s="14"/>
      <c r="M7" s="1">
        <v>350000</v>
      </c>
      <c r="N7" s="1">
        <v>200000</v>
      </c>
      <c r="O7" s="110">
        <v>0</v>
      </c>
      <c r="P7" s="110">
        <v>0</v>
      </c>
      <c r="Q7" s="1"/>
    </row>
    <row r="8" spans="1:18">
      <c r="A8" s="50" t="s">
        <v>3442</v>
      </c>
      <c r="B8" s="52" t="s">
        <v>3892</v>
      </c>
      <c r="C8" s="125"/>
      <c r="D8" s="50"/>
      <c r="E8" s="53"/>
      <c r="F8" s="53"/>
      <c r="G8" s="48"/>
      <c r="H8" s="14"/>
      <c r="I8" s="14"/>
      <c r="J8" s="14"/>
      <c r="K8" s="14"/>
      <c r="L8" s="14"/>
      <c r="M8" s="1"/>
      <c r="N8" s="1"/>
      <c r="O8" s="110"/>
      <c r="P8" s="110">
        <v>185000</v>
      </c>
      <c r="Q8" s="1">
        <v>175000</v>
      </c>
    </row>
    <row r="9" spans="1:18" ht="15">
      <c r="A9" s="50" t="s">
        <v>191</v>
      </c>
      <c r="B9" s="52" t="s">
        <v>192</v>
      </c>
      <c r="C9" s="125" t="s">
        <v>193</v>
      </c>
      <c r="D9" s="50" t="s">
        <v>194</v>
      </c>
      <c r="E9" s="54">
        <v>45837</v>
      </c>
      <c r="F9" s="54">
        <v>46112</v>
      </c>
      <c r="G9" s="55">
        <v>400000</v>
      </c>
      <c r="H9" s="16">
        <v>16000</v>
      </c>
      <c r="I9" s="16">
        <v>16000</v>
      </c>
      <c r="J9" s="16">
        <v>16000</v>
      </c>
      <c r="K9" s="16"/>
      <c r="L9" s="16"/>
      <c r="M9" s="1">
        <v>400000</v>
      </c>
      <c r="N9" s="1">
        <v>400000</v>
      </c>
      <c r="O9" s="110">
        <v>400000</v>
      </c>
      <c r="P9" s="110">
        <v>0</v>
      </c>
      <c r="Q9" s="1"/>
    </row>
    <row r="10" spans="1:18" ht="15">
      <c r="A10" s="50" t="s">
        <v>3890</v>
      </c>
      <c r="B10" s="52" t="s">
        <v>3892</v>
      </c>
      <c r="C10" s="125" t="s">
        <v>3891</v>
      </c>
      <c r="D10" s="50">
        <v>2026</v>
      </c>
      <c r="E10" s="54">
        <v>46143</v>
      </c>
      <c r="F10" s="54"/>
      <c r="G10" s="55"/>
      <c r="H10" s="16"/>
      <c r="I10" s="16"/>
      <c r="J10" s="16"/>
      <c r="K10" s="16"/>
      <c r="L10" s="16">
        <v>20000</v>
      </c>
      <c r="M10" s="1"/>
      <c r="N10" s="1"/>
      <c r="O10" s="110"/>
      <c r="P10" s="110"/>
      <c r="Q10" s="1">
        <v>350000</v>
      </c>
      <c r="R10">
        <v>350000</v>
      </c>
    </row>
    <row r="11" spans="1:18">
      <c r="A11" s="50" t="s">
        <v>195</v>
      </c>
      <c r="B11" s="52" t="s">
        <v>196</v>
      </c>
      <c r="C11" s="125" t="s">
        <v>197</v>
      </c>
      <c r="D11" s="50" t="s">
        <v>124</v>
      </c>
      <c r="E11" s="131">
        <v>46023</v>
      </c>
      <c r="F11" s="56"/>
      <c r="G11" s="57">
        <v>100000</v>
      </c>
      <c r="H11" s="58">
        <v>20000</v>
      </c>
      <c r="I11" s="14">
        <v>20000</v>
      </c>
      <c r="J11" s="10">
        <v>20000</v>
      </c>
      <c r="K11" s="119">
        <v>20000</v>
      </c>
      <c r="L11" s="119"/>
      <c r="M11" s="6">
        <v>350000</v>
      </c>
      <c r="N11" s="1">
        <v>350000</v>
      </c>
      <c r="O11" s="111">
        <v>350000</v>
      </c>
      <c r="P11" s="145">
        <v>350000</v>
      </c>
      <c r="Q11" s="1">
        <v>350000</v>
      </c>
    </row>
    <row r="12" spans="1:18">
      <c r="A12" s="50" t="s">
        <v>3893</v>
      </c>
      <c r="B12" s="52" t="s">
        <v>198</v>
      </c>
      <c r="C12" s="125" t="s">
        <v>199</v>
      </c>
      <c r="D12" s="50" t="s">
        <v>200</v>
      </c>
      <c r="E12" s="50" t="s">
        <v>201</v>
      </c>
      <c r="F12" s="50" t="s">
        <v>201</v>
      </c>
      <c r="G12" s="1">
        <v>350000</v>
      </c>
      <c r="H12">
        <v>0</v>
      </c>
      <c r="I12" s="6">
        <v>20000</v>
      </c>
      <c r="J12" s="6">
        <v>20000</v>
      </c>
      <c r="K12" s="108">
        <v>20000</v>
      </c>
      <c r="L12" s="108">
        <v>20000</v>
      </c>
      <c r="M12" s="74">
        <v>0</v>
      </c>
      <c r="N12" s="6">
        <v>350000</v>
      </c>
      <c r="O12" s="112">
        <v>350000</v>
      </c>
      <c r="P12" s="110">
        <v>350000</v>
      </c>
      <c r="Q12" s="143">
        <v>400000</v>
      </c>
    </row>
    <row r="13" spans="1:18" ht="15">
      <c r="A13" s="59" t="s">
        <v>202</v>
      </c>
      <c r="B13" s="60" t="s">
        <v>203</v>
      </c>
      <c r="C13" s="126" t="s">
        <v>204</v>
      </c>
      <c r="D13" s="59" t="s">
        <v>205</v>
      </c>
      <c r="E13" s="59"/>
      <c r="F13" s="61" t="s">
        <v>206</v>
      </c>
      <c r="G13" s="1">
        <v>100000</v>
      </c>
      <c r="H13" s="16">
        <v>16000</v>
      </c>
      <c r="I13" s="10">
        <v>20000</v>
      </c>
      <c r="J13" s="14">
        <v>20000</v>
      </c>
      <c r="K13" s="14"/>
      <c r="L13" s="14"/>
      <c r="M13" s="16">
        <v>350000</v>
      </c>
      <c r="N13" s="137">
        <v>350000</v>
      </c>
      <c r="O13" s="147">
        <v>200000</v>
      </c>
      <c r="P13" s="110">
        <v>0</v>
      </c>
      <c r="Q13" s="1"/>
    </row>
    <row r="14" spans="1:18" ht="15">
      <c r="A14" s="59"/>
      <c r="B14" s="60"/>
      <c r="C14" s="126"/>
      <c r="D14" s="59"/>
      <c r="E14" s="59"/>
      <c r="F14" s="61"/>
      <c r="G14" s="1"/>
      <c r="H14" s="16"/>
      <c r="I14" s="14"/>
      <c r="J14" s="14"/>
      <c r="K14" s="14"/>
      <c r="L14" s="14"/>
      <c r="M14" s="16"/>
      <c r="N14" s="1"/>
      <c r="O14" s="1"/>
      <c r="P14" s="1"/>
      <c r="Q14" s="1"/>
    </row>
    <row r="15" spans="1:18">
      <c r="A15" s="146" t="s">
        <v>51</v>
      </c>
      <c r="B15" s="1"/>
      <c r="C15" s="120"/>
      <c r="D15" s="1"/>
      <c r="E15" s="1"/>
      <c r="F15" s="1"/>
      <c r="G15" s="1">
        <f>SUM(G5:G14)</f>
        <v>1400000</v>
      </c>
      <c r="H15" s="1">
        <f t="shared" ref="H15:Q15" si="0">SUM(H5:H14)</f>
        <v>92000</v>
      </c>
      <c r="I15" s="1">
        <f t="shared" si="0"/>
        <v>116000</v>
      </c>
      <c r="J15" s="1">
        <f t="shared" si="0"/>
        <v>76000</v>
      </c>
      <c r="K15" s="1">
        <f t="shared" si="0"/>
        <v>40000</v>
      </c>
      <c r="L15" s="1"/>
      <c r="M15" s="1">
        <f t="shared" si="0"/>
        <v>2200000</v>
      </c>
      <c r="N15" s="1">
        <f t="shared" si="0"/>
        <v>2400000</v>
      </c>
      <c r="O15" s="1">
        <f t="shared" si="0"/>
        <v>2050000</v>
      </c>
      <c r="P15" s="1">
        <f t="shared" si="0"/>
        <v>1635000</v>
      </c>
      <c r="Q15" s="1">
        <f t="shared" si="0"/>
        <v>1275000</v>
      </c>
    </row>
    <row r="16" spans="1:18">
      <c r="M16" s="32"/>
    </row>
  </sheetData>
  <mergeCells count="2">
    <mergeCell ref="H3:J3"/>
    <mergeCell ref="M3:O3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workbookViewId="0">
      <selection activeCell="G29" sqref="G29"/>
    </sheetView>
  </sheetViews>
  <sheetFormatPr defaultRowHeight="14.25"/>
  <cols>
    <col min="1" max="1" width="6.375" bestFit="1" customWidth="1"/>
    <col min="2" max="2" width="25.5" bestFit="1" customWidth="1"/>
    <col min="3" max="3" width="10.125" bestFit="1" customWidth="1"/>
    <col min="4" max="4" width="16.625" customWidth="1"/>
    <col min="5" max="6" width="10.125" bestFit="1" customWidth="1"/>
    <col min="7" max="7" width="26.375" bestFit="1" customWidth="1"/>
  </cols>
  <sheetData>
    <row r="2" spans="1:7" ht="15.75" thickBot="1">
      <c r="B2" s="33" t="s">
        <v>149</v>
      </c>
      <c r="D2" s="7"/>
    </row>
    <row r="3" spans="1:7" ht="15.75" thickBot="1">
      <c r="B3" s="33" t="s">
        <v>150</v>
      </c>
      <c r="C3" s="216" t="s">
        <v>151</v>
      </c>
      <c r="D3" s="217"/>
      <c r="E3" s="216" t="s">
        <v>152</v>
      </c>
      <c r="F3" s="217"/>
      <c r="G3" s="33" t="s">
        <v>153</v>
      </c>
    </row>
    <row r="4" spans="1:7" ht="15">
      <c r="A4" s="34" t="s">
        <v>72</v>
      </c>
      <c r="B4" s="1" t="s">
        <v>74</v>
      </c>
      <c r="C4" s="66">
        <v>40000</v>
      </c>
      <c r="D4" s="69" t="s">
        <v>154</v>
      </c>
      <c r="E4" s="70">
        <v>400000</v>
      </c>
      <c r="F4" s="66" t="s">
        <v>155</v>
      </c>
      <c r="G4" s="15">
        <v>45962</v>
      </c>
    </row>
    <row r="5" spans="1:7" ht="15">
      <c r="A5" s="35" t="s">
        <v>156</v>
      </c>
      <c r="B5" s="36" t="s">
        <v>77</v>
      </c>
      <c r="C5" s="37">
        <v>20000</v>
      </c>
      <c r="D5" s="6" t="s">
        <v>155</v>
      </c>
      <c r="E5" s="1">
        <v>300000</v>
      </c>
      <c r="F5" s="18" t="s">
        <v>155</v>
      </c>
      <c r="G5" s="15">
        <v>45935</v>
      </c>
    </row>
    <row r="6" spans="1:7" ht="15">
      <c r="A6" s="35" t="s">
        <v>78</v>
      </c>
      <c r="B6" s="36" t="s">
        <v>157</v>
      </c>
      <c r="C6" s="37"/>
      <c r="D6" s="6"/>
      <c r="E6" s="1">
        <v>200000</v>
      </c>
      <c r="F6" s="18" t="s">
        <v>155</v>
      </c>
      <c r="G6" s="15">
        <v>45936</v>
      </c>
    </row>
    <row r="7" spans="1:7" ht="15">
      <c r="A7" s="35" t="s">
        <v>82</v>
      </c>
      <c r="B7" s="1" t="s">
        <v>158</v>
      </c>
      <c r="C7" s="37">
        <f>180000+60000+60000+60000</f>
        <v>360000</v>
      </c>
      <c r="D7" s="37" t="s">
        <v>159</v>
      </c>
      <c r="E7" s="37">
        <v>1000000</v>
      </c>
      <c r="F7" s="18" t="s">
        <v>155</v>
      </c>
      <c r="G7" s="27">
        <v>45931</v>
      </c>
    </row>
    <row r="8" spans="1:7" ht="15">
      <c r="A8" s="35" t="s">
        <v>86</v>
      </c>
      <c r="B8" s="1" t="s">
        <v>87</v>
      </c>
      <c r="C8" s="37">
        <f>40000*3</f>
        <v>120000</v>
      </c>
      <c r="D8" s="37" t="s">
        <v>160</v>
      </c>
      <c r="E8" s="11">
        <v>750000</v>
      </c>
      <c r="F8" s="1" t="s">
        <v>161</v>
      </c>
      <c r="G8" s="9" t="s">
        <v>88</v>
      </c>
    </row>
    <row r="9" spans="1:7" ht="15">
      <c r="A9" s="35"/>
      <c r="B9" s="1"/>
      <c r="C9" s="37"/>
      <c r="D9" s="37"/>
      <c r="E9" s="4">
        <v>750000</v>
      </c>
      <c r="F9" s="1" t="s">
        <v>162</v>
      </c>
      <c r="G9" s="9"/>
    </row>
    <row r="10" spans="1:7" ht="15">
      <c r="A10" s="34" t="s">
        <v>89</v>
      </c>
      <c r="B10" s="1" t="s">
        <v>91</v>
      </c>
      <c r="C10" s="1">
        <v>60000</v>
      </c>
      <c r="D10" s="6" t="s">
        <v>163</v>
      </c>
      <c r="E10" s="1"/>
      <c r="F10" s="18"/>
      <c r="G10" s="9">
        <v>45935</v>
      </c>
    </row>
    <row r="11" spans="1:7" ht="15">
      <c r="A11" s="34" t="s">
        <v>93</v>
      </c>
      <c r="B11" s="1" t="s">
        <v>158</v>
      </c>
      <c r="C11" s="1">
        <f>120000+60000+60000</f>
        <v>240000</v>
      </c>
      <c r="D11" s="6" t="s">
        <v>164</v>
      </c>
      <c r="E11" s="1">
        <v>800000</v>
      </c>
      <c r="F11" s="1" t="s">
        <v>155</v>
      </c>
      <c r="G11" s="22">
        <v>45669</v>
      </c>
    </row>
    <row r="12" spans="1:7" ht="15">
      <c r="A12" s="34" t="s">
        <v>165</v>
      </c>
      <c r="B12" s="1" t="s">
        <v>158</v>
      </c>
      <c r="C12" s="1">
        <v>40000</v>
      </c>
      <c r="D12" s="6" t="s">
        <v>155</v>
      </c>
      <c r="E12" s="1">
        <v>500000</v>
      </c>
      <c r="F12" s="1" t="s">
        <v>155</v>
      </c>
      <c r="G12" s="38">
        <v>46023</v>
      </c>
    </row>
    <row r="13" spans="1:7" ht="15">
      <c r="A13" s="34" t="s">
        <v>1</v>
      </c>
      <c r="B13" s="1" t="s">
        <v>166</v>
      </c>
      <c r="C13" s="1">
        <v>30000</v>
      </c>
      <c r="D13" s="6" t="s">
        <v>167</v>
      </c>
      <c r="E13" s="1"/>
      <c r="F13" s="1"/>
      <c r="G13" s="39" t="s">
        <v>168</v>
      </c>
    </row>
    <row r="14" spans="1:7" ht="15">
      <c r="A14" s="34" t="s">
        <v>106</v>
      </c>
      <c r="B14" s="1" t="s">
        <v>157</v>
      </c>
      <c r="C14" s="1">
        <v>30000</v>
      </c>
      <c r="D14" s="6" t="s">
        <v>155</v>
      </c>
      <c r="E14" s="1">
        <v>300000</v>
      </c>
      <c r="F14" s="1" t="s">
        <v>155</v>
      </c>
      <c r="G14" s="39">
        <v>45936</v>
      </c>
    </row>
    <row r="15" spans="1:7" ht="15">
      <c r="A15" s="34" t="s">
        <v>108</v>
      </c>
      <c r="B15" s="1" t="s">
        <v>110</v>
      </c>
      <c r="C15" s="1">
        <v>30000</v>
      </c>
      <c r="D15" s="6" t="s">
        <v>155</v>
      </c>
      <c r="E15" s="1"/>
      <c r="F15" s="1"/>
      <c r="G15" s="40">
        <v>45932</v>
      </c>
    </row>
    <row r="16" spans="1:7">
      <c r="C16" s="41">
        <f>SUM(C4:C15)</f>
        <v>970000</v>
      </c>
      <c r="E16" s="41">
        <f>SUM(E4:E15)</f>
        <v>5000000</v>
      </c>
    </row>
    <row r="17" spans="1:11" ht="15">
      <c r="F17" s="42">
        <f>E16+C16</f>
        <v>5970000</v>
      </c>
      <c r="G17" t="s">
        <v>169</v>
      </c>
    </row>
    <row r="18" spans="1:11" ht="15">
      <c r="F18" s="42"/>
    </row>
    <row r="19" spans="1:11" ht="15" thickBot="1"/>
    <row r="20" spans="1:11" ht="15.75" thickBot="1">
      <c r="B20" s="33" t="s">
        <v>207</v>
      </c>
      <c r="C20" s="63"/>
      <c r="D20" s="64" t="s">
        <v>151</v>
      </c>
      <c r="E20" s="63"/>
      <c r="F20" s="64" t="s">
        <v>208</v>
      </c>
      <c r="G20" s="62" t="s">
        <v>209</v>
      </c>
    </row>
    <row r="21" spans="1:11">
      <c r="A21" s="1" t="s">
        <v>183</v>
      </c>
      <c r="B21" s="65" t="s">
        <v>185</v>
      </c>
      <c r="C21" s="66">
        <v>40000</v>
      </c>
      <c r="D21" s="66" t="s">
        <v>210</v>
      </c>
      <c r="E21" s="66"/>
      <c r="F21" s="66"/>
      <c r="G21" s="50" t="s">
        <v>186</v>
      </c>
    </row>
    <row r="22" spans="1:11">
      <c r="A22" s="1" t="s">
        <v>195</v>
      </c>
      <c r="B22" s="51" t="s">
        <v>197</v>
      </c>
      <c r="C22" s="1">
        <v>60000</v>
      </c>
      <c r="D22" s="1" t="s">
        <v>211</v>
      </c>
      <c r="E22" s="1">
        <v>350000</v>
      </c>
      <c r="F22" s="1" t="s">
        <v>212</v>
      </c>
      <c r="G22" s="53">
        <v>46023</v>
      </c>
    </row>
    <row r="23" spans="1:11" ht="15">
      <c r="A23" s="67" t="s">
        <v>202</v>
      </c>
      <c r="B23" s="1" t="s">
        <v>204</v>
      </c>
      <c r="C23" s="1">
        <v>40000</v>
      </c>
      <c r="D23" s="1" t="s">
        <v>213</v>
      </c>
      <c r="E23" s="1">
        <v>700000</v>
      </c>
      <c r="F23" s="1" t="s">
        <v>214</v>
      </c>
      <c r="G23" s="61" t="s">
        <v>206</v>
      </c>
    </row>
    <row r="24" spans="1:11" ht="15">
      <c r="A24" s="215"/>
      <c r="B24" s="215"/>
      <c r="C24">
        <f>SUM(C21:C23)</f>
        <v>140000</v>
      </c>
      <c r="E24">
        <f>SUM(E21:E23)</f>
        <v>1050000</v>
      </c>
    </row>
    <row r="25" spans="1:11" ht="15">
      <c r="A25" s="215"/>
      <c r="B25" s="215"/>
      <c r="C25" s="71"/>
      <c r="G25" s="68">
        <f>E24+C24</f>
        <v>1190000</v>
      </c>
      <c r="H25" t="s">
        <v>215</v>
      </c>
    </row>
    <row r="27" spans="1:11" ht="15">
      <c r="G27" s="73">
        <f>F17+G25</f>
        <v>7160000</v>
      </c>
      <c r="H27" s="72" t="s">
        <v>216</v>
      </c>
      <c r="I27" s="72"/>
      <c r="J27" s="72"/>
      <c r="K27" s="72"/>
    </row>
  </sheetData>
  <mergeCells count="4">
    <mergeCell ref="A24:B24"/>
    <mergeCell ref="A25:B25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6"/>
  <sheetViews>
    <sheetView topLeftCell="D472" zoomScale="115" zoomScaleNormal="115" workbookViewId="0">
      <selection activeCell="F276" sqref="F276"/>
    </sheetView>
  </sheetViews>
  <sheetFormatPr defaultColWidth="14.75" defaultRowHeight="14.25"/>
  <cols>
    <col min="2" max="2" width="6.875" customWidth="1"/>
    <col min="3" max="3" width="9.75" customWidth="1"/>
    <col min="6" max="6" width="56.875" style="122" customWidth="1"/>
    <col min="8" max="8" width="14.75" style="174"/>
  </cols>
  <sheetData>
    <row r="1" spans="1:19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20" t="s">
        <v>228</v>
      </c>
      <c r="G1" s="1" t="s">
        <v>229</v>
      </c>
      <c r="H1" s="156" t="s">
        <v>230</v>
      </c>
      <c r="I1" s="1" t="s">
        <v>231</v>
      </c>
      <c r="J1" s="1" t="s">
        <v>4240</v>
      </c>
      <c r="K1" s="1" t="s">
        <v>4222</v>
      </c>
      <c r="L1" s="1" t="s">
        <v>4241</v>
      </c>
      <c r="M1" s="1" t="s">
        <v>4242</v>
      </c>
      <c r="N1" s="1" t="s">
        <v>4243</v>
      </c>
      <c r="O1" s="1" t="s">
        <v>4037</v>
      </c>
      <c r="P1" s="1" t="s">
        <v>4244</v>
      </c>
      <c r="Q1" s="1" t="s">
        <v>4245</v>
      </c>
      <c r="R1" s="1" t="s">
        <v>4246</v>
      </c>
      <c r="S1" s="1" t="s">
        <v>4247</v>
      </c>
    </row>
    <row r="2" spans="1:19">
      <c r="A2" s="1" t="s">
        <v>239</v>
      </c>
      <c r="B2" s="1" t="s">
        <v>240</v>
      </c>
      <c r="C2" s="1" t="s">
        <v>2075</v>
      </c>
      <c r="D2" s="5">
        <v>46023</v>
      </c>
      <c r="E2" s="5">
        <v>46023</v>
      </c>
      <c r="F2" s="120" t="s">
        <v>4248</v>
      </c>
      <c r="G2" s="1">
        <v>700000</v>
      </c>
      <c r="H2" s="156"/>
      <c r="I2" s="1" t="s">
        <v>2077</v>
      </c>
      <c r="J2" s="1" t="s">
        <v>1307</v>
      </c>
      <c r="K2" s="1"/>
      <c r="L2" s="1"/>
      <c r="M2" s="1"/>
      <c r="N2" s="1"/>
      <c r="O2" s="1"/>
      <c r="P2" s="1"/>
      <c r="Q2" s="1"/>
      <c r="R2" s="1"/>
      <c r="S2" s="1"/>
    </row>
    <row r="3" spans="1:19" ht="28.5">
      <c r="A3" s="1" t="s">
        <v>239</v>
      </c>
      <c r="B3" s="1" t="s">
        <v>240</v>
      </c>
      <c r="C3" s="1" t="s">
        <v>2078</v>
      </c>
      <c r="D3" s="5">
        <v>46023</v>
      </c>
      <c r="E3" s="5">
        <v>46023</v>
      </c>
      <c r="F3" s="120" t="s">
        <v>2079</v>
      </c>
      <c r="G3" s="1"/>
      <c r="H3" s="173">
        <v>100</v>
      </c>
      <c r="I3" s="1" t="s">
        <v>2080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42.75">
      <c r="A4" s="1" t="s">
        <v>239</v>
      </c>
      <c r="B4" s="1" t="s">
        <v>240</v>
      </c>
      <c r="C4" s="1" t="s">
        <v>2078</v>
      </c>
      <c r="D4" s="5">
        <v>46023</v>
      </c>
      <c r="E4" s="5">
        <v>46023</v>
      </c>
      <c r="F4" s="120" t="s">
        <v>2081</v>
      </c>
      <c r="G4" s="1"/>
      <c r="H4" s="156">
        <v>10000</v>
      </c>
      <c r="I4" s="1" t="s">
        <v>2082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42.75">
      <c r="A5" s="1" t="s">
        <v>239</v>
      </c>
      <c r="B5" s="1" t="s">
        <v>240</v>
      </c>
      <c r="C5" s="1" t="s">
        <v>2083</v>
      </c>
      <c r="D5" s="5">
        <v>46024</v>
      </c>
      <c r="E5" s="5">
        <v>46024</v>
      </c>
      <c r="F5" s="120" t="s">
        <v>2084</v>
      </c>
      <c r="G5" s="1"/>
      <c r="H5" s="156">
        <v>550000</v>
      </c>
      <c r="I5" s="1" t="s">
        <v>2086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8.5">
      <c r="A6" s="1" t="s">
        <v>239</v>
      </c>
      <c r="B6" s="1" t="s">
        <v>240</v>
      </c>
      <c r="C6" s="1" t="s">
        <v>2087</v>
      </c>
      <c r="D6" s="5">
        <v>46024</v>
      </c>
      <c r="E6" s="5">
        <v>46024</v>
      </c>
      <c r="F6" s="120" t="s">
        <v>2088</v>
      </c>
      <c r="G6" s="1">
        <v>1016500</v>
      </c>
      <c r="H6" s="156"/>
      <c r="I6" s="1" t="s">
        <v>2090</v>
      </c>
      <c r="J6" s="1"/>
      <c r="K6" s="1" t="s">
        <v>2089</v>
      </c>
      <c r="L6" s="1"/>
      <c r="M6" s="1"/>
      <c r="N6" s="1"/>
      <c r="O6" s="1"/>
      <c r="P6" s="1"/>
      <c r="Q6" s="1"/>
      <c r="R6" s="1"/>
      <c r="S6" s="1"/>
    </row>
    <row r="7" spans="1:19">
      <c r="A7" s="1" t="s">
        <v>239</v>
      </c>
      <c r="B7" s="1" t="s">
        <v>240</v>
      </c>
      <c r="C7" s="1" t="s">
        <v>2091</v>
      </c>
      <c r="D7" s="5">
        <v>46024</v>
      </c>
      <c r="E7" s="5">
        <v>46024</v>
      </c>
      <c r="F7" s="120" t="s">
        <v>4249</v>
      </c>
      <c r="G7" s="1">
        <v>490000</v>
      </c>
      <c r="H7" s="156"/>
      <c r="I7" s="1" t="s">
        <v>2094</v>
      </c>
      <c r="J7" s="1" t="s">
        <v>2093</v>
      </c>
      <c r="K7" s="1"/>
      <c r="L7" s="1"/>
      <c r="M7" s="1"/>
      <c r="N7" s="1"/>
      <c r="O7" s="1"/>
      <c r="P7" s="1"/>
      <c r="Q7" s="1"/>
      <c r="R7" s="1"/>
      <c r="S7" s="1"/>
    </row>
    <row r="8" spans="1:19" ht="28.5">
      <c r="A8" s="1" t="s">
        <v>239</v>
      </c>
      <c r="B8" s="1" t="s">
        <v>240</v>
      </c>
      <c r="C8" s="1" t="s">
        <v>2095</v>
      </c>
      <c r="D8" s="5">
        <v>46024</v>
      </c>
      <c r="E8" s="5">
        <v>46024</v>
      </c>
      <c r="F8" s="120" t="s">
        <v>2096</v>
      </c>
      <c r="G8" s="1"/>
      <c r="H8" s="156">
        <v>200</v>
      </c>
      <c r="I8" s="1" t="s">
        <v>2097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42.75">
      <c r="A9" s="1" t="s">
        <v>239</v>
      </c>
      <c r="B9" s="1" t="s">
        <v>240</v>
      </c>
      <c r="C9" s="1" t="s">
        <v>2095</v>
      </c>
      <c r="D9" s="5">
        <v>46024</v>
      </c>
      <c r="E9" s="5">
        <v>46024</v>
      </c>
      <c r="F9" s="120" t="s">
        <v>2098</v>
      </c>
      <c r="G9" s="1"/>
      <c r="H9" s="156">
        <v>17500</v>
      </c>
      <c r="I9" s="1" t="s">
        <v>2099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8.5">
      <c r="A10" s="1" t="s">
        <v>239</v>
      </c>
      <c r="B10" s="1" t="s">
        <v>240</v>
      </c>
      <c r="C10" s="1" t="s">
        <v>2100</v>
      </c>
      <c r="D10" s="5">
        <v>46024</v>
      </c>
      <c r="E10" s="5">
        <v>46024</v>
      </c>
      <c r="F10" s="120" t="s">
        <v>2101</v>
      </c>
      <c r="G10" s="1"/>
      <c r="H10" s="156">
        <v>200</v>
      </c>
      <c r="I10" s="1" t="s">
        <v>2102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2.75">
      <c r="A11" s="1" t="s">
        <v>239</v>
      </c>
      <c r="B11" s="1" t="s">
        <v>240</v>
      </c>
      <c r="C11" s="1" t="s">
        <v>2100</v>
      </c>
      <c r="D11" s="5">
        <v>46024</v>
      </c>
      <c r="E11" s="5">
        <v>46024</v>
      </c>
      <c r="F11" s="120" t="s">
        <v>2103</v>
      </c>
      <c r="G11" s="1"/>
      <c r="H11" s="156">
        <v>60000</v>
      </c>
      <c r="I11" s="1" t="s">
        <v>2104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42.75">
      <c r="A12" s="1" t="s">
        <v>239</v>
      </c>
      <c r="B12" s="1" t="s">
        <v>240</v>
      </c>
      <c r="C12" s="1" t="s">
        <v>2105</v>
      </c>
      <c r="D12" s="5">
        <v>46024</v>
      </c>
      <c r="E12" s="5">
        <v>46024</v>
      </c>
      <c r="F12" s="120" t="s">
        <v>2106</v>
      </c>
      <c r="G12" s="1"/>
      <c r="H12" s="156">
        <v>200</v>
      </c>
      <c r="I12" s="1" t="s">
        <v>2107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42.75">
      <c r="A13" s="1" t="s">
        <v>239</v>
      </c>
      <c r="B13" s="1" t="s">
        <v>240</v>
      </c>
      <c r="C13" s="1" t="s">
        <v>2105</v>
      </c>
      <c r="D13" s="5">
        <v>46024</v>
      </c>
      <c r="E13" s="5">
        <v>46024</v>
      </c>
      <c r="F13" s="120" t="s">
        <v>2108</v>
      </c>
      <c r="G13" s="1"/>
      <c r="H13" s="156">
        <v>54000</v>
      </c>
      <c r="I13" s="1" t="s">
        <v>2110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42.75">
      <c r="A14" s="1" t="s">
        <v>239</v>
      </c>
      <c r="B14" s="1" t="s">
        <v>240</v>
      </c>
      <c r="C14" s="1" t="s">
        <v>2111</v>
      </c>
      <c r="D14" s="5">
        <v>46025</v>
      </c>
      <c r="E14" s="5">
        <v>46025</v>
      </c>
      <c r="F14" s="120" t="s">
        <v>2112</v>
      </c>
      <c r="G14" s="1"/>
      <c r="H14" s="156">
        <v>80000</v>
      </c>
      <c r="I14" s="1" t="s">
        <v>2113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8.5">
      <c r="A15" s="1" t="s">
        <v>239</v>
      </c>
      <c r="B15" s="1" t="s">
        <v>240</v>
      </c>
      <c r="C15" s="1" t="s">
        <v>2114</v>
      </c>
      <c r="D15" s="5">
        <v>46025</v>
      </c>
      <c r="E15" s="5">
        <v>46025</v>
      </c>
      <c r="F15" s="120" t="s">
        <v>2115</v>
      </c>
      <c r="G15" s="1"/>
      <c r="H15" s="156">
        <v>200</v>
      </c>
      <c r="I15" s="1" t="s">
        <v>2116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42.75">
      <c r="A16" s="1" t="s">
        <v>239</v>
      </c>
      <c r="B16" s="1" t="s">
        <v>240</v>
      </c>
      <c r="C16" s="1" t="s">
        <v>2114</v>
      </c>
      <c r="D16" s="5">
        <v>46025</v>
      </c>
      <c r="E16" s="5">
        <v>46025</v>
      </c>
      <c r="F16" s="120" t="s">
        <v>2117</v>
      </c>
      <c r="G16" s="1"/>
      <c r="H16" s="156">
        <v>36000</v>
      </c>
      <c r="I16" s="1" t="s">
        <v>2118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42.75">
      <c r="A17" s="1" t="s">
        <v>239</v>
      </c>
      <c r="B17" s="1" t="s">
        <v>240</v>
      </c>
      <c r="C17" s="1" t="s">
        <v>2119</v>
      </c>
      <c r="D17" s="5">
        <v>46026</v>
      </c>
      <c r="E17" s="5">
        <v>46026</v>
      </c>
      <c r="F17" s="120" t="s">
        <v>2120</v>
      </c>
      <c r="G17" s="1"/>
      <c r="H17" s="156">
        <v>20000</v>
      </c>
      <c r="I17" s="1" t="s">
        <v>2121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42.75">
      <c r="A18" s="1" t="s">
        <v>239</v>
      </c>
      <c r="B18" s="1" t="s">
        <v>240</v>
      </c>
      <c r="C18" s="1" t="s">
        <v>2122</v>
      </c>
      <c r="D18" s="5">
        <v>46026</v>
      </c>
      <c r="E18" s="5">
        <v>46026</v>
      </c>
      <c r="F18" s="120" t="s">
        <v>2123</v>
      </c>
      <c r="G18" s="1"/>
      <c r="H18" s="156">
        <v>200</v>
      </c>
      <c r="I18" s="1" t="s">
        <v>2124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42.75">
      <c r="A19" s="1" t="s">
        <v>239</v>
      </c>
      <c r="B19" s="1" t="s">
        <v>240</v>
      </c>
      <c r="C19" s="1" t="s">
        <v>2122</v>
      </c>
      <c r="D19" s="5">
        <v>46026</v>
      </c>
      <c r="E19" s="5">
        <v>46026</v>
      </c>
      <c r="F19" s="120" t="s">
        <v>2125</v>
      </c>
      <c r="G19" s="1"/>
      <c r="H19" s="156">
        <v>51000</v>
      </c>
      <c r="I19" s="1" t="s">
        <v>2127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42.75">
      <c r="A20" s="1" t="s">
        <v>239</v>
      </c>
      <c r="B20" s="1" t="s">
        <v>240</v>
      </c>
      <c r="C20" s="1" t="s">
        <v>2128</v>
      </c>
      <c r="D20" s="5">
        <v>46027</v>
      </c>
      <c r="E20" s="5">
        <v>46027</v>
      </c>
      <c r="F20" s="120" t="s">
        <v>2129</v>
      </c>
      <c r="G20" s="1"/>
      <c r="H20" s="156">
        <v>20000</v>
      </c>
      <c r="I20" s="1" t="s">
        <v>2130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42.75">
      <c r="A21" s="1" t="s">
        <v>239</v>
      </c>
      <c r="B21" s="1" t="s">
        <v>240</v>
      </c>
      <c r="C21" s="1" t="s">
        <v>2131</v>
      </c>
      <c r="D21" s="5">
        <v>46027</v>
      </c>
      <c r="E21" s="5">
        <v>46027</v>
      </c>
      <c r="F21" s="120" t="s">
        <v>2132</v>
      </c>
      <c r="G21" s="1"/>
      <c r="H21" s="156">
        <v>200</v>
      </c>
      <c r="I21" s="1" t="s">
        <v>2133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42.75">
      <c r="A22" s="1" t="s">
        <v>239</v>
      </c>
      <c r="B22" s="1" t="s">
        <v>240</v>
      </c>
      <c r="C22" s="1" t="s">
        <v>2131</v>
      </c>
      <c r="D22" s="5">
        <v>46027</v>
      </c>
      <c r="E22" s="5">
        <v>46027</v>
      </c>
      <c r="F22" s="120" t="s">
        <v>2134</v>
      </c>
      <c r="G22" s="1"/>
      <c r="H22" s="156">
        <v>73500</v>
      </c>
      <c r="I22" s="1" t="s">
        <v>2136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8.5">
      <c r="A23" s="1" t="s">
        <v>239</v>
      </c>
      <c r="B23" s="1" t="s">
        <v>240</v>
      </c>
      <c r="C23" s="1" t="s">
        <v>2137</v>
      </c>
      <c r="D23" s="5">
        <v>46027</v>
      </c>
      <c r="E23" s="5">
        <v>46027</v>
      </c>
      <c r="F23" s="120" t="s">
        <v>4250</v>
      </c>
      <c r="G23" s="1">
        <v>330000</v>
      </c>
      <c r="H23" s="156"/>
      <c r="I23" s="1" t="s">
        <v>2139</v>
      </c>
      <c r="J23" s="1" t="s">
        <v>1557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ht="28.5">
      <c r="A24" s="1" t="s">
        <v>239</v>
      </c>
      <c r="B24" s="1" t="s">
        <v>240</v>
      </c>
      <c r="C24" s="1" t="s">
        <v>2140</v>
      </c>
      <c r="D24" s="5">
        <v>46027</v>
      </c>
      <c r="E24" s="5">
        <v>46027</v>
      </c>
      <c r="F24" s="120" t="s">
        <v>2141</v>
      </c>
      <c r="G24" s="1"/>
      <c r="H24" s="156">
        <v>200</v>
      </c>
      <c r="I24" s="1" t="s">
        <v>2142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42.75">
      <c r="A25" s="1" t="s">
        <v>239</v>
      </c>
      <c r="B25" s="1" t="s">
        <v>240</v>
      </c>
      <c r="C25" s="1" t="s">
        <v>2140</v>
      </c>
      <c r="D25" s="5">
        <v>46027</v>
      </c>
      <c r="E25" s="5">
        <v>46027</v>
      </c>
      <c r="F25" s="120" t="s">
        <v>2143</v>
      </c>
      <c r="G25" s="1"/>
      <c r="H25" s="156">
        <v>48000</v>
      </c>
      <c r="I25" s="1" t="s">
        <v>2145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8.5">
      <c r="A26" s="1" t="s">
        <v>239</v>
      </c>
      <c r="B26" s="1" t="s">
        <v>240</v>
      </c>
      <c r="C26" s="1" t="s">
        <v>2146</v>
      </c>
      <c r="D26" s="5">
        <v>46027</v>
      </c>
      <c r="E26" s="5">
        <v>46027</v>
      </c>
      <c r="F26" s="120" t="s">
        <v>2147</v>
      </c>
      <c r="G26" s="1"/>
      <c r="H26" s="156">
        <v>100</v>
      </c>
      <c r="I26" s="1" t="s">
        <v>2148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42.75">
      <c r="A27" s="1" t="s">
        <v>239</v>
      </c>
      <c r="B27" s="1" t="s">
        <v>240</v>
      </c>
      <c r="C27" s="1" t="s">
        <v>2146</v>
      </c>
      <c r="D27" s="5">
        <v>46027</v>
      </c>
      <c r="E27" s="5">
        <v>46027</v>
      </c>
      <c r="F27" s="120" t="s">
        <v>2149</v>
      </c>
      <c r="G27" s="1"/>
      <c r="H27" s="156">
        <v>3000</v>
      </c>
      <c r="I27" s="1" t="s">
        <v>2150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42.75">
      <c r="A28" s="1" t="s">
        <v>239</v>
      </c>
      <c r="B28" s="1" t="s">
        <v>240</v>
      </c>
      <c r="C28" s="1" t="s">
        <v>2151</v>
      </c>
      <c r="D28" s="5">
        <v>46027</v>
      </c>
      <c r="E28" s="5">
        <v>46027</v>
      </c>
      <c r="F28" s="120" t="s">
        <v>2152</v>
      </c>
      <c r="G28" s="1"/>
      <c r="H28" s="156">
        <v>7500</v>
      </c>
      <c r="I28" s="1" t="s">
        <v>2154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8.5">
      <c r="A29" s="1" t="s">
        <v>239</v>
      </c>
      <c r="B29" s="1" t="s">
        <v>240</v>
      </c>
      <c r="C29" s="1" t="s">
        <v>2155</v>
      </c>
      <c r="D29" s="5">
        <v>46027</v>
      </c>
      <c r="E29" s="5">
        <v>46027</v>
      </c>
      <c r="F29" s="120" t="s">
        <v>2156</v>
      </c>
      <c r="G29" s="1"/>
      <c r="H29" s="156">
        <v>100</v>
      </c>
      <c r="I29" s="1" t="s">
        <v>2157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42.75">
      <c r="A30" s="1" t="s">
        <v>239</v>
      </c>
      <c r="B30" s="1" t="s">
        <v>240</v>
      </c>
      <c r="C30" s="1" t="s">
        <v>2155</v>
      </c>
      <c r="D30" s="5">
        <v>46027</v>
      </c>
      <c r="E30" s="5">
        <v>46027</v>
      </c>
      <c r="F30" s="120" t="s">
        <v>2158</v>
      </c>
      <c r="G30" s="1"/>
      <c r="H30" s="156">
        <v>10000</v>
      </c>
      <c r="I30" s="1" t="s">
        <v>2159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8.5">
      <c r="A31" s="1" t="s">
        <v>239</v>
      </c>
      <c r="B31" s="1" t="s">
        <v>240</v>
      </c>
      <c r="C31" s="1" t="s">
        <v>2160</v>
      </c>
      <c r="D31" s="5">
        <v>46027</v>
      </c>
      <c r="E31" s="5">
        <v>46027</v>
      </c>
      <c r="F31" s="120" t="s">
        <v>551</v>
      </c>
      <c r="G31" s="1"/>
      <c r="H31" s="156">
        <v>10000</v>
      </c>
      <c r="I31" s="1" t="s">
        <v>2161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8.5">
      <c r="A32" s="1" t="s">
        <v>239</v>
      </c>
      <c r="B32" s="1" t="s">
        <v>240</v>
      </c>
      <c r="C32" s="1" t="s">
        <v>2162</v>
      </c>
      <c r="D32" s="5">
        <v>46028</v>
      </c>
      <c r="E32" s="5">
        <v>46028</v>
      </c>
      <c r="F32" s="120" t="s">
        <v>2163</v>
      </c>
      <c r="G32" s="1"/>
      <c r="H32" s="156">
        <v>100</v>
      </c>
      <c r="I32" s="1" t="s">
        <v>2164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8.5">
      <c r="A33" s="1" t="s">
        <v>239</v>
      </c>
      <c r="B33" s="1" t="s">
        <v>240</v>
      </c>
      <c r="C33" s="1" t="s">
        <v>2162</v>
      </c>
      <c r="D33" s="5">
        <v>46028</v>
      </c>
      <c r="E33" s="5">
        <v>46028</v>
      </c>
      <c r="F33" s="120" t="s">
        <v>2165</v>
      </c>
      <c r="G33" s="1"/>
      <c r="H33" s="156">
        <v>7600</v>
      </c>
      <c r="I33" s="1" t="s">
        <v>2167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8.5">
      <c r="A34" s="1" t="s">
        <v>239</v>
      </c>
      <c r="B34" s="1" t="s">
        <v>240</v>
      </c>
      <c r="C34" s="1" t="s">
        <v>2168</v>
      </c>
      <c r="D34" s="5">
        <v>46028</v>
      </c>
      <c r="E34" s="5">
        <v>46028</v>
      </c>
      <c r="F34" s="120" t="s">
        <v>4251</v>
      </c>
      <c r="G34" s="1">
        <v>330000</v>
      </c>
      <c r="H34" s="156"/>
      <c r="I34" s="1" t="s">
        <v>2170</v>
      </c>
      <c r="J34" s="1" t="s">
        <v>1557</v>
      </c>
      <c r="K34" s="1"/>
      <c r="L34" s="1"/>
      <c r="M34" s="1"/>
      <c r="N34" s="1"/>
      <c r="O34" s="1"/>
      <c r="P34" s="1"/>
      <c r="Q34" s="1"/>
      <c r="R34" s="1"/>
      <c r="S34" s="1"/>
    </row>
    <row r="35" spans="1:19" ht="42.75">
      <c r="A35" s="1" t="s">
        <v>239</v>
      </c>
      <c r="B35" s="1" t="s">
        <v>240</v>
      </c>
      <c r="C35" s="1" t="s">
        <v>2171</v>
      </c>
      <c r="D35" s="5">
        <v>46028</v>
      </c>
      <c r="E35" s="5">
        <v>46028</v>
      </c>
      <c r="F35" s="120" t="s">
        <v>2172</v>
      </c>
      <c r="G35" s="1"/>
      <c r="H35" s="156">
        <v>100</v>
      </c>
      <c r="I35" s="1" t="s">
        <v>2173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42.75">
      <c r="A36" s="1" t="s">
        <v>239</v>
      </c>
      <c r="B36" s="1" t="s">
        <v>240</v>
      </c>
      <c r="C36" s="1" t="s">
        <v>2171</v>
      </c>
      <c r="D36" s="5">
        <v>46028</v>
      </c>
      <c r="E36" s="5">
        <v>46028</v>
      </c>
      <c r="F36" s="120" t="s">
        <v>2174</v>
      </c>
      <c r="G36" s="1"/>
      <c r="H36" s="156">
        <v>3000</v>
      </c>
      <c r="I36" s="1" t="s">
        <v>2175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42.75">
      <c r="A37" s="1" t="s">
        <v>239</v>
      </c>
      <c r="B37" s="1" t="s">
        <v>240</v>
      </c>
      <c r="C37" s="1" t="s">
        <v>2176</v>
      </c>
      <c r="D37" s="5">
        <v>46028</v>
      </c>
      <c r="E37" s="5">
        <v>46028</v>
      </c>
      <c r="F37" s="120" t="s">
        <v>2177</v>
      </c>
      <c r="G37" s="1"/>
      <c r="H37" s="156">
        <v>100</v>
      </c>
      <c r="I37" s="1" t="s">
        <v>2178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42.75">
      <c r="A38" s="1" t="s">
        <v>239</v>
      </c>
      <c r="B38" s="1" t="s">
        <v>240</v>
      </c>
      <c r="C38" s="1" t="s">
        <v>2176</v>
      </c>
      <c r="D38" s="5">
        <v>46028</v>
      </c>
      <c r="E38" s="5">
        <v>46028</v>
      </c>
      <c r="F38" s="120" t="s">
        <v>2179</v>
      </c>
      <c r="G38" s="1"/>
      <c r="H38" s="156">
        <v>6200</v>
      </c>
      <c r="I38" s="1" t="s">
        <v>2181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42.75">
      <c r="A39" s="1" t="s">
        <v>239</v>
      </c>
      <c r="B39" s="1" t="s">
        <v>240</v>
      </c>
      <c r="C39" s="1" t="s">
        <v>2182</v>
      </c>
      <c r="D39" s="5">
        <v>46028</v>
      </c>
      <c r="E39" s="5">
        <v>46028</v>
      </c>
      <c r="F39" s="120" t="s">
        <v>2183</v>
      </c>
      <c r="G39" s="1"/>
      <c r="H39" s="156">
        <v>100</v>
      </c>
      <c r="I39" s="1" t="s">
        <v>2184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42.75">
      <c r="A40" s="1" t="s">
        <v>239</v>
      </c>
      <c r="B40" s="1" t="s">
        <v>240</v>
      </c>
      <c r="C40" s="1" t="s">
        <v>2182</v>
      </c>
      <c r="D40" s="5">
        <v>46028</v>
      </c>
      <c r="E40" s="5">
        <v>46028</v>
      </c>
      <c r="F40" s="120" t="s">
        <v>2185</v>
      </c>
      <c r="G40" s="1"/>
      <c r="H40" s="156">
        <v>200000</v>
      </c>
      <c r="I40" s="1" t="s">
        <v>2186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8.5">
      <c r="A41" s="1" t="s">
        <v>239</v>
      </c>
      <c r="B41" s="1" t="s">
        <v>240</v>
      </c>
      <c r="C41" s="1" t="s">
        <v>2187</v>
      </c>
      <c r="D41" s="5">
        <v>46028</v>
      </c>
      <c r="E41" s="5">
        <v>46028</v>
      </c>
      <c r="F41" s="120" t="s">
        <v>4252</v>
      </c>
      <c r="G41" s="1">
        <v>400000</v>
      </c>
      <c r="H41" s="156"/>
      <c r="I41" s="1" t="s">
        <v>2189</v>
      </c>
      <c r="J41" s="1" t="s">
        <v>1476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ht="28.5">
      <c r="A42" s="1" t="s">
        <v>239</v>
      </c>
      <c r="B42" s="1" t="s">
        <v>240</v>
      </c>
      <c r="C42" s="1" t="s">
        <v>2190</v>
      </c>
      <c r="D42" s="5">
        <v>46028</v>
      </c>
      <c r="E42" s="5">
        <v>46028</v>
      </c>
      <c r="F42" s="120" t="s">
        <v>2156</v>
      </c>
      <c r="G42" s="1"/>
      <c r="H42" s="173">
        <v>200</v>
      </c>
      <c r="I42" s="1" t="s">
        <v>2191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42.75">
      <c r="A43" s="1" t="s">
        <v>239</v>
      </c>
      <c r="B43" s="1" t="s">
        <v>240</v>
      </c>
      <c r="C43" s="1" t="s">
        <v>2190</v>
      </c>
      <c r="D43" s="5">
        <v>46028</v>
      </c>
      <c r="E43" s="5">
        <v>46028</v>
      </c>
      <c r="F43" s="120" t="s">
        <v>2158</v>
      </c>
      <c r="G43" s="1"/>
      <c r="H43" s="156">
        <v>12000</v>
      </c>
      <c r="I43" s="1" t="s">
        <v>2192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8.5">
      <c r="A44" s="1" t="s">
        <v>239</v>
      </c>
      <c r="B44" s="1" t="s">
        <v>240</v>
      </c>
      <c r="C44" s="1" t="s">
        <v>2193</v>
      </c>
      <c r="D44" s="5">
        <v>46028</v>
      </c>
      <c r="E44" s="5">
        <v>46028</v>
      </c>
      <c r="F44" s="120" t="s">
        <v>2194</v>
      </c>
      <c r="G44" s="1"/>
      <c r="H44" s="156">
        <v>100</v>
      </c>
      <c r="I44" s="1" t="s">
        <v>2195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8.5">
      <c r="A45" s="1" t="s">
        <v>239</v>
      </c>
      <c r="B45" s="1" t="s">
        <v>240</v>
      </c>
      <c r="C45" s="1" t="s">
        <v>2193</v>
      </c>
      <c r="D45" s="5">
        <v>46028</v>
      </c>
      <c r="E45" s="5">
        <v>46028</v>
      </c>
      <c r="F45" s="120" t="s">
        <v>2196</v>
      </c>
      <c r="G45" s="1"/>
      <c r="H45" s="156">
        <v>9000</v>
      </c>
      <c r="I45" s="1" t="s">
        <v>2197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8.5">
      <c r="A46" s="1" t="s">
        <v>239</v>
      </c>
      <c r="B46" s="1" t="s">
        <v>240</v>
      </c>
      <c r="C46" s="1" t="s">
        <v>2198</v>
      </c>
      <c r="D46" s="5">
        <v>46028</v>
      </c>
      <c r="E46" s="5">
        <v>46028</v>
      </c>
      <c r="F46" s="120" t="s">
        <v>2199</v>
      </c>
      <c r="G46" s="1"/>
      <c r="H46" s="156">
        <v>50000</v>
      </c>
      <c r="I46" s="1" t="s">
        <v>2200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42.75">
      <c r="A47" s="1" t="s">
        <v>239</v>
      </c>
      <c r="B47" s="1" t="s">
        <v>240</v>
      </c>
      <c r="C47" s="1" t="s">
        <v>2201</v>
      </c>
      <c r="D47" s="5">
        <v>46029</v>
      </c>
      <c r="E47" s="5">
        <v>46029</v>
      </c>
      <c r="F47" s="120" t="s">
        <v>2202</v>
      </c>
      <c r="G47" s="1"/>
      <c r="H47" s="156">
        <v>200</v>
      </c>
      <c r="I47" s="1" t="s">
        <v>2203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42.75">
      <c r="A48" s="1" t="s">
        <v>239</v>
      </c>
      <c r="B48" s="1" t="s">
        <v>240</v>
      </c>
      <c r="C48" s="1" t="s">
        <v>2201</v>
      </c>
      <c r="D48" s="5">
        <v>46029</v>
      </c>
      <c r="E48" s="5">
        <v>46029</v>
      </c>
      <c r="F48" s="120" t="s">
        <v>2204</v>
      </c>
      <c r="G48" s="1"/>
      <c r="H48" s="156">
        <v>51000</v>
      </c>
      <c r="I48" s="1" t="s">
        <v>2205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8.5">
      <c r="A49" s="1" t="s">
        <v>1539</v>
      </c>
      <c r="B49" s="1" t="s">
        <v>240</v>
      </c>
      <c r="C49" s="1" t="s">
        <v>2206</v>
      </c>
      <c r="D49" s="5">
        <v>46029</v>
      </c>
      <c r="E49" s="5">
        <v>46029</v>
      </c>
      <c r="F49" s="120" t="s">
        <v>2847</v>
      </c>
      <c r="G49" s="1">
        <v>360000</v>
      </c>
      <c r="H49" s="156"/>
      <c r="I49" s="1" t="s">
        <v>2208</v>
      </c>
      <c r="J49" s="1" t="s">
        <v>1048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ht="28.5">
      <c r="A50" s="1" t="s">
        <v>239</v>
      </c>
      <c r="B50" s="1" t="s">
        <v>240</v>
      </c>
      <c r="C50" s="1" t="s">
        <v>2209</v>
      </c>
      <c r="D50" s="5">
        <v>46030</v>
      </c>
      <c r="E50" s="5">
        <v>46030</v>
      </c>
      <c r="F50" s="120" t="s">
        <v>2210</v>
      </c>
      <c r="G50" s="1"/>
      <c r="H50" s="156">
        <v>200</v>
      </c>
      <c r="I50" s="1" t="s">
        <v>2211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42.75">
      <c r="A51" s="1" t="s">
        <v>239</v>
      </c>
      <c r="B51" s="1" t="s">
        <v>240</v>
      </c>
      <c r="C51" s="1" t="s">
        <v>2209</v>
      </c>
      <c r="D51" s="5">
        <v>46030</v>
      </c>
      <c r="E51" s="5">
        <v>46030</v>
      </c>
      <c r="F51" s="120" t="s">
        <v>2212</v>
      </c>
      <c r="G51" s="1"/>
      <c r="H51" s="156">
        <v>18000</v>
      </c>
      <c r="I51" s="1" t="s">
        <v>2213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8.5">
      <c r="A52" s="1" t="s">
        <v>1539</v>
      </c>
      <c r="B52" s="1" t="s">
        <v>240</v>
      </c>
      <c r="C52" s="1" t="s">
        <v>2214</v>
      </c>
      <c r="D52" s="5">
        <v>46030</v>
      </c>
      <c r="E52" s="5">
        <v>46030</v>
      </c>
      <c r="F52" s="120" t="s">
        <v>3280</v>
      </c>
      <c r="G52" s="1">
        <v>330000</v>
      </c>
      <c r="H52" s="156"/>
      <c r="I52" s="1" t="s">
        <v>2215</v>
      </c>
      <c r="J52" s="1" t="s">
        <v>1557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ht="28.5">
      <c r="A53" s="1" t="s">
        <v>239</v>
      </c>
      <c r="B53" s="1" t="s">
        <v>240</v>
      </c>
      <c r="C53" s="1" t="s">
        <v>2216</v>
      </c>
      <c r="D53" s="5">
        <v>46030</v>
      </c>
      <c r="E53" s="5">
        <v>46030</v>
      </c>
      <c r="F53" s="120" t="s">
        <v>2217</v>
      </c>
      <c r="G53" s="1"/>
      <c r="H53" s="156">
        <v>100</v>
      </c>
      <c r="I53" s="1" t="s">
        <v>2218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8.5">
      <c r="A54" s="1" t="s">
        <v>239</v>
      </c>
      <c r="B54" s="1" t="s">
        <v>240</v>
      </c>
      <c r="C54" s="1" t="s">
        <v>2216</v>
      </c>
      <c r="D54" s="5">
        <v>46030</v>
      </c>
      <c r="E54" s="5">
        <v>46030</v>
      </c>
      <c r="F54" s="120" t="s">
        <v>2219</v>
      </c>
      <c r="G54" s="1"/>
      <c r="H54" s="156">
        <v>30000</v>
      </c>
      <c r="I54" s="1" t="s">
        <v>2220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8.5">
      <c r="A55" s="1" t="s">
        <v>239</v>
      </c>
      <c r="B55" s="1" t="s">
        <v>240</v>
      </c>
      <c r="C55" s="1" t="s">
        <v>2221</v>
      </c>
      <c r="D55" s="5">
        <v>46030</v>
      </c>
      <c r="E55" s="5">
        <v>46030</v>
      </c>
      <c r="F55" s="120" t="s">
        <v>2222</v>
      </c>
      <c r="G55" s="1"/>
      <c r="H55" s="156">
        <v>100</v>
      </c>
      <c r="I55" s="1" t="s">
        <v>2223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8.5">
      <c r="A56" s="1" t="s">
        <v>239</v>
      </c>
      <c r="B56" s="1" t="s">
        <v>240</v>
      </c>
      <c r="C56" s="1" t="s">
        <v>2221</v>
      </c>
      <c r="D56" s="5">
        <v>46030</v>
      </c>
      <c r="E56" s="5">
        <v>46030</v>
      </c>
      <c r="F56" s="120" t="s">
        <v>2224</v>
      </c>
      <c r="G56" s="1"/>
      <c r="H56" s="156">
        <v>4000</v>
      </c>
      <c r="I56" s="1" t="s">
        <v>2225</v>
      </c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8.5">
      <c r="A57" s="1" t="s">
        <v>239</v>
      </c>
      <c r="B57" s="1" t="s">
        <v>240</v>
      </c>
      <c r="C57" s="1" t="s">
        <v>2226</v>
      </c>
      <c r="D57" s="5">
        <v>46030</v>
      </c>
      <c r="E57" s="5">
        <v>46030</v>
      </c>
      <c r="F57" s="120" t="s">
        <v>2227</v>
      </c>
      <c r="G57" s="1"/>
      <c r="H57" s="156">
        <v>200</v>
      </c>
      <c r="I57" s="1" t="s">
        <v>2228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42.75">
      <c r="A58" s="1" t="s">
        <v>239</v>
      </c>
      <c r="B58" s="1" t="s">
        <v>240</v>
      </c>
      <c r="C58" s="1" t="s">
        <v>2226</v>
      </c>
      <c r="D58" s="5">
        <v>46030</v>
      </c>
      <c r="E58" s="5">
        <v>46030</v>
      </c>
      <c r="F58" s="120" t="s">
        <v>2229</v>
      </c>
      <c r="G58" s="1"/>
      <c r="H58" s="156">
        <v>23000</v>
      </c>
      <c r="I58" s="1" t="s">
        <v>2230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>
      <c r="A59" s="1" t="s">
        <v>239</v>
      </c>
      <c r="B59" s="1" t="s">
        <v>240</v>
      </c>
      <c r="C59" s="1" t="s">
        <v>2231</v>
      </c>
      <c r="D59" s="5">
        <v>46030</v>
      </c>
      <c r="E59" s="5">
        <v>46030</v>
      </c>
      <c r="F59" s="120" t="s">
        <v>2232</v>
      </c>
      <c r="G59" s="1">
        <v>556700</v>
      </c>
      <c r="H59" s="156"/>
      <c r="I59" s="1" t="s">
        <v>2234</v>
      </c>
      <c r="J59" s="1" t="s">
        <v>2233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ht="28.5">
      <c r="A60" s="1" t="s">
        <v>239</v>
      </c>
      <c r="B60" s="1" t="s">
        <v>240</v>
      </c>
      <c r="C60" s="1" t="s">
        <v>2235</v>
      </c>
      <c r="D60" s="5">
        <v>46030</v>
      </c>
      <c r="E60" s="5">
        <v>46030</v>
      </c>
      <c r="F60" s="120" t="s">
        <v>2236</v>
      </c>
      <c r="G60" s="1"/>
      <c r="H60" s="156">
        <v>200</v>
      </c>
      <c r="I60" s="1" t="s">
        <v>2237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8.5">
      <c r="A61" s="1" t="s">
        <v>239</v>
      </c>
      <c r="B61" s="1" t="s">
        <v>240</v>
      </c>
      <c r="C61" s="1" t="s">
        <v>2235</v>
      </c>
      <c r="D61" s="5">
        <v>46030</v>
      </c>
      <c r="E61" s="5">
        <v>46030</v>
      </c>
      <c r="F61" s="120" t="s">
        <v>2238</v>
      </c>
      <c r="G61" s="1"/>
      <c r="H61" s="156">
        <v>12000</v>
      </c>
      <c r="I61" s="1" t="s">
        <v>2239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8.5">
      <c r="A62" s="1" t="s">
        <v>239</v>
      </c>
      <c r="B62" s="1" t="s">
        <v>240</v>
      </c>
      <c r="C62" s="1" t="s">
        <v>2240</v>
      </c>
      <c r="D62" s="5">
        <v>46030</v>
      </c>
      <c r="E62" s="5">
        <v>46030</v>
      </c>
      <c r="F62" s="120" t="s">
        <v>2241</v>
      </c>
      <c r="G62" s="1"/>
      <c r="H62" s="156">
        <v>100</v>
      </c>
      <c r="I62" s="1" t="s">
        <v>2242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8.5">
      <c r="A63" s="1" t="s">
        <v>239</v>
      </c>
      <c r="B63" s="1" t="s">
        <v>240</v>
      </c>
      <c r="C63" s="1" t="s">
        <v>2240</v>
      </c>
      <c r="D63" s="5">
        <v>46030</v>
      </c>
      <c r="E63" s="5">
        <v>46030</v>
      </c>
      <c r="F63" s="120" t="s">
        <v>2243</v>
      </c>
      <c r="G63" s="1"/>
      <c r="H63" s="156">
        <v>6000</v>
      </c>
      <c r="I63" s="1" t="s">
        <v>2244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8.5">
      <c r="A64" s="1" t="s">
        <v>239</v>
      </c>
      <c r="B64" s="1" t="s">
        <v>240</v>
      </c>
      <c r="C64" s="1" t="s">
        <v>2245</v>
      </c>
      <c r="D64" s="5">
        <v>46031</v>
      </c>
      <c r="E64" s="5">
        <v>46031</v>
      </c>
      <c r="F64" s="120" t="s">
        <v>2246</v>
      </c>
      <c r="G64" s="1"/>
      <c r="H64" s="156">
        <v>100</v>
      </c>
      <c r="I64" s="1" t="s">
        <v>2247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8.5">
      <c r="A65" s="1" t="s">
        <v>239</v>
      </c>
      <c r="B65" s="1" t="s">
        <v>240</v>
      </c>
      <c r="C65" s="1" t="s">
        <v>2245</v>
      </c>
      <c r="D65" s="5">
        <v>46031</v>
      </c>
      <c r="E65" s="5">
        <v>46031</v>
      </c>
      <c r="F65" s="120" t="s">
        <v>2248</v>
      </c>
      <c r="G65" s="1"/>
      <c r="H65" s="156">
        <v>5000</v>
      </c>
      <c r="I65" s="1" t="s">
        <v>2249</v>
      </c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8.5">
      <c r="A66" s="1" t="s">
        <v>239</v>
      </c>
      <c r="B66" s="1" t="s">
        <v>240</v>
      </c>
      <c r="C66" s="1" t="s">
        <v>2250</v>
      </c>
      <c r="D66" s="5">
        <v>46031</v>
      </c>
      <c r="E66" s="5">
        <v>46031</v>
      </c>
      <c r="F66" s="120" t="s">
        <v>2251</v>
      </c>
      <c r="G66" s="1"/>
      <c r="H66" s="156">
        <v>100</v>
      </c>
      <c r="I66" s="1" t="s">
        <v>2252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42.75">
      <c r="A67" s="1" t="s">
        <v>239</v>
      </c>
      <c r="B67" s="1" t="s">
        <v>240</v>
      </c>
      <c r="C67" s="1" t="s">
        <v>2250</v>
      </c>
      <c r="D67" s="5">
        <v>46031</v>
      </c>
      <c r="E67" s="5">
        <v>46031</v>
      </c>
      <c r="F67" s="120" t="s">
        <v>2253</v>
      </c>
      <c r="G67" s="1"/>
      <c r="H67" s="156">
        <v>7500</v>
      </c>
      <c r="I67" s="1" t="s">
        <v>2254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42.75">
      <c r="A68" s="1" t="s">
        <v>239</v>
      </c>
      <c r="B68" s="1" t="s">
        <v>240</v>
      </c>
      <c r="C68" s="1" t="s">
        <v>2255</v>
      </c>
      <c r="D68" s="5">
        <v>46031</v>
      </c>
      <c r="E68" s="5">
        <v>46031</v>
      </c>
      <c r="F68" s="120" t="s">
        <v>2256</v>
      </c>
      <c r="G68" s="1"/>
      <c r="H68" s="156">
        <v>30000</v>
      </c>
      <c r="I68" s="1" t="s">
        <v>2257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42.75">
      <c r="A69" s="1" t="s">
        <v>239</v>
      </c>
      <c r="B69" s="1" t="s">
        <v>240</v>
      </c>
      <c r="C69" s="1" t="s">
        <v>2258</v>
      </c>
      <c r="D69" s="5">
        <v>46031</v>
      </c>
      <c r="E69" s="5">
        <v>46031</v>
      </c>
      <c r="F69" s="120" t="s">
        <v>2259</v>
      </c>
      <c r="G69" s="1"/>
      <c r="H69" s="156">
        <v>100</v>
      </c>
      <c r="I69" s="1" t="s">
        <v>2260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42.75">
      <c r="A70" s="1" t="s">
        <v>239</v>
      </c>
      <c r="B70" s="1" t="s">
        <v>240</v>
      </c>
      <c r="C70" s="1" t="s">
        <v>2258</v>
      </c>
      <c r="D70" s="5">
        <v>46031</v>
      </c>
      <c r="E70" s="5">
        <v>46031</v>
      </c>
      <c r="F70" s="120" t="s">
        <v>2261</v>
      </c>
      <c r="G70" s="1"/>
      <c r="H70" s="156">
        <v>5000</v>
      </c>
      <c r="I70" s="1" t="s">
        <v>2262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42.75">
      <c r="A71" s="1" t="s">
        <v>239</v>
      </c>
      <c r="B71" s="1" t="s">
        <v>240</v>
      </c>
      <c r="C71" s="1" t="s">
        <v>2263</v>
      </c>
      <c r="D71" s="5">
        <v>46031</v>
      </c>
      <c r="E71" s="5">
        <v>46031</v>
      </c>
      <c r="F71" s="120" t="s">
        <v>2264</v>
      </c>
      <c r="G71" s="1"/>
      <c r="H71" s="156">
        <v>200</v>
      </c>
      <c r="I71" s="1" t="s">
        <v>2265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42.75">
      <c r="A72" s="1" t="s">
        <v>239</v>
      </c>
      <c r="B72" s="1" t="s">
        <v>240</v>
      </c>
      <c r="C72" s="1" t="s">
        <v>2263</v>
      </c>
      <c r="D72" s="5">
        <v>46031</v>
      </c>
      <c r="E72" s="5">
        <v>46031</v>
      </c>
      <c r="F72" s="120" t="s">
        <v>2266</v>
      </c>
      <c r="G72" s="1"/>
      <c r="H72" s="156">
        <v>20000</v>
      </c>
      <c r="I72" s="1" t="s">
        <v>2267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8.5">
      <c r="A73" s="1" t="s">
        <v>239</v>
      </c>
      <c r="B73" s="1" t="s">
        <v>240</v>
      </c>
      <c r="C73" s="1" t="s">
        <v>2268</v>
      </c>
      <c r="D73" s="5">
        <v>46032</v>
      </c>
      <c r="E73" s="5">
        <v>46032</v>
      </c>
      <c r="F73" s="120" t="s">
        <v>1912</v>
      </c>
      <c r="G73" s="1"/>
      <c r="H73" s="156">
        <v>200</v>
      </c>
      <c r="I73" s="1" t="s">
        <v>2269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42.75">
      <c r="A74" s="1" t="s">
        <v>239</v>
      </c>
      <c r="B74" s="1" t="s">
        <v>240</v>
      </c>
      <c r="C74" s="1" t="s">
        <v>2268</v>
      </c>
      <c r="D74" s="5">
        <v>46032</v>
      </c>
      <c r="E74" s="5">
        <v>46032</v>
      </c>
      <c r="F74" s="120" t="s">
        <v>1914</v>
      </c>
      <c r="G74" s="1"/>
      <c r="H74" s="156">
        <v>35000</v>
      </c>
      <c r="I74" s="1" t="s">
        <v>2270</v>
      </c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42.75">
      <c r="A75" s="1" t="s">
        <v>239</v>
      </c>
      <c r="B75" s="1" t="s">
        <v>240</v>
      </c>
      <c r="C75" s="1" t="s">
        <v>2271</v>
      </c>
      <c r="D75" s="5">
        <v>46032</v>
      </c>
      <c r="E75" s="5">
        <v>46032</v>
      </c>
      <c r="F75" s="120" t="s">
        <v>2272</v>
      </c>
      <c r="G75" s="1"/>
      <c r="H75" s="156">
        <v>200</v>
      </c>
      <c r="I75" s="1" t="s">
        <v>2273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42.75">
      <c r="A76" s="1" t="s">
        <v>239</v>
      </c>
      <c r="B76" s="1" t="s">
        <v>240</v>
      </c>
      <c r="C76" s="1" t="s">
        <v>2271</v>
      </c>
      <c r="D76" s="5">
        <v>46032</v>
      </c>
      <c r="E76" s="5">
        <v>46032</v>
      </c>
      <c r="F76" s="120" t="s">
        <v>2274</v>
      </c>
      <c r="G76" s="1"/>
      <c r="H76" s="156">
        <v>20000</v>
      </c>
      <c r="I76" s="1" t="s">
        <v>2275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8.5">
      <c r="A77" s="1" t="s">
        <v>239</v>
      </c>
      <c r="B77" s="1" t="s">
        <v>240</v>
      </c>
      <c r="C77" s="1" t="s">
        <v>2276</v>
      </c>
      <c r="D77" s="5">
        <v>46032</v>
      </c>
      <c r="E77" s="5">
        <v>46032</v>
      </c>
      <c r="F77" s="120" t="s">
        <v>2277</v>
      </c>
      <c r="G77" s="1"/>
      <c r="H77" s="156">
        <v>200</v>
      </c>
      <c r="I77" s="1" t="s">
        <v>2278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42.75">
      <c r="A78" s="1" t="s">
        <v>239</v>
      </c>
      <c r="B78" s="1" t="s">
        <v>240</v>
      </c>
      <c r="C78" s="1" t="s">
        <v>2276</v>
      </c>
      <c r="D78" s="5">
        <v>46032</v>
      </c>
      <c r="E78" s="5">
        <v>46032</v>
      </c>
      <c r="F78" s="120" t="s">
        <v>2279</v>
      </c>
      <c r="G78" s="1"/>
      <c r="H78" s="173">
        <v>30000</v>
      </c>
      <c r="I78" s="1" t="s">
        <v>2280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8.5">
      <c r="A79" s="1" t="s">
        <v>239</v>
      </c>
      <c r="B79" s="1" t="s">
        <v>240</v>
      </c>
      <c r="C79" s="1" t="s">
        <v>2281</v>
      </c>
      <c r="D79" s="5">
        <v>46032</v>
      </c>
      <c r="E79" s="5">
        <v>46032</v>
      </c>
      <c r="F79" s="120" t="s">
        <v>4262</v>
      </c>
      <c r="G79" s="1">
        <v>416000</v>
      </c>
      <c r="H79" s="156"/>
      <c r="I79" s="1" t="s">
        <v>2283</v>
      </c>
      <c r="J79" s="1" t="s">
        <v>1004</v>
      </c>
      <c r="K79" s="1"/>
      <c r="L79" s="1"/>
      <c r="M79" s="1"/>
      <c r="N79" s="1"/>
      <c r="O79" s="1"/>
      <c r="P79" s="1"/>
      <c r="Q79" s="1"/>
      <c r="R79" s="1"/>
      <c r="S79" s="1"/>
    </row>
    <row r="80" spans="1:19" ht="28.5">
      <c r="A80" s="1" t="s">
        <v>239</v>
      </c>
      <c r="B80" s="1" t="s">
        <v>240</v>
      </c>
      <c r="C80" s="1" t="s">
        <v>2284</v>
      </c>
      <c r="D80" s="5">
        <v>46033</v>
      </c>
      <c r="E80" s="5">
        <v>46033</v>
      </c>
      <c r="F80" s="120" t="s">
        <v>4263</v>
      </c>
      <c r="G80" s="1">
        <v>330000</v>
      </c>
      <c r="H80" s="156"/>
      <c r="I80" s="1" t="s">
        <v>2286</v>
      </c>
      <c r="J80" s="1" t="s">
        <v>1557</v>
      </c>
      <c r="K80" s="1"/>
      <c r="L80" s="1"/>
      <c r="M80" s="1"/>
      <c r="N80" s="1"/>
      <c r="O80" s="1"/>
      <c r="P80" s="1"/>
      <c r="Q80" s="1"/>
      <c r="R80" s="1"/>
      <c r="S80" s="1"/>
    </row>
    <row r="81" spans="1:19" ht="28.5">
      <c r="A81" s="1" t="s">
        <v>239</v>
      </c>
      <c r="B81" s="1" t="s">
        <v>240</v>
      </c>
      <c r="C81" s="1" t="s">
        <v>2287</v>
      </c>
      <c r="D81" s="5">
        <v>46033</v>
      </c>
      <c r="E81" s="5">
        <v>46033</v>
      </c>
      <c r="F81" s="120" t="s">
        <v>4264</v>
      </c>
      <c r="G81" s="1">
        <v>261000</v>
      </c>
      <c r="H81" s="156"/>
      <c r="I81" s="1" t="s">
        <v>2290</v>
      </c>
      <c r="J81" s="1" t="s">
        <v>2289</v>
      </c>
      <c r="K81" s="1"/>
      <c r="L81" s="1"/>
      <c r="M81" s="1"/>
      <c r="N81" s="1"/>
      <c r="O81" s="1"/>
      <c r="P81" s="1"/>
      <c r="Q81" s="1"/>
      <c r="R81" s="1"/>
      <c r="S81" s="1"/>
    </row>
    <row r="82" spans="1:19" ht="42.75">
      <c r="A82" s="1" t="s">
        <v>239</v>
      </c>
      <c r="B82" s="1" t="s">
        <v>240</v>
      </c>
      <c r="C82" s="1" t="s">
        <v>2291</v>
      </c>
      <c r="D82" s="5">
        <v>46033</v>
      </c>
      <c r="E82" s="5">
        <v>46033</v>
      </c>
      <c r="F82" s="120" t="s">
        <v>331</v>
      </c>
      <c r="G82" s="1"/>
      <c r="H82" s="156">
        <v>139460</v>
      </c>
      <c r="I82" s="1" t="s">
        <v>2293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8.5">
      <c r="A83" s="1" t="s">
        <v>239</v>
      </c>
      <c r="B83" s="1" t="s">
        <v>240</v>
      </c>
      <c r="C83" s="1" t="s">
        <v>2294</v>
      </c>
      <c r="D83" s="5">
        <v>46034</v>
      </c>
      <c r="E83" s="5">
        <v>46034</v>
      </c>
      <c r="F83" s="120" t="s">
        <v>2295</v>
      </c>
      <c r="G83" s="1"/>
      <c r="H83" s="156">
        <v>200</v>
      </c>
      <c r="I83" s="1" t="s">
        <v>2296</v>
      </c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8.5">
      <c r="A84" s="1" t="s">
        <v>239</v>
      </c>
      <c r="B84" s="1" t="s">
        <v>240</v>
      </c>
      <c r="C84" s="1" t="s">
        <v>2294</v>
      </c>
      <c r="D84" s="5">
        <v>46034</v>
      </c>
      <c r="E84" s="5">
        <v>46034</v>
      </c>
      <c r="F84" s="120" t="s">
        <v>2297</v>
      </c>
      <c r="G84" s="1"/>
      <c r="H84" s="156">
        <v>12200</v>
      </c>
      <c r="I84" s="1" t="s">
        <v>2299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42.75">
      <c r="A85" s="1" t="s">
        <v>239</v>
      </c>
      <c r="B85" s="1" t="s">
        <v>240</v>
      </c>
      <c r="C85" s="1" t="s">
        <v>2300</v>
      </c>
      <c r="D85" s="5">
        <v>46034</v>
      </c>
      <c r="E85" s="5">
        <v>46034</v>
      </c>
      <c r="F85" s="120" t="s">
        <v>2301</v>
      </c>
      <c r="G85" s="1"/>
      <c r="H85" s="156">
        <v>200</v>
      </c>
      <c r="I85" s="1" t="s">
        <v>2302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42.75">
      <c r="A86" s="1" t="s">
        <v>239</v>
      </c>
      <c r="B86" s="1" t="s">
        <v>240</v>
      </c>
      <c r="C86" s="1" t="s">
        <v>2300</v>
      </c>
      <c r="D86" s="5">
        <v>46034</v>
      </c>
      <c r="E86" s="5">
        <v>46034</v>
      </c>
      <c r="F86" s="120" t="s">
        <v>2303</v>
      </c>
      <c r="G86" s="1"/>
      <c r="H86" s="156">
        <v>13500</v>
      </c>
      <c r="I86" s="1" t="s">
        <v>2305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8.5">
      <c r="A87" s="1" t="s">
        <v>239</v>
      </c>
      <c r="B87" s="1" t="s">
        <v>240</v>
      </c>
      <c r="C87" s="1" t="s">
        <v>2306</v>
      </c>
      <c r="D87" s="5">
        <v>46034</v>
      </c>
      <c r="E87" s="5">
        <v>46034</v>
      </c>
      <c r="F87" s="120" t="s">
        <v>2307</v>
      </c>
      <c r="G87" s="1"/>
      <c r="H87" s="156">
        <v>100</v>
      </c>
      <c r="I87" s="1" t="s">
        <v>2308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42.75">
      <c r="A88" s="1" t="s">
        <v>239</v>
      </c>
      <c r="B88" s="1" t="s">
        <v>240</v>
      </c>
      <c r="C88" s="1" t="s">
        <v>2306</v>
      </c>
      <c r="D88" s="5">
        <v>46034</v>
      </c>
      <c r="E88" s="5">
        <v>46034</v>
      </c>
      <c r="F88" s="120" t="s">
        <v>2309</v>
      </c>
      <c r="G88" s="1"/>
      <c r="H88" s="156">
        <v>10000</v>
      </c>
      <c r="I88" s="1" t="s">
        <v>2310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8.5">
      <c r="A89" s="1" t="s">
        <v>1539</v>
      </c>
      <c r="B89" s="1" t="s">
        <v>240</v>
      </c>
      <c r="C89" s="1" t="s">
        <v>2311</v>
      </c>
      <c r="D89" s="5">
        <v>46034</v>
      </c>
      <c r="E89" s="5">
        <v>46034</v>
      </c>
      <c r="F89" s="120" t="s">
        <v>2312</v>
      </c>
      <c r="G89" s="1">
        <v>200000</v>
      </c>
      <c r="H89" s="156"/>
      <c r="I89" s="1" t="s">
        <v>2313</v>
      </c>
      <c r="J89" s="1" t="s">
        <v>1545</v>
      </c>
      <c r="K89" s="1"/>
      <c r="L89" s="1"/>
      <c r="M89" s="1"/>
      <c r="N89" s="1"/>
      <c r="O89" s="1"/>
      <c r="P89" s="1"/>
      <c r="Q89" s="1"/>
      <c r="R89" s="1"/>
      <c r="S89" s="1"/>
    </row>
    <row r="90" spans="1:19" ht="42.75">
      <c r="A90" s="1" t="s">
        <v>239</v>
      </c>
      <c r="B90" s="1" t="s">
        <v>240</v>
      </c>
      <c r="C90" s="1" t="s">
        <v>2314</v>
      </c>
      <c r="D90" s="5">
        <v>46034</v>
      </c>
      <c r="E90" s="5">
        <v>46034</v>
      </c>
      <c r="F90" s="120" t="s">
        <v>2315</v>
      </c>
      <c r="G90" s="1"/>
      <c r="H90" s="156">
        <v>200</v>
      </c>
      <c r="I90" s="1" t="s">
        <v>2316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42.75">
      <c r="A91" s="1" t="s">
        <v>239</v>
      </c>
      <c r="B91" s="1" t="s">
        <v>240</v>
      </c>
      <c r="C91" s="1" t="s">
        <v>2314</v>
      </c>
      <c r="D91" s="5">
        <v>46034</v>
      </c>
      <c r="E91" s="5">
        <v>46034</v>
      </c>
      <c r="F91" s="120" t="s">
        <v>2317</v>
      </c>
      <c r="G91" s="1"/>
      <c r="H91" s="156">
        <v>12000</v>
      </c>
      <c r="I91" s="1" t="s">
        <v>2318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8.5">
      <c r="A92" s="1" t="s">
        <v>239</v>
      </c>
      <c r="B92" s="1" t="s">
        <v>240</v>
      </c>
      <c r="C92" s="1" t="s">
        <v>2319</v>
      </c>
      <c r="D92" s="5">
        <v>46034</v>
      </c>
      <c r="E92" s="5">
        <v>46034</v>
      </c>
      <c r="F92" s="120" t="s">
        <v>2320</v>
      </c>
      <c r="G92" s="1">
        <v>330000</v>
      </c>
      <c r="H92" s="156"/>
      <c r="I92" s="1" t="s">
        <v>2321</v>
      </c>
      <c r="J92" s="1" t="s">
        <v>1557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ht="28.5">
      <c r="A93" s="1" t="s">
        <v>239</v>
      </c>
      <c r="B93" s="1" t="s">
        <v>240</v>
      </c>
      <c r="C93" s="1" t="s">
        <v>2322</v>
      </c>
      <c r="D93" s="5">
        <v>46035</v>
      </c>
      <c r="E93" s="5">
        <v>46035</v>
      </c>
      <c r="F93" s="120" t="s">
        <v>2323</v>
      </c>
      <c r="G93" s="1"/>
      <c r="H93" s="156">
        <v>100</v>
      </c>
      <c r="I93" s="1" t="s">
        <v>2324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8.5">
      <c r="A94" s="1" t="s">
        <v>239</v>
      </c>
      <c r="B94" s="1" t="s">
        <v>240</v>
      </c>
      <c r="C94" s="1" t="s">
        <v>2322</v>
      </c>
      <c r="D94" s="5">
        <v>46035</v>
      </c>
      <c r="E94" s="5">
        <v>46035</v>
      </c>
      <c r="F94" s="120" t="s">
        <v>2325</v>
      </c>
      <c r="G94" s="1"/>
      <c r="H94" s="156">
        <v>197000</v>
      </c>
      <c r="I94" s="1" t="s">
        <v>2327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8.5">
      <c r="A95" s="1" t="s">
        <v>239</v>
      </c>
      <c r="B95" s="1" t="s">
        <v>240</v>
      </c>
      <c r="C95" s="1" t="s">
        <v>2328</v>
      </c>
      <c r="D95" s="5">
        <v>46035</v>
      </c>
      <c r="E95" s="5">
        <v>46035</v>
      </c>
      <c r="F95" s="120" t="s">
        <v>2329</v>
      </c>
      <c r="G95" s="1"/>
      <c r="H95" s="156">
        <v>100</v>
      </c>
      <c r="I95" s="1" t="s">
        <v>2330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8.5">
      <c r="A96" s="1" t="s">
        <v>239</v>
      </c>
      <c r="B96" s="1" t="s">
        <v>240</v>
      </c>
      <c r="C96" s="1" t="s">
        <v>2328</v>
      </c>
      <c r="D96" s="5">
        <v>46035</v>
      </c>
      <c r="E96" s="5">
        <v>46035</v>
      </c>
      <c r="F96" s="120" t="s">
        <v>2331</v>
      </c>
      <c r="G96" s="1"/>
      <c r="H96" s="156">
        <v>15000</v>
      </c>
      <c r="I96" s="1" t="s">
        <v>2332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8.5">
      <c r="A97" s="1" t="s">
        <v>239</v>
      </c>
      <c r="B97" s="1" t="s">
        <v>240</v>
      </c>
      <c r="C97" s="1" t="s">
        <v>2333</v>
      </c>
      <c r="D97" s="5">
        <v>46035</v>
      </c>
      <c r="E97" s="5">
        <v>46035</v>
      </c>
      <c r="F97" s="120" t="s">
        <v>2334</v>
      </c>
      <c r="G97" s="1"/>
      <c r="H97" s="156">
        <v>20</v>
      </c>
      <c r="I97" s="1" t="s">
        <v>2336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42.75">
      <c r="A98" s="1" t="s">
        <v>239</v>
      </c>
      <c r="B98" s="1" t="s">
        <v>240</v>
      </c>
      <c r="C98" s="1" t="s">
        <v>2333</v>
      </c>
      <c r="D98" s="5">
        <v>46035</v>
      </c>
      <c r="E98" s="5">
        <v>46035</v>
      </c>
      <c r="F98" s="120" t="s">
        <v>2337</v>
      </c>
      <c r="G98" s="1"/>
      <c r="H98" s="156">
        <v>1000</v>
      </c>
      <c r="I98" s="1" t="s">
        <v>2338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8.5">
      <c r="A99" s="1" t="s">
        <v>239</v>
      </c>
      <c r="B99" s="1" t="s">
        <v>240</v>
      </c>
      <c r="C99" s="1" t="s">
        <v>2339</v>
      </c>
      <c r="D99" s="5">
        <v>46035</v>
      </c>
      <c r="E99" s="5">
        <v>46035</v>
      </c>
      <c r="F99" s="120" t="s">
        <v>2340</v>
      </c>
      <c r="G99" s="1">
        <v>366000</v>
      </c>
      <c r="H99" s="156"/>
      <c r="I99" s="1" t="s">
        <v>2342</v>
      </c>
      <c r="J99" s="1" t="s">
        <v>2341</v>
      </c>
      <c r="K99" s="1"/>
      <c r="L99" s="1"/>
      <c r="M99" s="1"/>
      <c r="N99" s="1"/>
      <c r="O99" s="1"/>
      <c r="P99" s="1"/>
      <c r="Q99" s="1"/>
      <c r="R99" s="1"/>
      <c r="S99" s="1"/>
    </row>
    <row r="100" spans="1:19" ht="42.75">
      <c r="A100" s="1" t="s">
        <v>239</v>
      </c>
      <c r="B100" s="1" t="s">
        <v>240</v>
      </c>
      <c r="C100" s="1" t="s">
        <v>2343</v>
      </c>
      <c r="D100" s="5">
        <v>46035</v>
      </c>
      <c r="E100" s="5">
        <v>46035</v>
      </c>
      <c r="F100" s="120" t="s">
        <v>2344</v>
      </c>
      <c r="G100" s="1"/>
      <c r="H100" s="156">
        <v>1350</v>
      </c>
      <c r="I100" s="1" t="s">
        <v>2345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42.75">
      <c r="A101" s="1" t="s">
        <v>239</v>
      </c>
      <c r="B101" s="1" t="s">
        <v>240</v>
      </c>
      <c r="C101" s="1" t="s">
        <v>2343</v>
      </c>
      <c r="D101" s="5">
        <v>46035</v>
      </c>
      <c r="E101" s="5">
        <v>46035</v>
      </c>
      <c r="F101" s="120" t="s">
        <v>2346</v>
      </c>
      <c r="G101" s="1"/>
      <c r="H101" s="156">
        <v>530000</v>
      </c>
      <c r="I101" s="1" t="s">
        <v>2348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42.75">
      <c r="A102" s="1" t="s">
        <v>239</v>
      </c>
      <c r="B102" s="1" t="s">
        <v>240</v>
      </c>
      <c r="C102" s="1" t="s">
        <v>2349</v>
      </c>
      <c r="D102" s="5">
        <v>46035</v>
      </c>
      <c r="E102" s="5">
        <v>46035</v>
      </c>
      <c r="F102" s="120" t="s">
        <v>2350</v>
      </c>
      <c r="G102" s="1"/>
      <c r="H102" s="156">
        <v>20</v>
      </c>
      <c r="I102" s="1" t="s">
        <v>2351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42.75">
      <c r="A103" s="1" t="s">
        <v>239</v>
      </c>
      <c r="B103" s="1" t="s">
        <v>240</v>
      </c>
      <c r="C103" s="1" t="s">
        <v>2349</v>
      </c>
      <c r="D103" s="5">
        <v>46035</v>
      </c>
      <c r="E103" s="5">
        <v>46035</v>
      </c>
      <c r="F103" s="120" t="s">
        <v>2352</v>
      </c>
      <c r="G103" s="1"/>
      <c r="H103" s="156">
        <v>1000</v>
      </c>
      <c r="I103" s="1" t="s">
        <v>2353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8.5">
      <c r="A104" s="1" t="s">
        <v>239</v>
      </c>
      <c r="B104" s="1" t="s">
        <v>240</v>
      </c>
      <c r="C104" s="1" t="s">
        <v>2354</v>
      </c>
      <c r="D104" s="5">
        <v>46035</v>
      </c>
      <c r="E104" s="5">
        <v>46035</v>
      </c>
      <c r="F104" s="120" t="s">
        <v>2355</v>
      </c>
      <c r="G104" s="1"/>
      <c r="H104" s="156">
        <v>500</v>
      </c>
      <c r="I104" s="1" t="s">
        <v>2356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8.5">
      <c r="A105" s="1" t="s">
        <v>239</v>
      </c>
      <c r="B105" s="1" t="s">
        <v>240</v>
      </c>
      <c r="C105" s="1" t="s">
        <v>2357</v>
      </c>
      <c r="D105" s="5">
        <v>46035</v>
      </c>
      <c r="E105" s="5">
        <v>46035</v>
      </c>
      <c r="F105" s="120" t="s">
        <v>412</v>
      </c>
      <c r="G105" s="1"/>
      <c r="H105" s="156">
        <v>9000</v>
      </c>
      <c r="I105" s="1" t="s">
        <v>2358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8.5">
      <c r="A106" s="1" t="s">
        <v>239</v>
      </c>
      <c r="B106" s="1" t="s">
        <v>240</v>
      </c>
      <c r="C106" s="1" t="s">
        <v>2359</v>
      </c>
      <c r="D106" s="5">
        <v>46035</v>
      </c>
      <c r="E106" s="5">
        <v>46035</v>
      </c>
      <c r="F106" s="120" t="s">
        <v>551</v>
      </c>
      <c r="G106" s="1"/>
      <c r="H106" s="156">
        <v>10000</v>
      </c>
      <c r="I106" s="1" t="s">
        <v>2360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42.75">
      <c r="A107" s="1" t="s">
        <v>239</v>
      </c>
      <c r="B107" s="1" t="s">
        <v>240</v>
      </c>
      <c r="C107" s="1" t="s">
        <v>2361</v>
      </c>
      <c r="D107" s="5">
        <v>46035</v>
      </c>
      <c r="E107" s="5">
        <v>46035</v>
      </c>
      <c r="F107" s="120" t="s">
        <v>2362</v>
      </c>
      <c r="G107" s="1"/>
      <c r="H107" s="156">
        <v>200</v>
      </c>
      <c r="I107" s="1" t="s">
        <v>2363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42.75">
      <c r="A108" s="1" t="s">
        <v>239</v>
      </c>
      <c r="B108" s="1" t="s">
        <v>240</v>
      </c>
      <c r="C108" s="1" t="s">
        <v>2361</v>
      </c>
      <c r="D108" s="5">
        <v>46035</v>
      </c>
      <c r="E108" s="5">
        <v>46035</v>
      </c>
      <c r="F108" s="120" t="s">
        <v>2364</v>
      </c>
      <c r="G108" s="1"/>
      <c r="H108" s="156">
        <v>12000</v>
      </c>
      <c r="I108" s="1" t="s">
        <v>2365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8.5">
      <c r="A109" s="1" t="s">
        <v>239</v>
      </c>
      <c r="B109" s="1" t="s">
        <v>240</v>
      </c>
      <c r="C109" s="1" t="s">
        <v>2366</v>
      </c>
      <c r="D109" s="5">
        <v>46035</v>
      </c>
      <c r="E109" s="5">
        <v>46035</v>
      </c>
      <c r="F109" s="120" t="s">
        <v>2367</v>
      </c>
      <c r="G109" s="1"/>
      <c r="H109" s="156">
        <v>200</v>
      </c>
      <c r="I109" s="1" t="s">
        <v>2368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42.75">
      <c r="A110" s="1" t="s">
        <v>239</v>
      </c>
      <c r="B110" s="1" t="s">
        <v>240</v>
      </c>
      <c r="C110" s="1" t="s">
        <v>2366</v>
      </c>
      <c r="D110" s="5">
        <v>46035</v>
      </c>
      <c r="E110" s="5">
        <v>46035</v>
      </c>
      <c r="F110" s="120" t="s">
        <v>2369</v>
      </c>
      <c r="G110" s="1"/>
      <c r="H110" s="156">
        <v>12000</v>
      </c>
      <c r="I110" s="1" t="s">
        <v>2370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42.75">
      <c r="A111" s="1" t="s">
        <v>239</v>
      </c>
      <c r="B111" s="1" t="s">
        <v>240</v>
      </c>
      <c r="C111" s="1" t="s">
        <v>2371</v>
      </c>
      <c r="D111" s="5">
        <v>46035</v>
      </c>
      <c r="E111" s="5">
        <v>46035</v>
      </c>
      <c r="F111" s="120" t="s">
        <v>2372</v>
      </c>
      <c r="G111" s="1"/>
      <c r="H111" s="156">
        <v>25000</v>
      </c>
      <c r="I111" s="1" t="s">
        <v>2373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8.5">
      <c r="A112" s="1" t="s">
        <v>239</v>
      </c>
      <c r="B112" s="1" t="s">
        <v>240</v>
      </c>
      <c r="C112" s="1" t="s">
        <v>2374</v>
      </c>
      <c r="D112" s="5">
        <v>46035</v>
      </c>
      <c r="E112" s="5">
        <v>46035</v>
      </c>
      <c r="F112" s="120" t="s">
        <v>4265</v>
      </c>
      <c r="G112" s="1">
        <v>700000</v>
      </c>
      <c r="H112" s="156"/>
      <c r="I112" s="1" t="s">
        <v>2376</v>
      </c>
      <c r="J112" s="1" t="s">
        <v>1307</v>
      </c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8.5">
      <c r="A113" s="1" t="s">
        <v>239</v>
      </c>
      <c r="B113" s="1" t="s">
        <v>240</v>
      </c>
      <c r="C113" s="1" t="s">
        <v>2377</v>
      </c>
      <c r="D113" s="5">
        <v>46036</v>
      </c>
      <c r="E113" s="5">
        <v>46036</v>
      </c>
      <c r="F113" s="120" t="s">
        <v>2378</v>
      </c>
      <c r="G113" s="1"/>
      <c r="H113" s="156">
        <v>100</v>
      </c>
      <c r="I113" s="1" t="s">
        <v>2379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8.5">
      <c r="A114" s="1" t="s">
        <v>239</v>
      </c>
      <c r="B114" s="1" t="s">
        <v>240</v>
      </c>
      <c r="C114" s="1" t="s">
        <v>2377</v>
      </c>
      <c r="D114" s="5">
        <v>46036</v>
      </c>
      <c r="E114" s="5">
        <v>46036</v>
      </c>
      <c r="F114" s="120" t="s">
        <v>2380</v>
      </c>
      <c r="G114" s="1"/>
      <c r="H114" s="156">
        <v>15000</v>
      </c>
      <c r="I114" s="1" t="s">
        <v>2381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42.75">
      <c r="A115" s="1" t="s">
        <v>239</v>
      </c>
      <c r="B115" s="1" t="s">
        <v>240</v>
      </c>
      <c r="C115" s="1" t="s">
        <v>2382</v>
      </c>
      <c r="D115" s="5">
        <v>46036</v>
      </c>
      <c r="E115" s="5">
        <v>46036</v>
      </c>
      <c r="F115" s="120" t="s">
        <v>2383</v>
      </c>
      <c r="G115" s="1"/>
      <c r="H115" s="156">
        <v>200</v>
      </c>
      <c r="I115" s="1" t="s">
        <v>2384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42.75">
      <c r="A116" s="1" t="s">
        <v>239</v>
      </c>
      <c r="B116" s="1" t="s">
        <v>240</v>
      </c>
      <c r="C116" s="1" t="s">
        <v>2382</v>
      </c>
      <c r="D116" s="5">
        <v>46036</v>
      </c>
      <c r="E116" s="5">
        <v>46036</v>
      </c>
      <c r="F116" s="120" t="s">
        <v>2385</v>
      </c>
      <c r="G116" s="1"/>
      <c r="H116" s="156">
        <v>12000</v>
      </c>
      <c r="I116" s="1" t="s">
        <v>2386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8.5">
      <c r="A117" s="1" t="s">
        <v>239</v>
      </c>
      <c r="B117" s="1" t="s">
        <v>240</v>
      </c>
      <c r="C117" s="1" t="s">
        <v>2387</v>
      </c>
      <c r="D117" s="5">
        <v>46036</v>
      </c>
      <c r="E117" s="5">
        <v>46036</v>
      </c>
      <c r="F117" s="120" t="s">
        <v>2388</v>
      </c>
      <c r="G117" s="1"/>
      <c r="H117" s="156">
        <v>100</v>
      </c>
      <c r="I117" s="1" t="s">
        <v>2389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8.5">
      <c r="A118" s="1" t="s">
        <v>239</v>
      </c>
      <c r="B118" s="1" t="s">
        <v>240</v>
      </c>
      <c r="C118" s="1" t="s">
        <v>2387</v>
      </c>
      <c r="D118" s="5">
        <v>46036</v>
      </c>
      <c r="E118" s="5">
        <v>46036</v>
      </c>
      <c r="F118" s="120" t="s">
        <v>2390</v>
      </c>
      <c r="G118" s="1"/>
      <c r="H118" s="156">
        <v>5000</v>
      </c>
      <c r="I118" s="1" t="s">
        <v>2391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8.5">
      <c r="A119" s="1" t="s">
        <v>239</v>
      </c>
      <c r="B119" s="1" t="s">
        <v>240</v>
      </c>
      <c r="C119" s="1" t="s">
        <v>2392</v>
      </c>
      <c r="D119" s="5">
        <v>46036</v>
      </c>
      <c r="E119" s="5">
        <v>46036</v>
      </c>
      <c r="F119" s="120" t="s">
        <v>2393</v>
      </c>
      <c r="G119" s="1"/>
      <c r="H119" s="156">
        <v>1000</v>
      </c>
      <c r="I119" s="1" t="s">
        <v>2394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8.5">
      <c r="A120" s="1" t="s">
        <v>239</v>
      </c>
      <c r="B120" s="1" t="s">
        <v>240</v>
      </c>
      <c r="C120" s="1" t="s">
        <v>2395</v>
      </c>
      <c r="D120" s="5">
        <v>46036</v>
      </c>
      <c r="E120" s="5">
        <v>46036</v>
      </c>
      <c r="F120" s="120" t="s">
        <v>2396</v>
      </c>
      <c r="G120" s="1"/>
      <c r="H120" s="156">
        <v>100</v>
      </c>
      <c r="I120" s="1" t="s">
        <v>2397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8.5">
      <c r="A121" s="1" t="s">
        <v>239</v>
      </c>
      <c r="B121" s="1" t="s">
        <v>240</v>
      </c>
      <c r="C121" s="1" t="s">
        <v>2395</v>
      </c>
      <c r="D121" s="5">
        <v>46036</v>
      </c>
      <c r="E121" s="5">
        <v>46036</v>
      </c>
      <c r="F121" s="120" t="s">
        <v>2398</v>
      </c>
      <c r="G121" s="1"/>
      <c r="H121" s="156">
        <v>10000</v>
      </c>
      <c r="I121" s="1" t="s">
        <v>2399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42.75">
      <c r="A122" s="1" t="s">
        <v>239</v>
      </c>
      <c r="B122" s="1" t="s">
        <v>240</v>
      </c>
      <c r="C122" s="1" t="s">
        <v>2400</v>
      </c>
      <c r="D122" s="5">
        <v>46036</v>
      </c>
      <c r="E122" s="5">
        <v>46036</v>
      </c>
      <c r="F122" s="120" t="s">
        <v>2401</v>
      </c>
      <c r="G122" s="1"/>
      <c r="H122" s="156">
        <v>20000</v>
      </c>
      <c r="I122" s="1" t="s">
        <v>2402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42.75">
      <c r="A123" s="1" t="s">
        <v>239</v>
      </c>
      <c r="B123" s="1" t="s">
        <v>240</v>
      </c>
      <c r="C123" s="1" t="s">
        <v>2403</v>
      </c>
      <c r="D123" s="5">
        <v>46036</v>
      </c>
      <c r="E123" s="5">
        <v>46036</v>
      </c>
      <c r="F123" s="120" t="s">
        <v>2404</v>
      </c>
      <c r="G123" s="1"/>
      <c r="H123" s="156">
        <v>30000</v>
      </c>
      <c r="I123" s="1" t="s">
        <v>2405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42.75">
      <c r="A124" s="1" t="s">
        <v>239</v>
      </c>
      <c r="B124" s="1" t="s">
        <v>240</v>
      </c>
      <c r="C124" s="1" t="s">
        <v>2406</v>
      </c>
      <c r="D124" s="5">
        <v>46036</v>
      </c>
      <c r="E124" s="5">
        <v>46036</v>
      </c>
      <c r="F124" s="120" t="s">
        <v>2407</v>
      </c>
      <c r="G124" s="1"/>
      <c r="H124" s="156">
        <v>16000</v>
      </c>
      <c r="I124" s="1" t="s">
        <v>2409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42.75">
      <c r="A125" s="1" t="s">
        <v>239</v>
      </c>
      <c r="B125" s="1" t="s">
        <v>240</v>
      </c>
      <c r="C125" s="1" t="s">
        <v>2410</v>
      </c>
      <c r="D125" s="5">
        <v>46036</v>
      </c>
      <c r="E125" s="5">
        <v>46036</v>
      </c>
      <c r="F125" s="120" t="s">
        <v>2411</v>
      </c>
      <c r="G125" s="1"/>
      <c r="H125" s="156">
        <v>200</v>
      </c>
      <c r="I125" s="1" t="s">
        <v>2412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42.75">
      <c r="A126" s="1" t="s">
        <v>239</v>
      </c>
      <c r="B126" s="1" t="s">
        <v>240</v>
      </c>
      <c r="C126" s="1" t="s">
        <v>2410</v>
      </c>
      <c r="D126" s="5">
        <v>46036</v>
      </c>
      <c r="E126" s="5">
        <v>46036</v>
      </c>
      <c r="F126" s="120" t="s">
        <v>2413</v>
      </c>
      <c r="G126" s="1"/>
      <c r="H126" s="156">
        <v>12000</v>
      </c>
      <c r="I126" s="1" t="s">
        <v>2414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42.75">
      <c r="A127" s="1" t="s">
        <v>239</v>
      </c>
      <c r="B127" s="1" t="s">
        <v>240</v>
      </c>
      <c r="C127" s="1" t="s">
        <v>2415</v>
      </c>
      <c r="D127" s="5">
        <v>46037</v>
      </c>
      <c r="E127" s="5">
        <v>46037</v>
      </c>
      <c r="F127" s="120" t="s">
        <v>2416</v>
      </c>
      <c r="G127" s="1"/>
      <c r="H127" s="156">
        <v>100</v>
      </c>
      <c r="I127" s="1" t="s">
        <v>2417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42.75">
      <c r="A128" s="1" t="s">
        <v>239</v>
      </c>
      <c r="B128" s="1" t="s">
        <v>240</v>
      </c>
      <c r="C128" s="1" t="s">
        <v>2415</v>
      </c>
      <c r="D128" s="5">
        <v>46037</v>
      </c>
      <c r="E128" s="5">
        <v>46037</v>
      </c>
      <c r="F128" s="120" t="s">
        <v>2418</v>
      </c>
      <c r="G128" s="1"/>
      <c r="H128" s="156">
        <v>5000</v>
      </c>
      <c r="I128" s="1" t="s">
        <v>2419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8.5">
      <c r="A129" s="1" t="s">
        <v>239</v>
      </c>
      <c r="B129" s="1" t="s">
        <v>240</v>
      </c>
      <c r="C129" s="1" t="s">
        <v>2420</v>
      </c>
      <c r="D129" s="5">
        <v>46037</v>
      </c>
      <c r="E129" s="5">
        <v>46037</v>
      </c>
      <c r="F129" s="120" t="s">
        <v>2421</v>
      </c>
      <c r="G129" s="1"/>
      <c r="H129" s="156">
        <v>100</v>
      </c>
      <c r="I129" s="1" t="s">
        <v>2422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8.5">
      <c r="A130" s="1" t="s">
        <v>239</v>
      </c>
      <c r="B130" s="1" t="s">
        <v>240</v>
      </c>
      <c r="C130" s="1" t="s">
        <v>2420</v>
      </c>
      <c r="D130" s="5">
        <v>46037</v>
      </c>
      <c r="E130" s="5">
        <v>46037</v>
      </c>
      <c r="F130" s="120" t="s">
        <v>2423</v>
      </c>
      <c r="G130" s="1"/>
      <c r="H130" s="156">
        <v>5000</v>
      </c>
      <c r="I130" s="1" t="s">
        <v>2424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42.75">
      <c r="A131" s="1" t="s">
        <v>239</v>
      </c>
      <c r="B131" s="1" t="s">
        <v>240</v>
      </c>
      <c r="C131" s="1" t="s">
        <v>2425</v>
      </c>
      <c r="D131" s="5">
        <v>46037</v>
      </c>
      <c r="E131" s="5">
        <v>46037</v>
      </c>
      <c r="F131" s="120" t="s">
        <v>2426</v>
      </c>
      <c r="G131" s="1"/>
      <c r="H131" s="156">
        <v>200</v>
      </c>
      <c r="I131" s="1" t="s">
        <v>2427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42.75">
      <c r="A132" s="1" t="s">
        <v>239</v>
      </c>
      <c r="B132" s="1" t="s">
        <v>240</v>
      </c>
      <c r="C132" s="1" t="s">
        <v>2425</v>
      </c>
      <c r="D132" s="5">
        <v>46037</v>
      </c>
      <c r="E132" s="5">
        <v>46037</v>
      </c>
      <c r="F132" s="120" t="s">
        <v>2428</v>
      </c>
      <c r="G132" s="1"/>
      <c r="H132" s="156">
        <v>14000</v>
      </c>
      <c r="I132" s="1" t="s">
        <v>2429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42.75">
      <c r="A133" s="1" t="s">
        <v>239</v>
      </c>
      <c r="B133" s="1" t="s">
        <v>240</v>
      </c>
      <c r="C133" s="1" t="s">
        <v>2430</v>
      </c>
      <c r="D133" s="5">
        <v>46037</v>
      </c>
      <c r="E133" s="5">
        <v>46037</v>
      </c>
      <c r="F133" s="120" t="s">
        <v>2431</v>
      </c>
      <c r="G133" s="1"/>
      <c r="H133" s="156">
        <v>10000</v>
      </c>
      <c r="I133" s="1" t="s">
        <v>2432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8.5">
      <c r="A134" s="1" t="s">
        <v>239</v>
      </c>
      <c r="B134" s="1" t="s">
        <v>240</v>
      </c>
      <c r="C134" s="1" t="s">
        <v>2433</v>
      </c>
      <c r="D134" s="5">
        <v>46037</v>
      </c>
      <c r="E134" s="5">
        <v>46037</v>
      </c>
      <c r="F134" s="120" t="s">
        <v>2434</v>
      </c>
      <c r="G134" s="1">
        <v>650000</v>
      </c>
      <c r="H134" s="156"/>
      <c r="I134" s="1" t="s">
        <v>2436</v>
      </c>
      <c r="J134" s="1" t="s">
        <v>2435</v>
      </c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8.5">
      <c r="A135" s="1" t="s">
        <v>239</v>
      </c>
      <c r="B135" s="1" t="s">
        <v>240</v>
      </c>
      <c r="C135" s="1" t="s">
        <v>2437</v>
      </c>
      <c r="D135" s="5">
        <v>46037</v>
      </c>
      <c r="E135" s="5">
        <v>46037</v>
      </c>
      <c r="F135" s="120" t="s">
        <v>2438</v>
      </c>
      <c r="G135" s="1"/>
      <c r="H135" s="156">
        <v>100</v>
      </c>
      <c r="I135" s="1" t="s">
        <v>2439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8.5">
      <c r="A136" s="1" t="s">
        <v>239</v>
      </c>
      <c r="B136" s="1" t="s">
        <v>240</v>
      </c>
      <c r="C136" s="1" t="s">
        <v>2437</v>
      </c>
      <c r="D136" s="5">
        <v>46037</v>
      </c>
      <c r="E136" s="5">
        <v>46037</v>
      </c>
      <c r="F136" s="120" t="s">
        <v>2440</v>
      </c>
      <c r="G136" s="1"/>
      <c r="H136" s="156">
        <v>8000</v>
      </c>
      <c r="I136" s="1" t="s">
        <v>2441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8.5">
      <c r="A137" s="1" t="s">
        <v>239</v>
      </c>
      <c r="B137" s="1" t="s">
        <v>240</v>
      </c>
      <c r="C137" s="1" t="s">
        <v>2442</v>
      </c>
      <c r="D137" s="5">
        <v>46037</v>
      </c>
      <c r="E137" s="5">
        <v>46037</v>
      </c>
      <c r="F137" s="120" t="s">
        <v>2443</v>
      </c>
      <c r="G137" s="1"/>
      <c r="H137" s="156">
        <v>200</v>
      </c>
      <c r="I137" s="1" t="s">
        <v>2444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42.75">
      <c r="A138" s="1" t="s">
        <v>239</v>
      </c>
      <c r="B138" s="1" t="s">
        <v>240</v>
      </c>
      <c r="C138" s="1" t="s">
        <v>2442</v>
      </c>
      <c r="D138" s="5">
        <v>46037</v>
      </c>
      <c r="E138" s="5">
        <v>46037</v>
      </c>
      <c r="F138" s="120" t="s">
        <v>2445</v>
      </c>
      <c r="G138" s="1"/>
      <c r="H138" s="156">
        <v>23000</v>
      </c>
      <c r="I138" s="1" t="s">
        <v>2446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42.75">
      <c r="A139" s="1" t="s">
        <v>239</v>
      </c>
      <c r="B139" s="1" t="s">
        <v>240</v>
      </c>
      <c r="C139" s="1" t="s">
        <v>2447</v>
      </c>
      <c r="D139" s="5">
        <v>46037</v>
      </c>
      <c r="E139" s="5">
        <v>46037</v>
      </c>
      <c r="F139" s="120" t="s">
        <v>1232</v>
      </c>
      <c r="G139" s="1"/>
      <c r="H139" s="156">
        <v>10000</v>
      </c>
      <c r="I139" s="1" t="s">
        <v>2448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1" t="s">
        <v>239</v>
      </c>
      <c r="B140" s="1" t="s">
        <v>240</v>
      </c>
      <c r="C140" s="1" t="s">
        <v>2449</v>
      </c>
      <c r="D140" s="5">
        <v>46038</v>
      </c>
      <c r="E140" s="5">
        <v>46038</v>
      </c>
      <c r="F140" s="120" t="s">
        <v>4253</v>
      </c>
      <c r="G140" s="1">
        <v>150000</v>
      </c>
      <c r="H140" s="156"/>
      <c r="I140" s="1" t="s">
        <v>2451</v>
      </c>
      <c r="J140" s="1" t="s">
        <v>747</v>
      </c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8.5">
      <c r="A141" s="1" t="s">
        <v>239</v>
      </c>
      <c r="B141" s="1" t="s">
        <v>240</v>
      </c>
      <c r="C141" s="1" t="s">
        <v>2452</v>
      </c>
      <c r="D141" s="5">
        <v>46038</v>
      </c>
      <c r="E141" s="5">
        <v>46038</v>
      </c>
      <c r="F141" s="120" t="s">
        <v>2453</v>
      </c>
      <c r="G141" s="1"/>
      <c r="H141" s="156">
        <v>200</v>
      </c>
      <c r="I141" s="1" t="s">
        <v>2454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42.75">
      <c r="A142" s="1" t="s">
        <v>239</v>
      </c>
      <c r="B142" s="1" t="s">
        <v>240</v>
      </c>
      <c r="C142" s="1" t="s">
        <v>2452</v>
      </c>
      <c r="D142" s="5">
        <v>46038</v>
      </c>
      <c r="E142" s="5">
        <v>46038</v>
      </c>
      <c r="F142" s="120" t="s">
        <v>2455</v>
      </c>
      <c r="G142" s="1"/>
      <c r="H142" s="156">
        <v>20320</v>
      </c>
      <c r="I142" s="1" t="s">
        <v>2457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42.75">
      <c r="A143" s="1" t="s">
        <v>239</v>
      </c>
      <c r="B143" s="1" t="s">
        <v>240</v>
      </c>
      <c r="C143" s="1" t="s">
        <v>2458</v>
      </c>
      <c r="D143" s="5">
        <v>46038</v>
      </c>
      <c r="E143" s="5">
        <v>46038</v>
      </c>
      <c r="F143" s="120" t="s">
        <v>2459</v>
      </c>
      <c r="G143" s="1"/>
      <c r="H143" s="156">
        <v>2000</v>
      </c>
      <c r="I143" s="1" t="s">
        <v>2460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8.5">
      <c r="A144" s="1" t="s">
        <v>2461</v>
      </c>
      <c r="B144" s="1" t="s">
        <v>240</v>
      </c>
      <c r="C144" s="1" t="s">
        <v>2462</v>
      </c>
      <c r="D144" s="5">
        <v>46038</v>
      </c>
      <c r="E144" s="5">
        <v>46038</v>
      </c>
      <c r="F144" s="120" t="s">
        <v>4266</v>
      </c>
      <c r="G144" s="1">
        <v>1200000</v>
      </c>
      <c r="H144" s="156"/>
      <c r="I144" s="1" t="s">
        <v>2465</v>
      </c>
      <c r="J144" s="1" t="s">
        <v>2464</v>
      </c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8.5">
      <c r="A145" s="1" t="s">
        <v>239</v>
      </c>
      <c r="B145" s="1" t="s">
        <v>240</v>
      </c>
      <c r="C145" s="1" t="s">
        <v>2466</v>
      </c>
      <c r="D145" s="5">
        <v>46038</v>
      </c>
      <c r="E145" s="5">
        <v>46038</v>
      </c>
      <c r="F145" s="120" t="s">
        <v>2467</v>
      </c>
      <c r="G145" s="1"/>
      <c r="H145" s="156">
        <v>1000</v>
      </c>
      <c r="I145" s="1" t="s">
        <v>2468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8.5">
      <c r="A146" s="1" t="s">
        <v>239</v>
      </c>
      <c r="B146" s="1" t="s">
        <v>240</v>
      </c>
      <c r="C146" s="1" t="s">
        <v>2466</v>
      </c>
      <c r="D146" s="5">
        <v>46038</v>
      </c>
      <c r="E146" s="5">
        <v>46038</v>
      </c>
      <c r="F146" s="120" t="s">
        <v>2469</v>
      </c>
      <c r="G146" s="1"/>
      <c r="H146" s="156">
        <v>1400000</v>
      </c>
      <c r="I146" s="1" t="s">
        <v>2471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8.5">
      <c r="A147" s="1" t="s">
        <v>239</v>
      </c>
      <c r="B147" s="1" t="s">
        <v>240</v>
      </c>
      <c r="C147" s="1" t="s">
        <v>2472</v>
      </c>
      <c r="D147" s="5">
        <v>46038</v>
      </c>
      <c r="E147" s="5">
        <v>46038</v>
      </c>
      <c r="F147" s="120" t="s">
        <v>2473</v>
      </c>
      <c r="G147" s="1"/>
      <c r="H147" s="156">
        <v>200</v>
      </c>
      <c r="I147" s="1" t="s">
        <v>2474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42.75">
      <c r="A148" s="1" t="s">
        <v>239</v>
      </c>
      <c r="B148" s="1" t="s">
        <v>240</v>
      </c>
      <c r="C148" s="1" t="s">
        <v>2472</v>
      </c>
      <c r="D148" s="5">
        <v>46038</v>
      </c>
      <c r="E148" s="5">
        <v>46038</v>
      </c>
      <c r="F148" s="120" t="s">
        <v>2475</v>
      </c>
      <c r="G148" s="1"/>
      <c r="H148" s="156">
        <v>12000</v>
      </c>
      <c r="I148" s="1" t="s">
        <v>2476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42.75">
      <c r="A149" s="1" t="s">
        <v>239</v>
      </c>
      <c r="B149" s="1" t="s">
        <v>240</v>
      </c>
      <c r="C149" s="1" t="s">
        <v>2477</v>
      </c>
      <c r="D149" s="5">
        <v>46039</v>
      </c>
      <c r="E149" s="5">
        <v>46039</v>
      </c>
      <c r="F149" s="120" t="s">
        <v>2478</v>
      </c>
      <c r="G149" s="1"/>
      <c r="H149" s="156">
        <v>48000</v>
      </c>
      <c r="I149" s="1" t="s">
        <v>2479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8.5">
      <c r="A150" s="1" t="s">
        <v>239</v>
      </c>
      <c r="B150" s="1" t="s">
        <v>240</v>
      </c>
      <c r="C150" s="1" t="s">
        <v>2480</v>
      </c>
      <c r="D150" s="5">
        <v>46039</v>
      </c>
      <c r="E150" s="5">
        <v>46039</v>
      </c>
      <c r="F150" s="120" t="s">
        <v>2481</v>
      </c>
      <c r="G150" s="1"/>
      <c r="H150" s="156">
        <v>200</v>
      </c>
      <c r="I150" s="1" t="s">
        <v>2482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42.75">
      <c r="A151" s="1" t="s">
        <v>239</v>
      </c>
      <c r="B151" s="1" t="s">
        <v>240</v>
      </c>
      <c r="C151" s="1" t="s">
        <v>2480</v>
      </c>
      <c r="D151" s="5">
        <v>46039</v>
      </c>
      <c r="E151" s="5">
        <v>46039</v>
      </c>
      <c r="F151" s="120" t="s">
        <v>2483</v>
      </c>
      <c r="G151" s="1"/>
      <c r="H151" s="156">
        <v>17500</v>
      </c>
      <c r="I151" s="1" t="s">
        <v>2484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42.75">
      <c r="A152" s="1" t="s">
        <v>239</v>
      </c>
      <c r="B152" s="1" t="s">
        <v>240</v>
      </c>
      <c r="C152" s="1" t="s">
        <v>2485</v>
      </c>
      <c r="D152" s="5">
        <v>46039</v>
      </c>
      <c r="E152" s="5">
        <v>46039</v>
      </c>
      <c r="F152" s="120" t="s">
        <v>2486</v>
      </c>
      <c r="G152" s="1"/>
      <c r="H152" s="156">
        <v>200</v>
      </c>
      <c r="I152" s="1" t="s">
        <v>2487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42.75">
      <c r="A153" s="1" t="s">
        <v>239</v>
      </c>
      <c r="B153" s="1" t="s">
        <v>240</v>
      </c>
      <c r="C153" s="1" t="s">
        <v>2485</v>
      </c>
      <c r="D153" s="5">
        <v>46039</v>
      </c>
      <c r="E153" s="5">
        <v>46039</v>
      </c>
      <c r="F153" s="120" t="s">
        <v>2488</v>
      </c>
      <c r="G153" s="1"/>
      <c r="H153" s="156">
        <v>17000</v>
      </c>
      <c r="I153" s="1" t="s">
        <v>2489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8.5">
      <c r="A154" s="1" t="s">
        <v>239</v>
      </c>
      <c r="B154" s="1" t="s">
        <v>240</v>
      </c>
      <c r="C154" s="1" t="s">
        <v>2490</v>
      </c>
      <c r="D154" s="5">
        <v>46040</v>
      </c>
      <c r="E154" s="5">
        <v>46040</v>
      </c>
      <c r="F154" s="120" t="s">
        <v>2491</v>
      </c>
      <c r="G154" s="1"/>
      <c r="H154" s="156">
        <v>100</v>
      </c>
      <c r="I154" s="1" t="s">
        <v>2492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8.5">
      <c r="A155" s="1" t="s">
        <v>239</v>
      </c>
      <c r="B155" s="1" t="s">
        <v>240</v>
      </c>
      <c r="C155" s="1" t="s">
        <v>2490</v>
      </c>
      <c r="D155" s="5">
        <v>46040</v>
      </c>
      <c r="E155" s="5">
        <v>46040</v>
      </c>
      <c r="F155" s="120" t="s">
        <v>2493</v>
      </c>
      <c r="G155" s="1"/>
      <c r="H155" s="156">
        <v>5500</v>
      </c>
      <c r="I155" s="1" t="s">
        <v>2495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42.75">
      <c r="A156" s="1" t="s">
        <v>239</v>
      </c>
      <c r="B156" s="1" t="s">
        <v>240</v>
      </c>
      <c r="C156" s="1" t="s">
        <v>2496</v>
      </c>
      <c r="D156" s="5">
        <v>46040</v>
      </c>
      <c r="E156" s="5">
        <v>46040</v>
      </c>
      <c r="F156" s="120" t="s">
        <v>2497</v>
      </c>
      <c r="G156" s="1"/>
      <c r="H156" s="156">
        <v>40000</v>
      </c>
      <c r="I156" s="1" t="s">
        <v>2498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42.75">
      <c r="A157" s="1" t="s">
        <v>239</v>
      </c>
      <c r="B157" s="1" t="s">
        <v>240</v>
      </c>
      <c r="C157" s="1" t="s">
        <v>2499</v>
      </c>
      <c r="D157" s="5">
        <v>46041</v>
      </c>
      <c r="E157" s="5">
        <v>46041</v>
      </c>
      <c r="F157" s="120" t="s">
        <v>2500</v>
      </c>
      <c r="G157" s="1"/>
      <c r="H157" s="156">
        <v>200</v>
      </c>
      <c r="I157" s="1" t="s">
        <v>2501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42.75">
      <c r="A158" s="1" t="s">
        <v>239</v>
      </c>
      <c r="B158" s="1" t="s">
        <v>240</v>
      </c>
      <c r="C158" s="1" t="s">
        <v>2499</v>
      </c>
      <c r="D158" s="5">
        <v>46041</v>
      </c>
      <c r="E158" s="5">
        <v>46041</v>
      </c>
      <c r="F158" s="120" t="s">
        <v>2502</v>
      </c>
      <c r="G158" s="1"/>
      <c r="H158" s="156">
        <v>50000</v>
      </c>
      <c r="I158" s="1" t="s">
        <v>2503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8.5">
      <c r="A159" s="1" t="s">
        <v>239</v>
      </c>
      <c r="B159" s="1" t="s">
        <v>240</v>
      </c>
      <c r="C159" s="1" t="s">
        <v>2504</v>
      </c>
      <c r="D159" s="5">
        <v>46041</v>
      </c>
      <c r="E159" s="5">
        <v>46041</v>
      </c>
      <c r="F159" s="120" t="s">
        <v>2505</v>
      </c>
      <c r="G159" s="1"/>
      <c r="H159" s="156">
        <v>100</v>
      </c>
      <c r="I159" s="1" t="s">
        <v>2506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42.75">
      <c r="A160" s="1" t="s">
        <v>239</v>
      </c>
      <c r="B160" s="1" t="s">
        <v>240</v>
      </c>
      <c r="C160" s="1" t="s">
        <v>2504</v>
      </c>
      <c r="D160" s="5">
        <v>46041</v>
      </c>
      <c r="E160" s="5">
        <v>46041</v>
      </c>
      <c r="F160" s="120" t="s">
        <v>2507</v>
      </c>
      <c r="G160" s="1"/>
      <c r="H160" s="156">
        <v>6000</v>
      </c>
      <c r="I160" s="1" t="s">
        <v>2508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8.5">
      <c r="A161" s="1" t="s">
        <v>239</v>
      </c>
      <c r="B161" s="1" t="s">
        <v>240</v>
      </c>
      <c r="C161" s="1" t="s">
        <v>2509</v>
      </c>
      <c r="D161" s="5">
        <v>46042</v>
      </c>
      <c r="E161" s="5">
        <v>46042</v>
      </c>
      <c r="F161" s="120" t="s">
        <v>551</v>
      </c>
      <c r="G161" s="1"/>
      <c r="H161" s="156">
        <v>10000</v>
      </c>
      <c r="I161" s="1" t="s">
        <v>2510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8.5">
      <c r="A162" s="1" t="s">
        <v>239</v>
      </c>
      <c r="B162" s="1" t="s">
        <v>240</v>
      </c>
      <c r="C162" s="1" t="s">
        <v>2511</v>
      </c>
      <c r="D162" s="5">
        <v>46042</v>
      </c>
      <c r="E162" s="5">
        <v>46042</v>
      </c>
      <c r="F162" s="120" t="s">
        <v>2512</v>
      </c>
      <c r="G162" s="1"/>
      <c r="H162" s="156">
        <v>8500</v>
      </c>
      <c r="I162" s="1" t="s">
        <v>2514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8.5">
      <c r="A163" s="1" t="s">
        <v>239</v>
      </c>
      <c r="B163" s="1" t="s">
        <v>240</v>
      </c>
      <c r="C163" s="1" t="s">
        <v>2515</v>
      </c>
      <c r="D163" s="5">
        <v>46042</v>
      </c>
      <c r="E163" s="5">
        <v>46042</v>
      </c>
      <c r="F163" s="120" t="s">
        <v>4267</v>
      </c>
      <c r="G163" s="1">
        <v>350000</v>
      </c>
      <c r="H163" s="156"/>
      <c r="I163" s="1" t="s">
        <v>2517</v>
      </c>
      <c r="J163" s="1" t="s">
        <v>1044</v>
      </c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8.5">
      <c r="A164" s="1" t="s">
        <v>2518</v>
      </c>
      <c r="B164" s="1" t="s">
        <v>240</v>
      </c>
      <c r="C164" s="1" t="s">
        <v>2519</v>
      </c>
      <c r="D164" s="5">
        <v>46043</v>
      </c>
      <c r="E164" s="5">
        <v>46043</v>
      </c>
      <c r="F164" s="120" t="s">
        <v>4268</v>
      </c>
      <c r="G164" s="1">
        <v>100000</v>
      </c>
      <c r="H164" s="156"/>
      <c r="I164" s="1" t="s">
        <v>2521</v>
      </c>
      <c r="J164" s="1" t="s">
        <v>368</v>
      </c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8.5">
      <c r="A165" s="1" t="s">
        <v>239</v>
      </c>
      <c r="B165" s="1" t="s">
        <v>240</v>
      </c>
      <c r="C165" s="1" t="s">
        <v>2522</v>
      </c>
      <c r="D165" s="5">
        <v>46043</v>
      </c>
      <c r="E165" s="5">
        <v>46043</v>
      </c>
      <c r="F165" s="120" t="s">
        <v>551</v>
      </c>
      <c r="G165" s="1"/>
      <c r="H165" s="156">
        <v>30000</v>
      </c>
      <c r="I165" s="1" t="s">
        <v>2523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42.75">
      <c r="A166" s="1" t="s">
        <v>239</v>
      </c>
      <c r="B166" s="1" t="s">
        <v>240</v>
      </c>
      <c r="C166" s="1" t="s">
        <v>2524</v>
      </c>
      <c r="D166" s="5">
        <v>46044</v>
      </c>
      <c r="E166" s="5">
        <v>46044</v>
      </c>
      <c r="F166" s="120" t="s">
        <v>2525</v>
      </c>
      <c r="G166" s="1"/>
      <c r="H166" s="156">
        <v>200</v>
      </c>
      <c r="I166" s="1" t="s">
        <v>2526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42.75">
      <c r="A167" s="1" t="s">
        <v>239</v>
      </c>
      <c r="B167" s="1" t="s">
        <v>240</v>
      </c>
      <c r="C167" s="1" t="s">
        <v>2524</v>
      </c>
      <c r="D167" s="5">
        <v>46044</v>
      </c>
      <c r="E167" s="5">
        <v>46044</v>
      </c>
      <c r="F167" s="120" t="s">
        <v>2527</v>
      </c>
      <c r="G167" s="1"/>
      <c r="H167" s="156">
        <v>35000</v>
      </c>
      <c r="I167" s="1" t="s">
        <v>2528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8.5">
      <c r="A168" s="1" t="s">
        <v>239</v>
      </c>
      <c r="B168" s="1" t="s">
        <v>240</v>
      </c>
      <c r="C168" s="1" t="s">
        <v>2529</v>
      </c>
      <c r="D168" s="5">
        <v>46044</v>
      </c>
      <c r="E168" s="5">
        <v>46044</v>
      </c>
      <c r="F168" s="120" t="s">
        <v>2530</v>
      </c>
      <c r="G168" s="1">
        <v>640000</v>
      </c>
      <c r="H168" s="156"/>
      <c r="I168" s="1" t="s">
        <v>2532</v>
      </c>
      <c r="J168" s="1" t="s">
        <v>2531</v>
      </c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42.75">
      <c r="A169" s="1" t="s">
        <v>239</v>
      </c>
      <c r="B169" s="1" t="s">
        <v>240</v>
      </c>
      <c r="C169" s="1" t="s">
        <v>2533</v>
      </c>
      <c r="D169" s="5">
        <v>46044</v>
      </c>
      <c r="E169" s="5">
        <v>46044</v>
      </c>
      <c r="F169" s="120" t="s">
        <v>4269</v>
      </c>
      <c r="G169" s="1">
        <v>400000</v>
      </c>
      <c r="H169" s="156"/>
      <c r="I169" s="1" t="s">
        <v>2535</v>
      </c>
      <c r="J169" s="1" t="s">
        <v>1476</v>
      </c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1" t="s">
        <v>239</v>
      </c>
      <c r="B170" s="1" t="s">
        <v>240</v>
      </c>
      <c r="C170" s="1" t="s">
        <v>2536</v>
      </c>
      <c r="D170" s="5">
        <v>46044</v>
      </c>
      <c r="E170" s="5">
        <v>46044</v>
      </c>
      <c r="F170" s="120" t="s">
        <v>2537</v>
      </c>
      <c r="G170" s="1">
        <v>281000</v>
      </c>
      <c r="H170" s="156"/>
      <c r="I170" s="1" t="s">
        <v>2539</v>
      </c>
      <c r="J170" s="1" t="s">
        <v>2538</v>
      </c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8.5">
      <c r="A171" s="1" t="s">
        <v>239</v>
      </c>
      <c r="B171" s="1" t="s">
        <v>240</v>
      </c>
      <c r="C171" s="1" t="s">
        <v>2540</v>
      </c>
      <c r="D171" s="5">
        <v>46044</v>
      </c>
      <c r="E171" s="5">
        <v>46044</v>
      </c>
      <c r="F171" s="120" t="s">
        <v>4270</v>
      </c>
      <c r="G171" s="1">
        <v>400000</v>
      </c>
      <c r="H171" s="156"/>
      <c r="I171" s="1" t="s">
        <v>2542</v>
      </c>
      <c r="J171" s="1" t="s">
        <v>1476</v>
      </c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8.5">
      <c r="A172" s="1" t="s">
        <v>239</v>
      </c>
      <c r="B172" s="1" t="s">
        <v>240</v>
      </c>
      <c r="C172" s="1" t="s">
        <v>2543</v>
      </c>
      <c r="D172" s="5">
        <v>46044</v>
      </c>
      <c r="E172" s="5">
        <v>46044</v>
      </c>
      <c r="F172" s="120" t="s">
        <v>2544</v>
      </c>
      <c r="G172" s="1"/>
      <c r="H172" s="156">
        <v>100</v>
      </c>
      <c r="I172" s="1" t="s">
        <v>2545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42.75">
      <c r="A173" s="1" t="s">
        <v>239</v>
      </c>
      <c r="B173" s="1" t="s">
        <v>240</v>
      </c>
      <c r="C173" s="1" t="s">
        <v>2543</v>
      </c>
      <c r="D173" s="5">
        <v>46044</v>
      </c>
      <c r="E173" s="5">
        <v>46044</v>
      </c>
      <c r="F173" s="120" t="s">
        <v>2546</v>
      </c>
      <c r="G173" s="1"/>
      <c r="H173" s="156">
        <v>10000</v>
      </c>
      <c r="I173" s="1" t="s">
        <v>2547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42.75">
      <c r="A174" s="1" t="s">
        <v>239</v>
      </c>
      <c r="B174" s="1" t="s">
        <v>240</v>
      </c>
      <c r="C174" s="1" t="s">
        <v>2548</v>
      </c>
      <c r="D174" s="5">
        <v>46045</v>
      </c>
      <c r="E174" s="5">
        <v>46045</v>
      </c>
      <c r="F174" s="120" t="s">
        <v>2549</v>
      </c>
      <c r="G174" s="1"/>
      <c r="H174" s="156">
        <v>200</v>
      </c>
      <c r="I174" s="1" t="s">
        <v>2550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42.75">
      <c r="A175" s="1" t="s">
        <v>239</v>
      </c>
      <c r="B175" s="1" t="s">
        <v>240</v>
      </c>
      <c r="C175" s="1" t="s">
        <v>2548</v>
      </c>
      <c r="D175" s="5">
        <v>46045</v>
      </c>
      <c r="E175" s="5">
        <v>46045</v>
      </c>
      <c r="F175" s="120" t="s">
        <v>2551</v>
      </c>
      <c r="G175" s="1"/>
      <c r="H175" s="156">
        <v>20000</v>
      </c>
      <c r="I175" s="1" t="s">
        <v>2552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42.75">
      <c r="A176" s="1" t="s">
        <v>239</v>
      </c>
      <c r="B176" s="1" t="s">
        <v>240</v>
      </c>
      <c r="C176" s="1" t="s">
        <v>2553</v>
      </c>
      <c r="D176" s="5">
        <v>46045</v>
      </c>
      <c r="E176" s="5">
        <v>46045</v>
      </c>
      <c r="F176" s="120" t="s">
        <v>2554</v>
      </c>
      <c r="G176" s="1"/>
      <c r="H176" s="156">
        <v>20</v>
      </c>
      <c r="I176" s="1" t="s">
        <v>2555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42.75">
      <c r="A177" s="1" t="s">
        <v>239</v>
      </c>
      <c r="B177" s="1" t="s">
        <v>240</v>
      </c>
      <c r="C177" s="1" t="s">
        <v>2553</v>
      </c>
      <c r="D177" s="5">
        <v>46045</v>
      </c>
      <c r="E177" s="5">
        <v>46045</v>
      </c>
      <c r="F177" s="120" t="s">
        <v>2556</v>
      </c>
      <c r="G177" s="1"/>
      <c r="H177" s="156">
        <v>500</v>
      </c>
      <c r="I177" s="1" t="s">
        <v>2557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8.5">
      <c r="A178" s="1" t="s">
        <v>239</v>
      </c>
      <c r="B178" s="1" t="s">
        <v>240</v>
      </c>
      <c r="C178" s="1" t="s">
        <v>2558</v>
      </c>
      <c r="D178" s="5">
        <v>46045</v>
      </c>
      <c r="E178" s="5">
        <v>46045</v>
      </c>
      <c r="F178" s="120" t="s">
        <v>2559</v>
      </c>
      <c r="G178" s="1"/>
      <c r="H178" s="156">
        <v>59314</v>
      </c>
      <c r="I178" s="1" t="s">
        <v>2561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8.5">
      <c r="A179" s="1" t="s">
        <v>239</v>
      </c>
      <c r="B179" s="1" t="s">
        <v>240</v>
      </c>
      <c r="C179" s="1" t="s">
        <v>2562</v>
      </c>
      <c r="D179" s="5">
        <v>46045</v>
      </c>
      <c r="E179" s="5">
        <v>46045</v>
      </c>
      <c r="F179" s="120" t="s">
        <v>2563</v>
      </c>
      <c r="G179" s="1"/>
      <c r="H179" s="156">
        <v>200</v>
      </c>
      <c r="I179" s="1" t="s">
        <v>2564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8.5">
      <c r="A180" s="1" t="s">
        <v>239</v>
      </c>
      <c r="B180" s="1" t="s">
        <v>240</v>
      </c>
      <c r="C180" s="1" t="s">
        <v>2562</v>
      </c>
      <c r="D180" s="5">
        <v>46045</v>
      </c>
      <c r="E180" s="5">
        <v>46045</v>
      </c>
      <c r="F180" s="120" t="s">
        <v>2565</v>
      </c>
      <c r="G180" s="1"/>
      <c r="H180" s="156">
        <v>25000</v>
      </c>
      <c r="I180" s="1" t="s">
        <v>2566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8.5">
      <c r="A181" s="1" t="s">
        <v>540</v>
      </c>
      <c r="B181" s="1" t="s">
        <v>240</v>
      </c>
      <c r="C181" s="1" t="s">
        <v>2567</v>
      </c>
      <c r="D181" s="5">
        <v>46045</v>
      </c>
      <c r="E181" s="5">
        <v>46045</v>
      </c>
      <c r="F181" s="120" t="s">
        <v>4271</v>
      </c>
      <c r="G181" s="1">
        <v>436500</v>
      </c>
      <c r="H181" s="156"/>
      <c r="I181" s="1" t="s">
        <v>2570</v>
      </c>
      <c r="J181" s="1" t="s">
        <v>2569</v>
      </c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42.75">
      <c r="A182" s="1" t="s">
        <v>239</v>
      </c>
      <c r="B182" s="1" t="s">
        <v>240</v>
      </c>
      <c r="C182" s="1" t="s">
        <v>2571</v>
      </c>
      <c r="D182" s="5">
        <v>46045</v>
      </c>
      <c r="E182" s="5">
        <v>46045</v>
      </c>
      <c r="F182" s="120" t="s">
        <v>2572</v>
      </c>
      <c r="G182" s="1"/>
      <c r="H182" s="156">
        <v>200</v>
      </c>
      <c r="I182" s="1" t="s">
        <v>2573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42.75">
      <c r="A183" s="1" t="s">
        <v>239</v>
      </c>
      <c r="B183" s="1" t="s">
        <v>240</v>
      </c>
      <c r="C183" s="1" t="s">
        <v>2571</v>
      </c>
      <c r="D183" s="5">
        <v>46045</v>
      </c>
      <c r="E183" s="5">
        <v>46045</v>
      </c>
      <c r="F183" s="120" t="s">
        <v>2574</v>
      </c>
      <c r="G183" s="1"/>
      <c r="H183" s="156">
        <v>12000</v>
      </c>
      <c r="I183" s="1" t="s">
        <v>2575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1"/>
      <c r="B184" s="1" t="s">
        <v>240</v>
      </c>
      <c r="C184" s="1" t="s">
        <v>2576</v>
      </c>
      <c r="D184" s="5">
        <v>46046</v>
      </c>
      <c r="E184" s="5">
        <v>46046</v>
      </c>
      <c r="F184" s="120" t="s">
        <v>2577</v>
      </c>
      <c r="G184" s="1"/>
      <c r="H184" s="173">
        <v>5000</v>
      </c>
      <c r="I184" s="1" t="s">
        <v>2578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1"/>
      <c r="B185" s="1" t="s">
        <v>240</v>
      </c>
      <c r="C185" s="1" t="s">
        <v>2579</v>
      </c>
      <c r="D185" s="5">
        <v>46046</v>
      </c>
      <c r="E185" s="5">
        <v>46046</v>
      </c>
      <c r="F185" s="120" t="s">
        <v>2580</v>
      </c>
      <c r="G185" s="1"/>
      <c r="H185" s="156">
        <v>148637</v>
      </c>
      <c r="I185" s="1" t="s">
        <v>2582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1"/>
      <c r="B186" s="1" t="s">
        <v>240</v>
      </c>
      <c r="C186" s="1" t="s">
        <v>2583</v>
      </c>
      <c r="D186" s="5">
        <v>46046</v>
      </c>
      <c r="E186" s="5">
        <v>46046</v>
      </c>
      <c r="F186" s="120" t="s">
        <v>2584</v>
      </c>
      <c r="G186" s="1"/>
      <c r="H186" s="156">
        <v>200</v>
      </c>
      <c r="I186" s="1" t="s">
        <v>2585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1"/>
      <c r="B187" s="1" t="s">
        <v>240</v>
      </c>
      <c r="C187" s="1" t="s">
        <v>2583</v>
      </c>
      <c r="D187" s="5">
        <v>46046</v>
      </c>
      <c r="E187" s="5">
        <v>46046</v>
      </c>
      <c r="F187" s="120" t="s">
        <v>2586</v>
      </c>
      <c r="G187" s="1"/>
      <c r="H187" s="156">
        <v>15000</v>
      </c>
      <c r="I187" s="1" t="s">
        <v>2587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1"/>
      <c r="B188" s="1" t="s">
        <v>240</v>
      </c>
      <c r="C188" s="1" t="s">
        <v>2588</v>
      </c>
      <c r="D188" s="5">
        <v>46046</v>
      </c>
      <c r="E188" s="5">
        <v>46046</v>
      </c>
      <c r="F188" s="120" t="s">
        <v>2589</v>
      </c>
      <c r="G188" s="1"/>
      <c r="H188" s="156">
        <v>100</v>
      </c>
      <c r="I188" s="1" t="s">
        <v>2590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1"/>
      <c r="B189" s="1" t="s">
        <v>240</v>
      </c>
      <c r="C189" s="1" t="s">
        <v>2588</v>
      </c>
      <c r="D189" s="5">
        <v>46046</v>
      </c>
      <c r="E189" s="5">
        <v>46046</v>
      </c>
      <c r="F189" s="120" t="s">
        <v>2591</v>
      </c>
      <c r="G189" s="1"/>
      <c r="H189" s="156">
        <v>10000</v>
      </c>
      <c r="I189" s="1" t="s">
        <v>2592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42.75">
      <c r="A190" s="1" t="s">
        <v>239</v>
      </c>
      <c r="B190" s="1" t="s">
        <v>240</v>
      </c>
      <c r="C190" s="1" t="s">
        <v>2593</v>
      </c>
      <c r="D190" s="5">
        <v>46048</v>
      </c>
      <c r="E190" s="5">
        <v>46048</v>
      </c>
      <c r="F190" s="120" t="s">
        <v>2594</v>
      </c>
      <c r="G190" s="1"/>
      <c r="H190" s="156">
        <v>10000</v>
      </c>
      <c r="I190" s="1" t="s">
        <v>2595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42.75">
      <c r="A191" s="1" t="s">
        <v>239</v>
      </c>
      <c r="B191" s="1" t="s">
        <v>240</v>
      </c>
      <c r="C191" s="1" t="s">
        <v>2596</v>
      </c>
      <c r="D191" s="5">
        <v>46048</v>
      </c>
      <c r="E191" s="5">
        <v>46048</v>
      </c>
      <c r="F191" s="120" t="s">
        <v>2597</v>
      </c>
      <c r="G191" s="1"/>
      <c r="H191" s="156">
        <v>100</v>
      </c>
      <c r="I191" s="1" t="s">
        <v>2598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42.75">
      <c r="A192" s="1" t="s">
        <v>239</v>
      </c>
      <c r="B192" s="1" t="s">
        <v>240</v>
      </c>
      <c r="C192" s="1" t="s">
        <v>2596</v>
      </c>
      <c r="D192" s="5">
        <v>46048</v>
      </c>
      <c r="E192" s="5">
        <v>46048</v>
      </c>
      <c r="F192" s="120" t="s">
        <v>2599</v>
      </c>
      <c r="G192" s="1"/>
      <c r="H192" s="156">
        <v>500000</v>
      </c>
      <c r="I192" s="1" t="s">
        <v>2600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8.5">
      <c r="A193" s="1" t="s">
        <v>239</v>
      </c>
      <c r="B193" s="1" t="s">
        <v>240</v>
      </c>
      <c r="C193" s="1" t="s">
        <v>2601</v>
      </c>
      <c r="D193" s="5">
        <v>46050</v>
      </c>
      <c r="E193" s="5">
        <v>46050</v>
      </c>
      <c r="F193" s="120" t="s">
        <v>2602</v>
      </c>
      <c r="G193" s="1"/>
      <c r="H193" s="156">
        <v>860686</v>
      </c>
      <c r="I193" s="1" t="s">
        <v>2604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42.75">
      <c r="A194" s="1" t="s">
        <v>239</v>
      </c>
      <c r="B194" s="1" t="s">
        <v>240</v>
      </c>
      <c r="C194" s="1" t="s">
        <v>2605</v>
      </c>
      <c r="D194" s="5">
        <v>46050</v>
      </c>
      <c r="E194" s="5">
        <v>46050</v>
      </c>
      <c r="F194" s="120" t="s">
        <v>2606</v>
      </c>
      <c r="G194" s="1"/>
      <c r="H194" s="156">
        <v>100</v>
      </c>
      <c r="I194" s="1" t="s">
        <v>2607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42.75">
      <c r="A195" s="1" t="s">
        <v>239</v>
      </c>
      <c r="B195" s="1" t="s">
        <v>240</v>
      </c>
      <c r="C195" s="1" t="s">
        <v>2605</v>
      </c>
      <c r="D195" s="5">
        <v>46050</v>
      </c>
      <c r="E195" s="5">
        <v>46050</v>
      </c>
      <c r="F195" s="120" t="s">
        <v>2608</v>
      </c>
      <c r="G195" s="1"/>
      <c r="H195" s="156">
        <v>10000</v>
      </c>
      <c r="I195" s="1" t="s">
        <v>2609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42.75">
      <c r="A196" s="1" t="s">
        <v>239</v>
      </c>
      <c r="B196" s="1" t="s">
        <v>240</v>
      </c>
      <c r="C196" s="1" t="s">
        <v>2610</v>
      </c>
      <c r="D196" s="5">
        <v>46050</v>
      </c>
      <c r="E196" s="5">
        <v>46050</v>
      </c>
      <c r="F196" s="120" t="s">
        <v>2611</v>
      </c>
      <c r="G196" s="1"/>
      <c r="H196" s="156">
        <v>200</v>
      </c>
      <c r="I196" s="1" t="s">
        <v>2612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42.75">
      <c r="A197" s="1" t="s">
        <v>239</v>
      </c>
      <c r="B197" s="1" t="s">
        <v>240</v>
      </c>
      <c r="C197" s="1" t="s">
        <v>2610</v>
      </c>
      <c r="D197" s="5">
        <v>46050</v>
      </c>
      <c r="E197" s="5">
        <v>46050</v>
      </c>
      <c r="F197" s="120" t="s">
        <v>2613</v>
      </c>
      <c r="G197" s="1"/>
      <c r="H197" s="156">
        <v>15000</v>
      </c>
      <c r="I197" s="1" t="s">
        <v>2614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42.75">
      <c r="A198" s="1" t="s">
        <v>239</v>
      </c>
      <c r="B198" s="1" t="s">
        <v>240</v>
      </c>
      <c r="C198" s="1" t="s">
        <v>2615</v>
      </c>
      <c r="D198" s="5">
        <v>46051</v>
      </c>
      <c r="E198" s="5">
        <v>46051</v>
      </c>
      <c r="F198" s="120" t="s">
        <v>2616</v>
      </c>
      <c r="G198" s="1"/>
      <c r="H198" s="156">
        <v>200</v>
      </c>
      <c r="I198" s="1" t="s">
        <v>2617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42.75">
      <c r="A199" s="1" t="s">
        <v>239</v>
      </c>
      <c r="B199" s="1" t="s">
        <v>240</v>
      </c>
      <c r="C199" s="1" t="s">
        <v>2615</v>
      </c>
      <c r="D199" s="5">
        <v>46051</v>
      </c>
      <c r="E199" s="5">
        <v>46051</v>
      </c>
      <c r="F199" s="120" t="s">
        <v>2618</v>
      </c>
      <c r="G199" s="1"/>
      <c r="H199" s="156">
        <v>40000</v>
      </c>
      <c r="I199" s="1" t="s">
        <v>2619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42.75">
      <c r="A200" s="1" t="s">
        <v>239</v>
      </c>
      <c r="B200" s="1" t="s">
        <v>240</v>
      </c>
      <c r="C200" s="1" t="s">
        <v>2620</v>
      </c>
      <c r="D200" s="5">
        <v>46051</v>
      </c>
      <c r="E200" s="5">
        <v>46051</v>
      </c>
      <c r="F200" s="120" t="s">
        <v>4272</v>
      </c>
      <c r="G200" s="1">
        <v>250000</v>
      </c>
      <c r="H200" s="156"/>
      <c r="I200" s="1" t="s">
        <v>2622</v>
      </c>
      <c r="J200" s="1" t="s">
        <v>580</v>
      </c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8.5">
      <c r="A201" s="1" t="s">
        <v>239</v>
      </c>
      <c r="B201" s="1" t="s">
        <v>240</v>
      </c>
      <c r="C201" s="1" t="s">
        <v>2623</v>
      </c>
      <c r="D201" s="5">
        <v>46051</v>
      </c>
      <c r="E201" s="5">
        <v>46051</v>
      </c>
      <c r="F201" s="120" t="s">
        <v>2320</v>
      </c>
      <c r="G201" s="1">
        <v>330000</v>
      </c>
      <c r="H201" s="156"/>
      <c r="I201" s="1" t="s">
        <v>2625</v>
      </c>
      <c r="J201" s="1" t="s">
        <v>1557</v>
      </c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42.75">
      <c r="A202" s="1" t="s">
        <v>239</v>
      </c>
      <c r="B202" s="1" t="s">
        <v>240</v>
      </c>
      <c r="C202" s="1" t="s">
        <v>2626</v>
      </c>
      <c r="D202" s="5">
        <v>46051</v>
      </c>
      <c r="E202" s="5">
        <v>46051</v>
      </c>
      <c r="F202" s="120" t="s">
        <v>2627</v>
      </c>
      <c r="G202" s="1"/>
      <c r="H202" s="156">
        <v>100</v>
      </c>
      <c r="I202" s="1" t="s">
        <v>2628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42.75">
      <c r="A203" s="1" t="s">
        <v>239</v>
      </c>
      <c r="B203" s="1" t="s">
        <v>240</v>
      </c>
      <c r="C203" s="1" t="s">
        <v>2626</v>
      </c>
      <c r="D203" s="5">
        <v>46051</v>
      </c>
      <c r="E203" s="5">
        <v>46051</v>
      </c>
      <c r="F203" s="120" t="s">
        <v>2629</v>
      </c>
      <c r="G203" s="1"/>
      <c r="H203" s="156">
        <v>10000</v>
      </c>
      <c r="I203" s="1" t="s">
        <v>2630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8.5">
      <c r="A204" s="1" t="s">
        <v>239</v>
      </c>
      <c r="B204" s="1" t="s">
        <v>240</v>
      </c>
      <c r="C204" s="1" t="s">
        <v>2631</v>
      </c>
      <c r="D204" s="5">
        <v>46051</v>
      </c>
      <c r="E204" s="5">
        <v>46051</v>
      </c>
      <c r="F204" s="120" t="s">
        <v>2632</v>
      </c>
      <c r="G204" s="1"/>
      <c r="H204" s="156">
        <v>1350</v>
      </c>
      <c r="I204" s="1" t="s">
        <v>2633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42.75">
      <c r="A205" s="1" t="s">
        <v>239</v>
      </c>
      <c r="B205" s="1" t="s">
        <v>240</v>
      </c>
      <c r="C205" s="1" t="s">
        <v>2631</v>
      </c>
      <c r="D205" s="5">
        <v>46051</v>
      </c>
      <c r="E205" s="5">
        <v>46051</v>
      </c>
      <c r="F205" s="120" t="s">
        <v>2634</v>
      </c>
      <c r="G205" s="1"/>
      <c r="H205" s="156">
        <v>250000</v>
      </c>
      <c r="I205" s="1" t="s">
        <v>2635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42.75">
      <c r="A206" s="1" t="s">
        <v>239</v>
      </c>
      <c r="B206" s="1" t="s">
        <v>240</v>
      </c>
      <c r="C206" s="1" t="s">
        <v>2636</v>
      </c>
      <c r="D206" s="5">
        <v>46052</v>
      </c>
      <c r="E206" s="5">
        <v>46052</v>
      </c>
      <c r="F206" s="120" t="s">
        <v>2637</v>
      </c>
      <c r="G206" s="1"/>
      <c r="H206" s="156">
        <v>30000</v>
      </c>
      <c r="I206" s="1" t="s">
        <v>2638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42.75">
      <c r="A207" s="1" t="s">
        <v>239</v>
      </c>
      <c r="B207" s="1" t="s">
        <v>240</v>
      </c>
      <c r="C207" s="1" t="s">
        <v>2639</v>
      </c>
      <c r="D207" s="5">
        <v>46052</v>
      </c>
      <c r="E207" s="5">
        <v>46052</v>
      </c>
      <c r="F207" s="120" t="s">
        <v>2640</v>
      </c>
      <c r="G207" s="1"/>
      <c r="H207" s="156">
        <v>10000</v>
      </c>
      <c r="I207" s="1" t="s">
        <v>2641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8.5">
      <c r="A208" s="1" t="s">
        <v>239</v>
      </c>
      <c r="B208" s="1" t="s">
        <v>240</v>
      </c>
      <c r="C208" s="1" t="s">
        <v>2642</v>
      </c>
      <c r="D208" s="5">
        <v>46052</v>
      </c>
      <c r="E208" s="5">
        <v>46052</v>
      </c>
      <c r="F208" s="120" t="s">
        <v>2643</v>
      </c>
      <c r="G208" s="1"/>
      <c r="H208" s="156">
        <v>100</v>
      </c>
      <c r="I208" s="1" t="s">
        <v>2644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42.75">
      <c r="A209" s="1" t="s">
        <v>239</v>
      </c>
      <c r="B209" s="1" t="s">
        <v>240</v>
      </c>
      <c r="C209" s="1" t="s">
        <v>2642</v>
      </c>
      <c r="D209" s="5">
        <v>46052</v>
      </c>
      <c r="E209" s="5">
        <v>46052</v>
      </c>
      <c r="F209" s="120" t="s">
        <v>2645</v>
      </c>
      <c r="G209" s="1"/>
      <c r="H209" s="156">
        <v>6000</v>
      </c>
      <c r="I209" s="1" t="s">
        <v>2646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42.75">
      <c r="A210" s="1" t="s">
        <v>239</v>
      </c>
      <c r="B210" s="1" t="s">
        <v>240</v>
      </c>
      <c r="C210" s="1" t="s">
        <v>2647</v>
      </c>
      <c r="D210" s="5">
        <v>46052</v>
      </c>
      <c r="E210" s="5">
        <v>46052</v>
      </c>
      <c r="F210" s="120" t="s">
        <v>2648</v>
      </c>
      <c r="G210" s="1"/>
      <c r="H210" s="156">
        <v>200</v>
      </c>
      <c r="I210" s="1" t="s">
        <v>2649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42.75">
      <c r="A211" s="1" t="s">
        <v>239</v>
      </c>
      <c r="B211" s="1" t="s">
        <v>240</v>
      </c>
      <c r="C211" s="1" t="s">
        <v>2647</v>
      </c>
      <c r="D211" s="5">
        <v>46052</v>
      </c>
      <c r="E211" s="5">
        <v>46052</v>
      </c>
      <c r="F211" s="120" t="s">
        <v>2650</v>
      </c>
      <c r="G211" s="1"/>
      <c r="H211" s="156">
        <v>31364</v>
      </c>
      <c r="I211" s="1" t="s">
        <v>2652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8.5">
      <c r="A212" s="1" t="s">
        <v>540</v>
      </c>
      <c r="B212" s="1" t="s">
        <v>240</v>
      </c>
      <c r="C212" s="1" t="s">
        <v>2653</v>
      </c>
      <c r="D212" s="5">
        <v>46052</v>
      </c>
      <c r="E212" s="5">
        <v>46052</v>
      </c>
      <c r="F212" s="120" t="s">
        <v>4273</v>
      </c>
      <c r="G212" s="1">
        <v>1090000</v>
      </c>
      <c r="H212" s="156"/>
      <c r="I212" s="1" t="s">
        <v>2656</v>
      </c>
      <c r="J212" s="1" t="s">
        <v>2655</v>
      </c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8.5">
      <c r="A213" s="1" t="s">
        <v>239</v>
      </c>
      <c r="B213" s="1" t="s">
        <v>240</v>
      </c>
      <c r="C213" s="1" t="s">
        <v>2657</v>
      </c>
      <c r="D213" s="5">
        <v>46052</v>
      </c>
      <c r="E213" s="5">
        <v>46052</v>
      </c>
      <c r="F213" s="120" t="s">
        <v>2658</v>
      </c>
      <c r="G213" s="1"/>
      <c r="H213" s="156">
        <v>200</v>
      </c>
      <c r="I213" s="1" t="s">
        <v>2659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8.5">
      <c r="A214" s="1" t="s">
        <v>239</v>
      </c>
      <c r="B214" s="1" t="s">
        <v>240</v>
      </c>
      <c r="C214" s="1" t="s">
        <v>2657</v>
      </c>
      <c r="D214" s="5">
        <v>46052</v>
      </c>
      <c r="E214" s="5">
        <v>46052</v>
      </c>
      <c r="F214" s="120" t="s">
        <v>2660</v>
      </c>
      <c r="G214" s="1"/>
      <c r="H214" s="156">
        <v>13000</v>
      </c>
      <c r="I214" s="1" t="s">
        <v>2661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>
      <c r="A215" s="1"/>
      <c r="B215" s="1" t="s">
        <v>240</v>
      </c>
      <c r="C215" s="1" t="s">
        <v>2662</v>
      </c>
      <c r="D215" s="5">
        <v>46053</v>
      </c>
      <c r="E215" s="5">
        <v>46053</v>
      </c>
      <c r="F215" s="120" t="s">
        <v>1432</v>
      </c>
      <c r="G215" s="1"/>
      <c r="H215" s="156">
        <v>5184826</v>
      </c>
      <c r="I215" s="1" t="s">
        <v>2664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>
      <c r="A216" s="1"/>
      <c r="B216" s="1" t="s">
        <v>240</v>
      </c>
      <c r="C216" s="1" t="s">
        <v>2665</v>
      </c>
      <c r="D216" s="5">
        <v>46053</v>
      </c>
      <c r="E216" s="5">
        <v>46053</v>
      </c>
      <c r="F216" s="120" t="s">
        <v>2666</v>
      </c>
      <c r="G216" s="1"/>
      <c r="H216" s="156">
        <v>200</v>
      </c>
      <c r="I216" s="1" t="s">
        <v>2667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>
      <c r="A217" s="1"/>
      <c r="B217" s="1" t="s">
        <v>240</v>
      </c>
      <c r="C217" s="1" t="s">
        <v>2665</v>
      </c>
      <c r="D217" s="5">
        <v>46053</v>
      </c>
      <c r="E217" s="5">
        <v>46053</v>
      </c>
      <c r="F217" s="120" t="s">
        <v>2668</v>
      </c>
      <c r="G217" s="1"/>
      <c r="H217" s="156">
        <v>15000</v>
      </c>
      <c r="I217" s="1" t="s">
        <v>2669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>
      <c r="A218" s="1"/>
      <c r="B218" s="1" t="s">
        <v>240</v>
      </c>
      <c r="C218" s="1" t="s">
        <v>2670</v>
      </c>
      <c r="D218" s="5">
        <v>46053</v>
      </c>
      <c r="E218" s="5">
        <v>46053</v>
      </c>
      <c r="F218" s="120" t="s">
        <v>2671</v>
      </c>
      <c r="G218" s="1"/>
      <c r="H218" s="156">
        <v>200</v>
      </c>
      <c r="I218" s="1" t="s">
        <v>2672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>
      <c r="A219" s="1"/>
      <c r="B219" s="1" t="s">
        <v>240</v>
      </c>
      <c r="C219" s="1" t="s">
        <v>2670</v>
      </c>
      <c r="D219" s="5">
        <v>46053</v>
      </c>
      <c r="E219" s="5">
        <v>46053</v>
      </c>
      <c r="F219" s="120" t="s">
        <v>2673</v>
      </c>
      <c r="G219" s="1"/>
      <c r="H219" s="156">
        <v>15000</v>
      </c>
      <c r="I219" s="1" t="s">
        <v>2674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>
      <c r="A220" s="1"/>
      <c r="B220" s="1" t="s">
        <v>240</v>
      </c>
      <c r="C220" s="1" t="s">
        <v>2675</v>
      </c>
      <c r="D220" s="5">
        <v>46053</v>
      </c>
      <c r="E220" s="5">
        <v>46053</v>
      </c>
      <c r="F220" s="120" t="s">
        <v>2676</v>
      </c>
      <c r="G220" s="1"/>
      <c r="H220" s="156">
        <v>200</v>
      </c>
      <c r="I220" s="1" t="s">
        <v>2677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>
      <c r="A221" s="1"/>
      <c r="B221" s="1" t="s">
        <v>240</v>
      </c>
      <c r="C221" s="1" t="s">
        <v>2675</v>
      </c>
      <c r="D221" s="5">
        <v>46053</v>
      </c>
      <c r="E221" s="5">
        <v>46053</v>
      </c>
      <c r="F221" s="120" t="s">
        <v>2678</v>
      </c>
      <c r="G221" s="1"/>
      <c r="H221" s="156">
        <v>23500</v>
      </c>
      <c r="I221" s="1" t="s">
        <v>2680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>
      <c r="A222" s="1"/>
      <c r="B222" s="1" t="s">
        <v>240</v>
      </c>
      <c r="C222" s="1" t="s">
        <v>2681</v>
      </c>
      <c r="D222" s="5">
        <v>46053</v>
      </c>
      <c r="E222" s="5">
        <v>46053</v>
      </c>
      <c r="F222" s="120" t="s">
        <v>2682</v>
      </c>
      <c r="G222" s="1"/>
      <c r="H222" s="156">
        <v>100</v>
      </c>
      <c r="I222" s="1" t="s">
        <v>2683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>
      <c r="A223" s="1"/>
      <c r="B223" s="1" t="s">
        <v>240</v>
      </c>
      <c r="C223" s="1" t="s">
        <v>2681</v>
      </c>
      <c r="D223" s="5">
        <v>46053</v>
      </c>
      <c r="E223" s="5">
        <v>46053</v>
      </c>
      <c r="F223" s="120" t="s">
        <v>2684</v>
      </c>
      <c r="G223" s="1"/>
      <c r="H223" s="156">
        <v>80000</v>
      </c>
      <c r="I223" s="1" t="s">
        <v>2685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>
      <c r="A224" s="1"/>
      <c r="B224" s="1" t="s">
        <v>240</v>
      </c>
      <c r="C224" s="1" t="s">
        <v>2686</v>
      </c>
      <c r="D224" s="5">
        <v>46053</v>
      </c>
      <c r="E224" s="5">
        <v>46053</v>
      </c>
      <c r="F224" s="120" t="s">
        <v>2687</v>
      </c>
      <c r="G224" s="1"/>
      <c r="H224" s="156">
        <v>200</v>
      </c>
      <c r="I224" s="1" t="s">
        <v>2688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>
      <c r="A225" s="1"/>
      <c r="B225" s="1" t="s">
        <v>240</v>
      </c>
      <c r="C225" s="1" t="s">
        <v>2686</v>
      </c>
      <c r="D225" s="5">
        <v>46053</v>
      </c>
      <c r="E225" s="5">
        <v>46053</v>
      </c>
      <c r="F225" s="120" t="s">
        <v>2689</v>
      </c>
      <c r="G225" s="1"/>
      <c r="H225" s="156">
        <v>28000</v>
      </c>
      <c r="I225" s="1" t="s">
        <v>2690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>
      <c r="A226" s="1"/>
      <c r="B226" s="1" t="s">
        <v>240</v>
      </c>
      <c r="C226" s="1" t="s">
        <v>2691</v>
      </c>
      <c r="D226" s="5">
        <v>46053</v>
      </c>
      <c r="E226" s="5">
        <v>46053</v>
      </c>
      <c r="F226" s="120" t="s">
        <v>2692</v>
      </c>
      <c r="G226" s="1"/>
      <c r="H226" s="156">
        <v>20000</v>
      </c>
      <c r="I226" s="1" t="s">
        <v>2693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>
      <c r="A227" s="1"/>
      <c r="B227" s="1" t="s">
        <v>240</v>
      </c>
      <c r="C227" s="1" t="s">
        <v>2694</v>
      </c>
      <c r="D227" s="5">
        <v>46053</v>
      </c>
      <c r="E227" s="5">
        <v>46053</v>
      </c>
      <c r="F227" s="120" t="s">
        <v>2695</v>
      </c>
      <c r="G227" s="1"/>
      <c r="H227" s="156">
        <v>100</v>
      </c>
      <c r="I227" s="1" t="s">
        <v>2696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>
      <c r="A228" s="1"/>
      <c r="B228" s="1" t="s">
        <v>240</v>
      </c>
      <c r="C228" s="1" t="s">
        <v>2694</v>
      </c>
      <c r="D228" s="5">
        <v>46053</v>
      </c>
      <c r="E228" s="5">
        <v>46053</v>
      </c>
      <c r="F228" s="120" t="s">
        <v>2697</v>
      </c>
      <c r="G228" s="1"/>
      <c r="H228" s="156">
        <v>10000</v>
      </c>
      <c r="I228" s="1" t="s">
        <v>2698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8.5">
      <c r="A229" s="1" t="s">
        <v>239</v>
      </c>
      <c r="B229" s="1" t="s">
        <v>240</v>
      </c>
      <c r="C229" s="1" t="s">
        <v>2699</v>
      </c>
      <c r="D229" s="5">
        <v>46054</v>
      </c>
      <c r="E229" s="5">
        <v>46054</v>
      </c>
      <c r="F229" s="120" t="s">
        <v>2700</v>
      </c>
      <c r="G229" s="1"/>
      <c r="H229" s="156">
        <v>200</v>
      </c>
      <c r="I229" s="1" t="s">
        <v>2701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42.75">
      <c r="A230" s="1" t="s">
        <v>239</v>
      </c>
      <c r="B230" s="1" t="s">
        <v>240</v>
      </c>
      <c r="C230" s="1" t="s">
        <v>2699</v>
      </c>
      <c r="D230" s="5">
        <v>46054</v>
      </c>
      <c r="E230" s="5">
        <v>46054</v>
      </c>
      <c r="F230" s="120" t="s">
        <v>2702</v>
      </c>
      <c r="G230" s="1"/>
      <c r="H230" s="156">
        <v>60000</v>
      </c>
      <c r="I230" s="1" t="s">
        <v>2703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8.5">
      <c r="A231" s="1" t="s">
        <v>239</v>
      </c>
      <c r="B231" s="1" t="s">
        <v>240</v>
      </c>
      <c r="C231" s="1" t="s">
        <v>2704</v>
      </c>
      <c r="D231" s="5">
        <v>46054</v>
      </c>
      <c r="E231" s="5">
        <v>46054</v>
      </c>
      <c r="F231" s="120" t="s">
        <v>2705</v>
      </c>
      <c r="G231" s="1"/>
      <c r="H231" s="156">
        <v>1350</v>
      </c>
      <c r="I231" s="1" t="s">
        <v>2706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42.75">
      <c r="A232" s="1" t="s">
        <v>239</v>
      </c>
      <c r="B232" s="1" t="s">
        <v>240</v>
      </c>
      <c r="C232" s="1" t="s">
        <v>2704</v>
      </c>
      <c r="D232" s="5">
        <v>46054</v>
      </c>
      <c r="E232" s="5">
        <v>46054</v>
      </c>
      <c r="F232" s="120" t="s">
        <v>2707</v>
      </c>
      <c r="G232" s="1"/>
      <c r="H232" s="156">
        <v>557000</v>
      </c>
      <c r="I232" s="1" t="s">
        <v>2709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>
      <c r="A233" s="1"/>
      <c r="B233" s="1" t="s">
        <v>240</v>
      </c>
      <c r="C233" s="1" t="s">
        <v>2710</v>
      </c>
      <c r="D233" s="5">
        <v>46054</v>
      </c>
      <c r="E233" s="5">
        <v>46054</v>
      </c>
      <c r="F233" s="120" t="s">
        <v>2711</v>
      </c>
      <c r="G233" s="1"/>
      <c r="H233" s="156">
        <v>200</v>
      </c>
      <c r="I233" s="1" t="s">
        <v>2712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>
      <c r="A234" s="1"/>
      <c r="B234" s="1" t="s">
        <v>240</v>
      </c>
      <c r="C234" s="1" t="s">
        <v>2710</v>
      </c>
      <c r="D234" s="5">
        <v>46054</v>
      </c>
      <c r="E234" s="5">
        <v>46054</v>
      </c>
      <c r="F234" s="120" t="s">
        <v>2713</v>
      </c>
      <c r="G234" s="1"/>
      <c r="H234" s="156">
        <v>85000</v>
      </c>
      <c r="I234" s="1" t="s">
        <v>2714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>
      <c r="A235" s="1"/>
      <c r="B235" s="1" t="s">
        <v>240</v>
      </c>
      <c r="C235" s="1" t="s">
        <v>2715</v>
      </c>
      <c r="D235" s="5">
        <v>46054</v>
      </c>
      <c r="E235" s="5">
        <v>46054</v>
      </c>
      <c r="F235" s="120" t="s">
        <v>2716</v>
      </c>
      <c r="G235" s="1"/>
      <c r="H235" s="156">
        <v>1350</v>
      </c>
      <c r="I235" s="1" t="s">
        <v>2717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>
      <c r="A236" s="1"/>
      <c r="B236" s="1" t="s">
        <v>240</v>
      </c>
      <c r="C236" s="1" t="s">
        <v>2715</v>
      </c>
      <c r="D236" s="5">
        <v>46054</v>
      </c>
      <c r="E236" s="5">
        <v>46054</v>
      </c>
      <c r="F236" s="120" t="s">
        <v>2718</v>
      </c>
      <c r="G236" s="1"/>
      <c r="H236" s="156">
        <v>300000</v>
      </c>
      <c r="I236" s="1" t="s">
        <v>2719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>
      <c r="A237" s="1"/>
      <c r="B237" s="1" t="s">
        <v>240</v>
      </c>
      <c r="C237" s="1" t="s">
        <v>2720</v>
      </c>
      <c r="D237" s="5">
        <v>46054</v>
      </c>
      <c r="E237" s="5">
        <v>46054</v>
      </c>
      <c r="F237" s="120" t="s">
        <v>2721</v>
      </c>
      <c r="G237" s="1"/>
      <c r="H237" s="156">
        <v>100</v>
      </c>
      <c r="I237" s="1" t="s">
        <v>2722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>
      <c r="A238" s="1"/>
      <c r="B238" s="1" t="s">
        <v>240</v>
      </c>
      <c r="C238" s="1" t="s">
        <v>2720</v>
      </c>
      <c r="D238" s="5">
        <v>46054</v>
      </c>
      <c r="E238" s="5">
        <v>46054</v>
      </c>
      <c r="F238" s="120" t="s">
        <v>2723</v>
      </c>
      <c r="G238" s="1"/>
      <c r="H238" s="156">
        <v>10000</v>
      </c>
      <c r="I238" s="1" t="s">
        <v>2724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>
      <c r="A239" s="1"/>
      <c r="B239" s="1" t="s">
        <v>240</v>
      </c>
      <c r="C239" s="1" t="s">
        <v>2725</v>
      </c>
      <c r="D239" s="5">
        <v>46054</v>
      </c>
      <c r="E239" s="5">
        <v>46054</v>
      </c>
      <c r="F239" s="120" t="s">
        <v>1942</v>
      </c>
      <c r="G239" s="1"/>
      <c r="H239" s="156">
        <v>100</v>
      </c>
      <c r="I239" s="1" t="s">
        <v>2726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>
      <c r="A240" s="1"/>
      <c r="B240" s="1" t="s">
        <v>240</v>
      </c>
      <c r="C240" s="1" t="s">
        <v>2725</v>
      </c>
      <c r="D240" s="5">
        <v>46054</v>
      </c>
      <c r="E240" s="5">
        <v>46054</v>
      </c>
      <c r="F240" s="120" t="s">
        <v>1944</v>
      </c>
      <c r="G240" s="1"/>
      <c r="H240" s="156">
        <v>174298</v>
      </c>
      <c r="I240" s="1" t="s">
        <v>2728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8.5">
      <c r="A241" s="1" t="s">
        <v>239</v>
      </c>
      <c r="B241" s="1" t="s">
        <v>240</v>
      </c>
      <c r="C241" s="1" t="s">
        <v>2729</v>
      </c>
      <c r="D241" s="5">
        <v>46054</v>
      </c>
      <c r="E241" s="5">
        <v>46054</v>
      </c>
      <c r="F241" s="120" t="s">
        <v>2730</v>
      </c>
      <c r="G241" s="1">
        <v>330000</v>
      </c>
      <c r="H241" s="156"/>
      <c r="I241" s="1" t="s">
        <v>2731</v>
      </c>
      <c r="J241" s="1" t="s">
        <v>1557</v>
      </c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8.5">
      <c r="A242" s="1" t="s">
        <v>239</v>
      </c>
      <c r="B242" s="1" t="s">
        <v>240</v>
      </c>
      <c r="C242" s="1" t="s">
        <v>2732</v>
      </c>
      <c r="D242" s="5">
        <v>46054</v>
      </c>
      <c r="E242" s="5">
        <v>46054</v>
      </c>
      <c r="F242" s="120" t="s">
        <v>4274</v>
      </c>
      <c r="G242" s="1">
        <v>330000</v>
      </c>
      <c r="H242" s="156"/>
      <c r="I242" s="1" t="s">
        <v>2734</v>
      </c>
      <c r="J242" s="1" t="s">
        <v>1557</v>
      </c>
      <c r="K242" s="1"/>
      <c r="L242" s="1"/>
      <c r="M242" s="1"/>
      <c r="N242" s="1"/>
      <c r="O242" s="1"/>
      <c r="P242" s="1"/>
      <c r="Q242" s="1"/>
      <c r="R242" s="1"/>
      <c r="S242" s="1"/>
    </row>
    <row r="243" spans="1:19">
      <c r="A243" s="1" t="s">
        <v>239</v>
      </c>
      <c r="B243" s="1" t="s">
        <v>240</v>
      </c>
      <c r="C243" s="1" t="s">
        <v>2735</v>
      </c>
      <c r="D243" s="5">
        <v>46054</v>
      </c>
      <c r="E243" s="5">
        <v>46054</v>
      </c>
      <c r="F243" s="120" t="s">
        <v>2736</v>
      </c>
      <c r="G243" s="1">
        <v>300000</v>
      </c>
      <c r="H243" s="156"/>
      <c r="I243" s="1" t="s">
        <v>2737</v>
      </c>
      <c r="J243" s="1" t="s">
        <v>833</v>
      </c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42.75">
      <c r="A244" s="1" t="s">
        <v>239</v>
      </c>
      <c r="B244" s="1" t="s">
        <v>240</v>
      </c>
      <c r="C244" s="1" t="s">
        <v>2738</v>
      </c>
      <c r="D244" s="5">
        <v>46054</v>
      </c>
      <c r="E244" s="5">
        <v>46054</v>
      </c>
      <c r="F244" s="120" t="s">
        <v>2739</v>
      </c>
      <c r="G244" s="1"/>
      <c r="H244" s="156">
        <v>30000</v>
      </c>
      <c r="I244" s="1" t="s">
        <v>2740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8.5">
      <c r="A245" s="1" t="s">
        <v>239</v>
      </c>
      <c r="B245" s="1" t="s">
        <v>240</v>
      </c>
      <c r="C245" s="1" t="s">
        <v>2741</v>
      </c>
      <c r="D245" s="5">
        <v>46055</v>
      </c>
      <c r="E245" s="5">
        <v>46055</v>
      </c>
      <c r="F245" s="120" t="s">
        <v>2742</v>
      </c>
      <c r="G245" s="1"/>
      <c r="H245" s="156">
        <v>1350</v>
      </c>
      <c r="I245" s="1" t="s">
        <v>2743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42.75">
      <c r="A246" s="1" t="s">
        <v>239</v>
      </c>
      <c r="B246" s="1" t="s">
        <v>240</v>
      </c>
      <c r="C246" s="1" t="s">
        <v>2741</v>
      </c>
      <c r="D246" s="5">
        <v>46055</v>
      </c>
      <c r="E246" s="5">
        <v>46055</v>
      </c>
      <c r="F246" s="120" t="s">
        <v>2744</v>
      </c>
      <c r="G246" s="1"/>
      <c r="H246" s="156">
        <v>316500</v>
      </c>
      <c r="I246" s="1" t="s">
        <v>2746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42.75">
      <c r="A247" s="1" t="s">
        <v>239</v>
      </c>
      <c r="B247" s="1" t="s">
        <v>240</v>
      </c>
      <c r="C247" s="1" t="s">
        <v>2747</v>
      </c>
      <c r="D247" s="5">
        <v>46055</v>
      </c>
      <c r="E247" s="5">
        <v>46055</v>
      </c>
      <c r="F247" s="120" t="s">
        <v>2748</v>
      </c>
      <c r="G247" s="1"/>
      <c r="H247" s="156">
        <v>100</v>
      </c>
      <c r="I247" s="1" t="s">
        <v>2749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42.75">
      <c r="A248" s="1" t="s">
        <v>239</v>
      </c>
      <c r="B248" s="1" t="s">
        <v>240</v>
      </c>
      <c r="C248" s="1" t="s">
        <v>2747</v>
      </c>
      <c r="D248" s="5">
        <v>46055</v>
      </c>
      <c r="E248" s="5">
        <v>46055</v>
      </c>
      <c r="F248" s="120" t="s">
        <v>2750</v>
      </c>
      <c r="G248" s="1"/>
      <c r="H248" s="156">
        <v>9000</v>
      </c>
      <c r="I248" s="1" t="s">
        <v>2751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42.75">
      <c r="A249" s="1" t="s">
        <v>239</v>
      </c>
      <c r="B249" s="1" t="s">
        <v>240</v>
      </c>
      <c r="C249" s="1" t="s">
        <v>2752</v>
      </c>
      <c r="D249" s="5">
        <v>46055</v>
      </c>
      <c r="E249" s="5">
        <v>46055</v>
      </c>
      <c r="F249" s="120" t="s">
        <v>331</v>
      </c>
      <c r="G249" s="1"/>
      <c r="H249" s="156">
        <v>153577</v>
      </c>
      <c r="I249" s="1" t="s">
        <v>2754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42.75">
      <c r="A250" s="1" t="s">
        <v>239</v>
      </c>
      <c r="B250" s="1" t="s">
        <v>240</v>
      </c>
      <c r="C250" s="1" t="s">
        <v>2755</v>
      </c>
      <c r="D250" s="5">
        <v>46055</v>
      </c>
      <c r="E250" s="5">
        <v>46055</v>
      </c>
      <c r="F250" s="120" t="s">
        <v>1453</v>
      </c>
      <c r="G250" s="1"/>
      <c r="H250" s="156">
        <v>80000</v>
      </c>
      <c r="I250" s="1" t="s">
        <v>2756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8.5">
      <c r="A251" s="1" t="s">
        <v>239</v>
      </c>
      <c r="B251" s="1" t="s">
        <v>240</v>
      </c>
      <c r="C251" s="1" t="s">
        <v>2757</v>
      </c>
      <c r="D251" s="5">
        <v>46055</v>
      </c>
      <c r="E251" s="5">
        <v>46055</v>
      </c>
      <c r="F251" s="120" t="s">
        <v>2758</v>
      </c>
      <c r="G251" s="1"/>
      <c r="H251" s="156">
        <v>200</v>
      </c>
      <c r="I251" s="1" t="s">
        <v>2759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42.75">
      <c r="A252" s="1" t="s">
        <v>239</v>
      </c>
      <c r="B252" s="1" t="s">
        <v>240</v>
      </c>
      <c r="C252" s="1" t="s">
        <v>2757</v>
      </c>
      <c r="D252" s="5">
        <v>46055</v>
      </c>
      <c r="E252" s="5">
        <v>46055</v>
      </c>
      <c r="F252" s="120" t="s">
        <v>2760</v>
      </c>
      <c r="G252" s="1"/>
      <c r="H252" s="156">
        <v>20000</v>
      </c>
      <c r="I252" s="1" t="s">
        <v>2761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8.5">
      <c r="A253" s="1" t="s">
        <v>239</v>
      </c>
      <c r="B253" s="1" t="s">
        <v>240</v>
      </c>
      <c r="C253" s="1" t="s">
        <v>2762</v>
      </c>
      <c r="D253" s="5">
        <v>46056</v>
      </c>
      <c r="E253" s="5">
        <v>46056</v>
      </c>
      <c r="F253" s="120" t="s">
        <v>2763</v>
      </c>
      <c r="G253" s="1">
        <v>1018150</v>
      </c>
      <c r="H253" s="156"/>
      <c r="I253" s="1" t="s">
        <v>2765</v>
      </c>
      <c r="J253" s="1" t="s">
        <v>2764</v>
      </c>
      <c r="K253" s="1"/>
      <c r="L253" s="1"/>
      <c r="M253" s="1"/>
      <c r="N253" s="1"/>
      <c r="O253" s="1"/>
      <c r="P253" s="1"/>
      <c r="Q253" s="1"/>
      <c r="R253" s="1"/>
      <c r="S253" s="1"/>
    </row>
    <row r="254" spans="1:19">
      <c r="A254" s="1" t="s">
        <v>239</v>
      </c>
      <c r="B254" s="1" t="s">
        <v>240</v>
      </c>
      <c r="C254" s="1" t="s">
        <v>2766</v>
      </c>
      <c r="D254" s="5">
        <v>46056</v>
      </c>
      <c r="E254" s="5">
        <v>46056</v>
      </c>
      <c r="F254" s="120" t="s">
        <v>2767</v>
      </c>
      <c r="G254" s="1">
        <v>231400</v>
      </c>
      <c r="H254" s="156"/>
      <c r="I254" s="1" t="s">
        <v>2769</v>
      </c>
      <c r="J254" s="1" t="s">
        <v>2768</v>
      </c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8.5">
      <c r="A255" s="1" t="s">
        <v>239</v>
      </c>
      <c r="B255" s="1" t="s">
        <v>240</v>
      </c>
      <c r="C255" s="1" t="s">
        <v>2770</v>
      </c>
      <c r="D255" s="5">
        <v>46056</v>
      </c>
      <c r="E255" s="5">
        <v>46056</v>
      </c>
      <c r="F255" s="120" t="s">
        <v>2771</v>
      </c>
      <c r="G255" s="1"/>
      <c r="H255" s="156">
        <v>200</v>
      </c>
      <c r="I255" s="1" t="s">
        <v>2772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8.5">
      <c r="A256" s="1" t="s">
        <v>239</v>
      </c>
      <c r="B256" s="1" t="s">
        <v>240</v>
      </c>
      <c r="C256" s="1" t="s">
        <v>2770</v>
      </c>
      <c r="D256" s="5">
        <v>46056</v>
      </c>
      <c r="E256" s="5">
        <v>46056</v>
      </c>
      <c r="F256" s="120" t="s">
        <v>2773</v>
      </c>
      <c r="G256" s="1"/>
      <c r="H256" s="156">
        <v>15000</v>
      </c>
      <c r="I256" s="1" t="s">
        <v>2774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42.75">
      <c r="A257" s="1" t="s">
        <v>239</v>
      </c>
      <c r="B257" s="1" t="s">
        <v>240</v>
      </c>
      <c r="C257" s="1" t="s">
        <v>2775</v>
      </c>
      <c r="D257" s="5">
        <v>46057</v>
      </c>
      <c r="E257" s="5">
        <v>46057</v>
      </c>
      <c r="F257" s="120" t="s">
        <v>2776</v>
      </c>
      <c r="G257" s="1"/>
      <c r="H257" s="156">
        <v>200</v>
      </c>
      <c r="I257" s="1" t="s">
        <v>2777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42.75">
      <c r="A258" s="1" t="s">
        <v>239</v>
      </c>
      <c r="B258" s="1" t="s">
        <v>240</v>
      </c>
      <c r="C258" s="1" t="s">
        <v>2775</v>
      </c>
      <c r="D258" s="5">
        <v>46057</v>
      </c>
      <c r="E258" s="5">
        <v>46057</v>
      </c>
      <c r="F258" s="120" t="s">
        <v>2778</v>
      </c>
      <c r="G258" s="1"/>
      <c r="H258" s="156">
        <v>14700</v>
      </c>
      <c r="I258" s="1" t="s">
        <v>2780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>
      <c r="A259" s="1"/>
      <c r="B259" s="1" t="s">
        <v>240</v>
      </c>
      <c r="C259" s="1" t="s">
        <v>2781</v>
      </c>
      <c r="D259" s="5">
        <v>46057</v>
      </c>
      <c r="E259" s="5">
        <v>46057</v>
      </c>
      <c r="F259" s="120" t="s">
        <v>1162</v>
      </c>
      <c r="G259" s="1">
        <v>1000000</v>
      </c>
      <c r="H259" s="156"/>
      <c r="I259" s="1" t="s">
        <v>2782</v>
      </c>
      <c r="J259" s="1" t="s">
        <v>671</v>
      </c>
      <c r="K259" s="1"/>
      <c r="L259" s="1"/>
      <c r="M259" s="1"/>
      <c r="N259" s="1"/>
      <c r="O259" s="1"/>
      <c r="P259" s="1"/>
      <c r="Q259" s="1"/>
      <c r="R259" s="1"/>
      <c r="S259" s="1"/>
    </row>
    <row r="260" spans="1:19">
      <c r="A260" s="1"/>
      <c r="B260" s="1" t="s">
        <v>240</v>
      </c>
      <c r="C260" s="1" t="s">
        <v>2783</v>
      </c>
      <c r="D260" s="5">
        <v>46057</v>
      </c>
      <c r="E260" s="5">
        <v>46057</v>
      </c>
      <c r="F260" s="120" t="s">
        <v>2784</v>
      </c>
      <c r="G260" s="1">
        <v>366000</v>
      </c>
      <c r="H260" s="156"/>
      <c r="I260" s="1" t="s">
        <v>2785</v>
      </c>
      <c r="J260" s="1" t="s">
        <v>2341</v>
      </c>
      <c r="K260" s="1"/>
      <c r="L260" s="1"/>
      <c r="M260" s="1"/>
      <c r="N260" s="1"/>
      <c r="O260" s="1"/>
      <c r="P260" s="1"/>
      <c r="Q260" s="1"/>
      <c r="R260" s="1"/>
      <c r="S260" s="1"/>
    </row>
    <row r="261" spans="1:19">
      <c r="A261" s="1"/>
      <c r="B261" s="1" t="s">
        <v>240</v>
      </c>
      <c r="C261" s="1" t="s">
        <v>2786</v>
      </c>
      <c r="D261" s="5">
        <v>46057</v>
      </c>
      <c r="E261" s="5">
        <v>46057</v>
      </c>
      <c r="F261" s="120" t="s">
        <v>2787</v>
      </c>
      <c r="G261" s="1">
        <v>400000</v>
      </c>
      <c r="H261" s="156"/>
      <c r="I261" s="1" t="s">
        <v>2788</v>
      </c>
      <c r="J261" s="1" t="s">
        <v>1476</v>
      </c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8.5">
      <c r="A262" s="1" t="s">
        <v>239</v>
      </c>
      <c r="B262" s="1" t="s">
        <v>240</v>
      </c>
      <c r="C262" s="1" t="s">
        <v>2789</v>
      </c>
      <c r="D262" s="5">
        <v>46057</v>
      </c>
      <c r="E262" s="5">
        <v>46057</v>
      </c>
      <c r="F262" s="120" t="s">
        <v>2790</v>
      </c>
      <c r="G262" s="1"/>
      <c r="H262" s="156">
        <v>200</v>
      </c>
      <c r="I262" s="1" t="s">
        <v>2791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42.75">
      <c r="A263" s="1" t="s">
        <v>239</v>
      </c>
      <c r="B263" s="1" t="s">
        <v>240</v>
      </c>
      <c r="C263" s="1" t="s">
        <v>2789</v>
      </c>
      <c r="D263" s="5">
        <v>46057</v>
      </c>
      <c r="E263" s="5">
        <v>46057</v>
      </c>
      <c r="F263" s="120" t="s">
        <v>2792</v>
      </c>
      <c r="G263" s="1"/>
      <c r="H263" s="156">
        <v>20000</v>
      </c>
      <c r="I263" s="1" t="s">
        <v>2793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42.75">
      <c r="A264" s="1" t="s">
        <v>239</v>
      </c>
      <c r="B264" s="1" t="s">
        <v>240</v>
      </c>
      <c r="C264" s="1" t="s">
        <v>2794</v>
      </c>
      <c r="D264" s="5">
        <v>46057</v>
      </c>
      <c r="E264" s="5">
        <v>46057</v>
      </c>
      <c r="F264" s="120" t="s">
        <v>2795</v>
      </c>
      <c r="G264" s="1"/>
      <c r="H264" s="156">
        <v>10000</v>
      </c>
      <c r="I264" s="1" t="s">
        <v>2796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8.5">
      <c r="A265" s="1" t="s">
        <v>239</v>
      </c>
      <c r="B265" s="1" t="s">
        <v>240</v>
      </c>
      <c r="C265" s="1" t="s">
        <v>2797</v>
      </c>
      <c r="D265" s="5">
        <v>46058</v>
      </c>
      <c r="E265" s="5">
        <v>46058</v>
      </c>
      <c r="F265" s="120" t="s">
        <v>4780</v>
      </c>
      <c r="G265" s="1">
        <v>380000</v>
      </c>
      <c r="H265" s="156"/>
      <c r="I265" s="1" t="s">
        <v>2800</v>
      </c>
      <c r="J265" s="1" t="s">
        <v>2799</v>
      </c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42.75">
      <c r="A266" s="1" t="s">
        <v>239</v>
      </c>
      <c r="B266" s="1" t="s">
        <v>240</v>
      </c>
      <c r="C266" s="1" t="s">
        <v>2801</v>
      </c>
      <c r="D266" s="5">
        <v>46058</v>
      </c>
      <c r="E266" s="5">
        <v>46058</v>
      </c>
      <c r="F266" s="120" t="s">
        <v>2802</v>
      </c>
      <c r="G266" s="1"/>
      <c r="H266" s="156">
        <v>40000</v>
      </c>
      <c r="I266" s="1" t="s">
        <v>2803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42.75">
      <c r="A267" s="1" t="s">
        <v>239</v>
      </c>
      <c r="B267" s="1" t="s">
        <v>240</v>
      </c>
      <c r="C267" s="1" t="s">
        <v>2804</v>
      </c>
      <c r="D267" s="5">
        <v>46058</v>
      </c>
      <c r="E267" s="5">
        <v>46058</v>
      </c>
      <c r="F267" s="120" t="s">
        <v>2805</v>
      </c>
      <c r="G267" s="1"/>
      <c r="H267" s="173">
        <v>34000</v>
      </c>
      <c r="I267" s="1" t="s">
        <v>2807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8.5">
      <c r="A268" s="1" t="s">
        <v>239</v>
      </c>
      <c r="B268" s="1" t="s">
        <v>240</v>
      </c>
      <c r="C268" s="1" t="s">
        <v>2808</v>
      </c>
      <c r="D268" s="5">
        <v>46058</v>
      </c>
      <c r="E268" s="5">
        <v>46058</v>
      </c>
      <c r="F268" s="120" t="s">
        <v>2809</v>
      </c>
      <c r="G268" s="1"/>
      <c r="H268" s="156">
        <v>1000</v>
      </c>
      <c r="I268" s="1" t="s">
        <v>2810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8.5">
      <c r="A269" s="1" t="s">
        <v>239</v>
      </c>
      <c r="B269" s="1" t="s">
        <v>240</v>
      </c>
      <c r="C269" s="1" t="s">
        <v>2811</v>
      </c>
      <c r="D269" s="5">
        <v>46058</v>
      </c>
      <c r="E269" s="5">
        <v>46058</v>
      </c>
      <c r="F269" s="120" t="s">
        <v>2812</v>
      </c>
      <c r="G269" s="1"/>
      <c r="H269" s="156">
        <v>180</v>
      </c>
      <c r="I269" s="1" t="s">
        <v>2814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42.75">
      <c r="A270" s="1" t="s">
        <v>239</v>
      </c>
      <c r="B270" s="1" t="s">
        <v>240</v>
      </c>
      <c r="C270" s="1" t="s">
        <v>2815</v>
      </c>
      <c r="D270" s="5">
        <v>46058</v>
      </c>
      <c r="E270" s="5">
        <v>46058</v>
      </c>
      <c r="F270" s="120" t="s">
        <v>4781</v>
      </c>
      <c r="G270" s="1">
        <v>330000</v>
      </c>
      <c r="H270" s="156"/>
      <c r="I270" s="1" t="s">
        <v>2817</v>
      </c>
      <c r="J270" s="1" t="s">
        <v>1557</v>
      </c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8.5">
      <c r="A271" s="1" t="s">
        <v>239</v>
      </c>
      <c r="B271" s="1" t="s">
        <v>240</v>
      </c>
      <c r="C271" s="1" t="s">
        <v>2818</v>
      </c>
      <c r="D271" s="5">
        <v>46059</v>
      </c>
      <c r="E271" s="5">
        <v>46059</v>
      </c>
      <c r="F271" s="120" t="s">
        <v>2819</v>
      </c>
      <c r="G271" s="1"/>
      <c r="H271" s="156">
        <v>200</v>
      </c>
      <c r="I271" s="1" t="s">
        <v>2820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8.5">
      <c r="A272" s="1" t="s">
        <v>239</v>
      </c>
      <c r="B272" s="1" t="s">
        <v>240</v>
      </c>
      <c r="C272" s="1" t="s">
        <v>2818</v>
      </c>
      <c r="D272" s="5">
        <v>46059</v>
      </c>
      <c r="E272" s="5">
        <v>46059</v>
      </c>
      <c r="F272" s="120" t="s">
        <v>2821</v>
      </c>
      <c r="G272" s="1"/>
      <c r="H272" s="156">
        <v>13200</v>
      </c>
      <c r="I272" s="1" t="s">
        <v>2823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8.5">
      <c r="A273" s="1" t="s">
        <v>239</v>
      </c>
      <c r="B273" s="1" t="s">
        <v>240</v>
      </c>
      <c r="C273" s="1" t="s">
        <v>2824</v>
      </c>
      <c r="D273" s="5">
        <v>46059</v>
      </c>
      <c r="E273" s="5">
        <v>46059</v>
      </c>
      <c r="F273" s="120" t="s">
        <v>2825</v>
      </c>
      <c r="G273" s="1"/>
      <c r="H273" s="156">
        <v>200</v>
      </c>
      <c r="I273" s="1" t="s">
        <v>2826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42.75">
      <c r="A274" s="1" t="s">
        <v>239</v>
      </c>
      <c r="B274" s="1" t="s">
        <v>240</v>
      </c>
      <c r="C274" s="1" t="s">
        <v>2824</v>
      </c>
      <c r="D274" s="5">
        <v>46059</v>
      </c>
      <c r="E274" s="5">
        <v>46059</v>
      </c>
      <c r="F274" s="120" t="s">
        <v>2827</v>
      </c>
      <c r="G274" s="1"/>
      <c r="H274" s="156">
        <v>20000</v>
      </c>
      <c r="I274" s="1" t="s">
        <v>2828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8.5">
      <c r="A275" s="1" t="s">
        <v>239</v>
      </c>
      <c r="B275" s="1" t="s">
        <v>240</v>
      </c>
      <c r="C275" s="1" t="s">
        <v>2829</v>
      </c>
      <c r="D275" s="5">
        <v>46061</v>
      </c>
      <c r="E275" s="5">
        <v>46061</v>
      </c>
      <c r="F275" s="120" t="s">
        <v>4782</v>
      </c>
      <c r="G275" s="1">
        <v>330000</v>
      </c>
      <c r="H275" s="156"/>
      <c r="I275" s="1" t="s">
        <v>2831</v>
      </c>
      <c r="J275" s="1" t="s">
        <v>1557</v>
      </c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8.5">
      <c r="A276" s="1" t="s">
        <v>239</v>
      </c>
      <c r="B276" s="1" t="s">
        <v>240</v>
      </c>
      <c r="C276" s="1" t="s">
        <v>2832</v>
      </c>
      <c r="D276" s="5">
        <v>46062</v>
      </c>
      <c r="E276" s="5">
        <v>46062</v>
      </c>
      <c r="F276" s="120" t="s">
        <v>4784</v>
      </c>
      <c r="G276" s="1">
        <v>300000</v>
      </c>
      <c r="H276" s="156"/>
      <c r="I276" s="1" t="s">
        <v>2834</v>
      </c>
      <c r="J276" s="1" t="s">
        <v>833</v>
      </c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8.5">
      <c r="A277" s="1" t="s">
        <v>239</v>
      </c>
      <c r="B277" s="1" t="s">
        <v>240</v>
      </c>
      <c r="C277" s="1" t="s">
        <v>2835</v>
      </c>
      <c r="D277" s="5">
        <v>46062</v>
      </c>
      <c r="E277" s="5">
        <v>46062</v>
      </c>
      <c r="F277" s="120" t="s">
        <v>4783</v>
      </c>
      <c r="G277" s="1">
        <v>30000</v>
      </c>
      <c r="H277" s="156"/>
      <c r="I277" s="1" t="s">
        <v>2837</v>
      </c>
      <c r="J277" s="1" t="s">
        <v>433</v>
      </c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8.5">
      <c r="A278" s="1" t="s">
        <v>2518</v>
      </c>
      <c r="B278" s="1" t="s">
        <v>240</v>
      </c>
      <c r="C278" s="1" t="s">
        <v>2838</v>
      </c>
      <c r="D278" s="5">
        <v>46062</v>
      </c>
      <c r="E278" s="5">
        <v>46062</v>
      </c>
      <c r="F278" s="120" t="s">
        <v>4785</v>
      </c>
      <c r="G278" s="1">
        <v>330000</v>
      </c>
      <c r="H278" s="156"/>
      <c r="I278" s="1" t="s">
        <v>2840</v>
      </c>
      <c r="J278" s="1" t="s">
        <v>1557</v>
      </c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8.5">
      <c r="A279" s="1" t="s">
        <v>239</v>
      </c>
      <c r="B279" s="1" t="s">
        <v>240</v>
      </c>
      <c r="C279" s="1" t="s">
        <v>2841</v>
      </c>
      <c r="D279" s="5">
        <v>46062</v>
      </c>
      <c r="E279" s="5">
        <v>46062</v>
      </c>
      <c r="F279" s="120" t="s">
        <v>2842</v>
      </c>
      <c r="G279" s="1"/>
      <c r="H279" s="156">
        <v>100</v>
      </c>
      <c r="I279" s="1" t="s">
        <v>2843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42.75">
      <c r="A280" s="1" t="s">
        <v>239</v>
      </c>
      <c r="B280" s="1" t="s">
        <v>240</v>
      </c>
      <c r="C280" s="1" t="s">
        <v>2841</v>
      </c>
      <c r="D280" s="5">
        <v>46062</v>
      </c>
      <c r="E280" s="5">
        <v>46062</v>
      </c>
      <c r="F280" s="120" t="s">
        <v>2844</v>
      </c>
      <c r="G280" s="1"/>
      <c r="H280" s="156">
        <v>10000</v>
      </c>
      <c r="I280" s="1" t="s">
        <v>2845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8.5">
      <c r="A281" s="1" t="s">
        <v>1539</v>
      </c>
      <c r="B281" s="1" t="s">
        <v>240</v>
      </c>
      <c r="C281" s="1" t="s">
        <v>2846</v>
      </c>
      <c r="D281" s="5">
        <v>46062</v>
      </c>
      <c r="E281" s="5">
        <v>46062</v>
      </c>
      <c r="F281" s="120" t="s">
        <v>4786</v>
      </c>
      <c r="G281" s="1">
        <v>330000</v>
      </c>
      <c r="H281" s="156"/>
      <c r="I281" s="1" t="s">
        <v>2848</v>
      </c>
      <c r="J281" s="1" t="s">
        <v>1557</v>
      </c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8.5">
      <c r="A282" s="1" t="s">
        <v>239</v>
      </c>
      <c r="B282" s="1" t="s">
        <v>240</v>
      </c>
      <c r="C282" s="1" t="s">
        <v>2849</v>
      </c>
      <c r="D282" s="5">
        <v>46062</v>
      </c>
      <c r="E282" s="5">
        <v>46062</v>
      </c>
      <c r="F282" s="120" t="s">
        <v>2850</v>
      </c>
      <c r="G282" s="1"/>
      <c r="H282" s="156">
        <v>200</v>
      </c>
      <c r="I282" s="1" t="s">
        <v>2851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42.75">
      <c r="A283" s="1" t="s">
        <v>239</v>
      </c>
      <c r="B283" s="1" t="s">
        <v>240</v>
      </c>
      <c r="C283" s="1" t="s">
        <v>2849</v>
      </c>
      <c r="D283" s="5">
        <v>46062</v>
      </c>
      <c r="E283" s="5">
        <v>46062</v>
      </c>
      <c r="F283" s="120" t="s">
        <v>2852</v>
      </c>
      <c r="G283" s="1"/>
      <c r="H283" s="156">
        <v>20000</v>
      </c>
      <c r="I283" s="1" t="s">
        <v>2853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8.5">
      <c r="A284" s="1" t="s">
        <v>239</v>
      </c>
      <c r="B284" s="1" t="s">
        <v>240</v>
      </c>
      <c r="C284" s="1" t="s">
        <v>2854</v>
      </c>
      <c r="D284" s="5">
        <v>46063</v>
      </c>
      <c r="E284" s="5">
        <v>46063</v>
      </c>
      <c r="F284" s="120" t="s">
        <v>4787</v>
      </c>
      <c r="G284" s="1">
        <v>200000</v>
      </c>
      <c r="H284" s="156"/>
      <c r="I284" s="1" t="s">
        <v>2856</v>
      </c>
      <c r="J284" s="1" t="s">
        <v>1545</v>
      </c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8.5">
      <c r="A285" s="1" t="s">
        <v>239</v>
      </c>
      <c r="B285" s="1" t="s">
        <v>240</v>
      </c>
      <c r="C285" s="1" t="s">
        <v>2857</v>
      </c>
      <c r="D285" s="5">
        <v>46063</v>
      </c>
      <c r="E285" s="5">
        <v>46063</v>
      </c>
      <c r="F285" s="120" t="s">
        <v>2858</v>
      </c>
      <c r="G285" s="1"/>
      <c r="H285" s="156">
        <v>2500000</v>
      </c>
      <c r="I285" s="1" t="s">
        <v>2859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8.5">
      <c r="A286" s="1" t="s">
        <v>239</v>
      </c>
      <c r="B286" s="1" t="s">
        <v>240</v>
      </c>
      <c r="C286" s="1" t="s">
        <v>2860</v>
      </c>
      <c r="D286" s="5">
        <v>46063</v>
      </c>
      <c r="E286" s="5">
        <v>46063</v>
      </c>
      <c r="F286" s="120" t="s">
        <v>2861</v>
      </c>
      <c r="G286" s="1"/>
      <c r="H286" s="156">
        <v>100</v>
      </c>
      <c r="I286" s="1" t="s">
        <v>2862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42.75">
      <c r="A287" s="1" t="s">
        <v>239</v>
      </c>
      <c r="B287" s="1" t="s">
        <v>240</v>
      </c>
      <c r="C287" s="1" t="s">
        <v>2860</v>
      </c>
      <c r="D287" s="5">
        <v>46063</v>
      </c>
      <c r="E287" s="5">
        <v>46063</v>
      </c>
      <c r="F287" s="120" t="s">
        <v>2863</v>
      </c>
      <c r="G287" s="1"/>
      <c r="H287" s="156">
        <v>7500</v>
      </c>
      <c r="I287" s="1" t="s">
        <v>2864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8.5">
      <c r="A288" s="1" t="s">
        <v>239</v>
      </c>
      <c r="B288" s="1" t="s">
        <v>240</v>
      </c>
      <c r="C288" s="1" t="s">
        <v>2865</v>
      </c>
      <c r="D288" s="5">
        <v>46064</v>
      </c>
      <c r="E288" s="5">
        <v>46064</v>
      </c>
      <c r="F288" s="120" t="s">
        <v>4787</v>
      </c>
      <c r="G288" s="1">
        <v>130000</v>
      </c>
      <c r="H288" s="156"/>
      <c r="I288" s="1" t="s">
        <v>2866</v>
      </c>
      <c r="J288" s="1" t="s">
        <v>283</v>
      </c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8.5">
      <c r="A289" s="1" t="s">
        <v>239</v>
      </c>
      <c r="B289" s="1" t="s">
        <v>240</v>
      </c>
      <c r="C289" s="1" t="s">
        <v>2867</v>
      </c>
      <c r="D289" s="5">
        <v>46064</v>
      </c>
      <c r="E289" s="5">
        <v>46064</v>
      </c>
      <c r="F289" s="120" t="s">
        <v>2868</v>
      </c>
      <c r="G289" s="1"/>
      <c r="H289" s="156">
        <v>100</v>
      </c>
      <c r="I289" s="1" t="s">
        <v>2869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42.75">
      <c r="A290" s="1" t="s">
        <v>239</v>
      </c>
      <c r="B290" s="1" t="s">
        <v>240</v>
      </c>
      <c r="C290" s="1" t="s">
        <v>2867</v>
      </c>
      <c r="D290" s="5">
        <v>46064</v>
      </c>
      <c r="E290" s="5">
        <v>46064</v>
      </c>
      <c r="F290" s="120" t="s">
        <v>2870</v>
      </c>
      <c r="G290" s="1"/>
      <c r="H290" s="156">
        <v>2800</v>
      </c>
      <c r="I290" s="1" t="s">
        <v>2871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42.75">
      <c r="A291" s="1" t="s">
        <v>239</v>
      </c>
      <c r="B291" s="1" t="s">
        <v>240</v>
      </c>
      <c r="C291" s="1" t="s">
        <v>2872</v>
      </c>
      <c r="D291" s="5">
        <v>46064</v>
      </c>
      <c r="E291" s="5">
        <v>46064</v>
      </c>
      <c r="F291" s="120" t="s">
        <v>2873</v>
      </c>
      <c r="G291" s="1"/>
      <c r="H291" s="156"/>
      <c r="I291" s="1" t="s">
        <v>2874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42.75">
      <c r="A292" s="1" t="s">
        <v>239</v>
      </c>
      <c r="B292" s="1" t="s">
        <v>240</v>
      </c>
      <c r="C292" s="1" t="s">
        <v>2872</v>
      </c>
      <c r="D292" s="5">
        <v>46064</v>
      </c>
      <c r="E292" s="5">
        <v>46064</v>
      </c>
      <c r="F292" s="120" t="s">
        <v>2875</v>
      </c>
      <c r="G292" s="1"/>
      <c r="H292" s="156">
        <v>10300</v>
      </c>
      <c r="I292" s="1" t="s">
        <v>2877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42.75">
      <c r="A293" s="1" t="s">
        <v>239</v>
      </c>
      <c r="B293" s="1" t="s">
        <v>240</v>
      </c>
      <c r="C293" s="1" t="s">
        <v>2878</v>
      </c>
      <c r="D293" s="5">
        <v>46064</v>
      </c>
      <c r="E293" s="5">
        <v>46064</v>
      </c>
      <c r="F293" s="185" t="s">
        <v>2879</v>
      </c>
      <c r="G293" s="1">
        <v>500000</v>
      </c>
      <c r="H293" s="156"/>
      <c r="I293" s="1" t="s">
        <v>2880</v>
      </c>
      <c r="J293" s="1" t="s">
        <v>588</v>
      </c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42.75">
      <c r="A294" s="1" t="s">
        <v>239</v>
      </c>
      <c r="B294" s="1" t="s">
        <v>240</v>
      </c>
      <c r="C294" s="1" t="s">
        <v>2881</v>
      </c>
      <c r="D294" s="5">
        <v>46065</v>
      </c>
      <c r="E294" s="5">
        <v>46065</v>
      </c>
      <c r="F294" s="120" t="s">
        <v>331</v>
      </c>
      <c r="G294" s="1"/>
      <c r="H294" s="156">
        <v>139783</v>
      </c>
      <c r="I294" s="1" t="s">
        <v>2883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>
      <c r="A295" s="1" t="s">
        <v>1539</v>
      </c>
      <c r="B295" s="1" t="s">
        <v>240</v>
      </c>
      <c r="C295" s="1" t="s">
        <v>2884</v>
      </c>
      <c r="D295" s="5">
        <v>46065</v>
      </c>
      <c r="E295" s="5">
        <v>46065</v>
      </c>
      <c r="F295" s="120" t="s">
        <v>4788</v>
      </c>
      <c r="G295" s="1">
        <v>200000</v>
      </c>
      <c r="H295" s="156"/>
      <c r="I295" s="1" t="s">
        <v>2886</v>
      </c>
      <c r="J295" s="1" t="s">
        <v>1545</v>
      </c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42.75">
      <c r="A296" s="1" t="s">
        <v>239</v>
      </c>
      <c r="B296" s="1" t="s">
        <v>240</v>
      </c>
      <c r="C296" s="1" t="s">
        <v>2887</v>
      </c>
      <c r="D296" s="5">
        <v>46065</v>
      </c>
      <c r="E296" s="5">
        <v>46065</v>
      </c>
      <c r="F296" s="120" t="s">
        <v>2888</v>
      </c>
      <c r="G296" s="1"/>
      <c r="H296" s="156">
        <v>200</v>
      </c>
      <c r="I296" s="1" t="s">
        <v>2889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42.75">
      <c r="A297" s="1" t="s">
        <v>239</v>
      </c>
      <c r="B297" s="1" t="s">
        <v>240</v>
      </c>
      <c r="C297" s="1" t="s">
        <v>2887</v>
      </c>
      <c r="D297" s="5">
        <v>46065</v>
      </c>
      <c r="E297" s="5">
        <v>46065</v>
      </c>
      <c r="F297" s="120" t="s">
        <v>2890</v>
      </c>
      <c r="G297" s="1"/>
      <c r="H297" s="156">
        <v>18000</v>
      </c>
      <c r="I297" s="1" t="s">
        <v>2891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42.75">
      <c r="A298" s="1" t="s">
        <v>239</v>
      </c>
      <c r="B298" s="1" t="s">
        <v>240</v>
      </c>
      <c r="C298" s="1" t="s">
        <v>2892</v>
      </c>
      <c r="D298" s="5">
        <v>46065</v>
      </c>
      <c r="E298" s="5">
        <v>46065</v>
      </c>
      <c r="F298" s="120" t="s">
        <v>2893</v>
      </c>
      <c r="G298" s="1"/>
      <c r="H298" s="156">
        <v>200</v>
      </c>
      <c r="I298" s="1" t="s">
        <v>2894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42.75">
      <c r="A299" s="1" t="s">
        <v>239</v>
      </c>
      <c r="B299" s="1" t="s">
        <v>240</v>
      </c>
      <c r="C299" s="1" t="s">
        <v>2892</v>
      </c>
      <c r="D299" s="5">
        <v>46065</v>
      </c>
      <c r="E299" s="5">
        <v>46065</v>
      </c>
      <c r="F299" s="120" t="s">
        <v>2895</v>
      </c>
      <c r="G299" s="1"/>
      <c r="H299" s="156">
        <v>150000</v>
      </c>
      <c r="I299" s="1" t="s">
        <v>2896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8.5">
      <c r="A300" s="1" t="s">
        <v>239</v>
      </c>
      <c r="B300" s="1" t="s">
        <v>240</v>
      </c>
      <c r="C300" s="1" t="s">
        <v>2897</v>
      </c>
      <c r="D300" s="5">
        <v>46066</v>
      </c>
      <c r="E300" s="5">
        <v>46066</v>
      </c>
      <c r="F300" s="120" t="s">
        <v>4789</v>
      </c>
      <c r="G300" s="1">
        <v>1300000</v>
      </c>
      <c r="H300" s="156"/>
      <c r="I300" s="1" t="s">
        <v>2900</v>
      </c>
      <c r="J300" s="1" t="s">
        <v>2899</v>
      </c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8.5">
      <c r="A301" s="1" t="s">
        <v>239</v>
      </c>
      <c r="B301" s="1" t="s">
        <v>240</v>
      </c>
      <c r="C301" s="1" t="s">
        <v>2901</v>
      </c>
      <c r="D301" s="5">
        <v>46066</v>
      </c>
      <c r="E301" s="5">
        <v>46066</v>
      </c>
      <c r="F301" s="120" t="s">
        <v>2902</v>
      </c>
      <c r="G301" s="1"/>
      <c r="H301" s="156">
        <v>100</v>
      </c>
      <c r="I301" s="1" t="s">
        <v>2903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42.75">
      <c r="A302" s="1" t="s">
        <v>239</v>
      </c>
      <c r="B302" s="1" t="s">
        <v>240</v>
      </c>
      <c r="C302" s="1" t="s">
        <v>2901</v>
      </c>
      <c r="D302" s="5">
        <v>46066</v>
      </c>
      <c r="E302" s="5">
        <v>46066</v>
      </c>
      <c r="F302" s="120" t="s">
        <v>2904</v>
      </c>
      <c r="G302" s="1"/>
      <c r="H302" s="156">
        <v>10000</v>
      </c>
      <c r="I302" s="1" t="s">
        <v>2905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42.75">
      <c r="A303" s="1" t="s">
        <v>239</v>
      </c>
      <c r="B303" s="1" t="s">
        <v>240</v>
      </c>
      <c r="C303" s="1" t="s">
        <v>2906</v>
      </c>
      <c r="D303" s="5">
        <v>46066</v>
      </c>
      <c r="E303" s="5">
        <v>46066</v>
      </c>
      <c r="F303" s="120" t="s">
        <v>2907</v>
      </c>
      <c r="G303" s="1"/>
      <c r="H303" s="156">
        <v>1350</v>
      </c>
      <c r="I303" s="1" t="s">
        <v>2908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42.75">
      <c r="A304" s="1" t="s">
        <v>239</v>
      </c>
      <c r="B304" s="1" t="s">
        <v>240</v>
      </c>
      <c r="C304" s="1" t="s">
        <v>2906</v>
      </c>
      <c r="D304" s="5">
        <v>46066</v>
      </c>
      <c r="E304" s="5">
        <v>46066</v>
      </c>
      <c r="F304" s="120" t="s">
        <v>2909</v>
      </c>
      <c r="G304" s="1"/>
      <c r="H304" s="156">
        <v>498650</v>
      </c>
      <c r="I304" s="1" t="s">
        <v>2911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8.5">
      <c r="A305" s="1" t="s">
        <v>239</v>
      </c>
      <c r="B305" s="1" t="s">
        <v>240</v>
      </c>
      <c r="C305" s="1" t="s">
        <v>2912</v>
      </c>
      <c r="D305" s="5">
        <v>46066</v>
      </c>
      <c r="E305" s="5">
        <v>46066</v>
      </c>
      <c r="F305" s="120" t="s">
        <v>2913</v>
      </c>
      <c r="G305" s="1"/>
      <c r="H305" s="156">
        <v>200</v>
      </c>
      <c r="I305" s="1" t="s">
        <v>2914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42.75">
      <c r="A306" s="1" t="s">
        <v>239</v>
      </c>
      <c r="B306" s="1" t="s">
        <v>240</v>
      </c>
      <c r="C306" s="1" t="s">
        <v>2912</v>
      </c>
      <c r="D306" s="5">
        <v>46066</v>
      </c>
      <c r="E306" s="5">
        <v>46066</v>
      </c>
      <c r="F306" s="120" t="s">
        <v>2915</v>
      </c>
      <c r="G306" s="1"/>
      <c r="H306" s="156">
        <v>11000</v>
      </c>
      <c r="I306" s="1" t="s">
        <v>2916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42.75">
      <c r="A307" s="1" t="s">
        <v>239</v>
      </c>
      <c r="B307" s="1" t="s">
        <v>240</v>
      </c>
      <c r="C307" s="1" t="s">
        <v>2917</v>
      </c>
      <c r="D307" s="5">
        <v>46067</v>
      </c>
      <c r="E307" s="5">
        <v>46067</v>
      </c>
      <c r="F307" s="120" t="s">
        <v>2918</v>
      </c>
      <c r="G307" s="1"/>
      <c r="H307" s="156">
        <v>200</v>
      </c>
      <c r="I307" s="1" t="s">
        <v>2919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42.75">
      <c r="A308" s="1" t="s">
        <v>239</v>
      </c>
      <c r="B308" s="1" t="s">
        <v>240</v>
      </c>
      <c r="C308" s="1" t="s">
        <v>2917</v>
      </c>
      <c r="D308" s="5">
        <v>46067</v>
      </c>
      <c r="E308" s="5">
        <v>46067</v>
      </c>
      <c r="F308" s="120" t="s">
        <v>2920</v>
      </c>
      <c r="G308" s="1"/>
      <c r="H308" s="156">
        <v>36000</v>
      </c>
      <c r="I308" s="1" t="s">
        <v>2921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8.5">
      <c r="A309" s="1" t="s">
        <v>239</v>
      </c>
      <c r="B309" s="1" t="s">
        <v>240</v>
      </c>
      <c r="C309" s="1" t="s">
        <v>2922</v>
      </c>
      <c r="D309" s="5">
        <v>46069</v>
      </c>
      <c r="E309" s="5">
        <v>46069</v>
      </c>
      <c r="F309" s="120" t="s">
        <v>2923</v>
      </c>
      <c r="G309" s="1"/>
      <c r="H309" s="156">
        <v>200</v>
      </c>
      <c r="I309" s="1" t="s">
        <v>2924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42.75">
      <c r="A310" s="1" t="s">
        <v>239</v>
      </c>
      <c r="B310" s="1" t="s">
        <v>240</v>
      </c>
      <c r="C310" s="1" t="s">
        <v>2922</v>
      </c>
      <c r="D310" s="5">
        <v>46069</v>
      </c>
      <c r="E310" s="5">
        <v>46069</v>
      </c>
      <c r="F310" s="120" t="s">
        <v>2925</v>
      </c>
      <c r="G310" s="1"/>
      <c r="H310" s="156">
        <v>12000</v>
      </c>
      <c r="I310" s="1" t="s">
        <v>2926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8.5">
      <c r="A311" s="1" t="s">
        <v>239</v>
      </c>
      <c r="B311" s="1" t="s">
        <v>240</v>
      </c>
      <c r="C311" s="1" t="s">
        <v>2927</v>
      </c>
      <c r="D311" s="5">
        <v>46069</v>
      </c>
      <c r="E311" s="5">
        <v>46069</v>
      </c>
      <c r="F311" s="120" t="s">
        <v>2928</v>
      </c>
      <c r="G311" s="1"/>
      <c r="H311" s="156">
        <v>200</v>
      </c>
      <c r="I311" s="1" t="s">
        <v>2929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42.75">
      <c r="A312" s="1" t="s">
        <v>239</v>
      </c>
      <c r="B312" s="1" t="s">
        <v>240</v>
      </c>
      <c r="C312" s="1" t="s">
        <v>2927</v>
      </c>
      <c r="D312" s="5">
        <v>46069</v>
      </c>
      <c r="E312" s="5">
        <v>46069</v>
      </c>
      <c r="F312" s="120" t="s">
        <v>2930</v>
      </c>
      <c r="G312" s="1"/>
      <c r="H312" s="156">
        <v>17800</v>
      </c>
      <c r="I312" s="1" t="s">
        <v>2932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42.75">
      <c r="A313" s="1" t="s">
        <v>239</v>
      </c>
      <c r="B313" s="1" t="s">
        <v>240</v>
      </c>
      <c r="C313" s="1" t="s">
        <v>2933</v>
      </c>
      <c r="D313" s="5">
        <v>46069</v>
      </c>
      <c r="E313" s="5">
        <v>46069</v>
      </c>
      <c r="F313" s="120" t="s">
        <v>2934</v>
      </c>
      <c r="G313" s="1"/>
      <c r="H313" s="156">
        <v>100</v>
      </c>
      <c r="I313" s="1" t="s">
        <v>2935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42.75">
      <c r="A314" s="1" t="s">
        <v>239</v>
      </c>
      <c r="B314" s="1" t="s">
        <v>240</v>
      </c>
      <c r="C314" s="1" t="s">
        <v>2933</v>
      </c>
      <c r="D314" s="5">
        <v>46069</v>
      </c>
      <c r="E314" s="5">
        <v>46069</v>
      </c>
      <c r="F314" s="120" t="s">
        <v>2936</v>
      </c>
      <c r="G314" s="1"/>
      <c r="H314" s="156">
        <v>257400</v>
      </c>
      <c r="I314" s="1" t="s">
        <v>2938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8.5">
      <c r="A315" s="1"/>
      <c r="B315" s="1" t="s">
        <v>240</v>
      </c>
      <c r="C315" s="1" t="s">
        <v>2939</v>
      </c>
      <c r="D315" s="5">
        <v>46069</v>
      </c>
      <c r="E315" s="5">
        <v>46069</v>
      </c>
      <c r="F315" s="120" t="s">
        <v>2940</v>
      </c>
      <c r="G315" s="1"/>
      <c r="H315" s="156">
        <v>100</v>
      </c>
      <c r="I315" s="1" t="s">
        <v>2941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>
      <c r="A316" s="1"/>
      <c r="B316" s="1" t="s">
        <v>240</v>
      </c>
      <c r="C316" s="1" t="s">
        <v>2939</v>
      </c>
      <c r="D316" s="5">
        <v>46069</v>
      </c>
      <c r="E316" s="5">
        <v>46069</v>
      </c>
      <c r="F316" s="120" t="s">
        <v>2942</v>
      </c>
      <c r="G316" s="1"/>
      <c r="H316" s="156">
        <v>200000</v>
      </c>
      <c r="I316" s="1" t="s">
        <v>2943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>
      <c r="A317" s="1" t="s">
        <v>239</v>
      </c>
      <c r="B317" s="1" t="s">
        <v>240</v>
      </c>
      <c r="C317" s="1" t="s">
        <v>2944</v>
      </c>
      <c r="D317" s="5">
        <v>46070</v>
      </c>
      <c r="E317" s="5">
        <v>46070</v>
      </c>
      <c r="F317" s="120" t="s">
        <v>2945</v>
      </c>
      <c r="G317" s="1" t="s">
        <v>2946</v>
      </c>
      <c r="H317" s="156"/>
      <c r="I317" s="1" t="s">
        <v>2947</v>
      </c>
      <c r="J317" s="1" t="s">
        <v>2946</v>
      </c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42.75">
      <c r="A318" s="1" t="s">
        <v>239</v>
      </c>
      <c r="B318" s="1" t="s">
        <v>240</v>
      </c>
      <c r="C318" s="1" t="s">
        <v>2948</v>
      </c>
      <c r="D318" s="5">
        <v>46070</v>
      </c>
      <c r="E318" s="5">
        <v>46070</v>
      </c>
      <c r="F318" s="120" t="s">
        <v>2949</v>
      </c>
      <c r="G318" s="1"/>
      <c r="H318" s="156">
        <v>75000</v>
      </c>
      <c r="I318" s="1" t="s">
        <v>2950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42.75">
      <c r="A319" s="1" t="s">
        <v>239</v>
      </c>
      <c r="B319" s="1" t="s">
        <v>240</v>
      </c>
      <c r="C319" s="1" t="s">
        <v>2951</v>
      </c>
      <c r="D319" s="5">
        <v>46070</v>
      </c>
      <c r="E319" s="5">
        <v>46070</v>
      </c>
      <c r="F319" s="120" t="s">
        <v>2952</v>
      </c>
      <c r="G319" s="1"/>
      <c r="H319" s="156">
        <v>25000</v>
      </c>
      <c r="I319" s="1" t="s">
        <v>2953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42.75">
      <c r="A320" s="1" t="s">
        <v>239</v>
      </c>
      <c r="B320" s="1" t="s">
        <v>240</v>
      </c>
      <c r="C320" s="1" t="s">
        <v>2954</v>
      </c>
      <c r="D320" s="5">
        <v>46071</v>
      </c>
      <c r="E320" s="5">
        <v>46071</v>
      </c>
      <c r="F320" s="120" t="s">
        <v>2497</v>
      </c>
      <c r="G320" s="1"/>
      <c r="H320" s="156">
        <v>40000</v>
      </c>
      <c r="I320" s="1" t="s">
        <v>2955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42.75">
      <c r="A321" s="1" t="s">
        <v>239</v>
      </c>
      <c r="B321" s="1" t="s">
        <v>240</v>
      </c>
      <c r="C321" s="1" t="s">
        <v>2956</v>
      </c>
      <c r="D321" s="5">
        <v>46071</v>
      </c>
      <c r="E321" s="5">
        <v>46071</v>
      </c>
      <c r="F321" s="120" t="s">
        <v>2957</v>
      </c>
      <c r="G321" s="1"/>
      <c r="H321" s="156">
        <v>100</v>
      </c>
      <c r="I321" s="1" t="s">
        <v>2958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42.75">
      <c r="A322" s="1" t="s">
        <v>239</v>
      </c>
      <c r="B322" s="1" t="s">
        <v>240</v>
      </c>
      <c r="C322" s="1" t="s">
        <v>2956</v>
      </c>
      <c r="D322" s="5">
        <v>46071</v>
      </c>
      <c r="E322" s="5">
        <v>46071</v>
      </c>
      <c r="F322" s="120" t="s">
        <v>2959</v>
      </c>
      <c r="G322" s="1"/>
      <c r="H322" s="156">
        <v>6400</v>
      </c>
      <c r="I322" s="1" t="s">
        <v>2961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8.5">
      <c r="A323" s="1" t="s">
        <v>2962</v>
      </c>
      <c r="B323" s="1" t="s">
        <v>240</v>
      </c>
      <c r="C323" s="1" t="s">
        <v>2963</v>
      </c>
      <c r="D323" s="5">
        <v>46071</v>
      </c>
      <c r="E323" s="5">
        <v>46071</v>
      </c>
      <c r="F323" s="120" t="s">
        <v>4790</v>
      </c>
      <c r="G323" s="1" t="s">
        <v>2965</v>
      </c>
      <c r="H323" s="156"/>
      <c r="I323" s="1" t="s">
        <v>2966</v>
      </c>
      <c r="J323" s="1" t="s">
        <v>2965</v>
      </c>
      <c r="K323" s="1"/>
      <c r="L323" s="1"/>
      <c r="M323" s="1"/>
      <c r="N323" s="1"/>
      <c r="O323" s="1"/>
      <c r="P323" s="1"/>
      <c r="Q323" s="1"/>
      <c r="R323" s="1"/>
      <c r="S323" s="1"/>
    </row>
    <row r="324" spans="1:19">
      <c r="A324" s="1"/>
      <c r="B324" s="1" t="s">
        <v>240</v>
      </c>
      <c r="C324" s="1" t="s">
        <v>2967</v>
      </c>
      <c r="D324" s="5">
        <v>46071</v>
      </c>
      <c r="E324" s="5">
        <v>46071</v>
      </c>
      <c r="F324" s="120" t="s">
        <v>2968</v>
      </c>
      <c r="G324" s="1"/>
      <c r="H324" s="156">
        <v>50000</v>
      </c>
      <c r="I324" s="1" t="s">
        <v>2969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42.75">
      <c r="A325" s="1" t="s">
        <v>239</v>
      </c>
      <c r="B325" s="1" t="s">
        <v>240</v>
      </c>
      <c r="C325" s="1" t="s">
        <v>2970</v>
      </c>
      <c r="D325" s="5">
        <v>46072</v>
      </c>
      <c r="E325" s="5">
        <v>46072</v>
      </c>
      <c r="F325" s="120" t="s">
        <v>2971</v>
      </c>
      <c r="G325" s="1"/>
      <c r="H325" s="156">
        <v>200</v>
      </c>
      <c r="I325" s="1" t="s">
        <v>2972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42.75">
      <c r="A326" s="1" t="s">
        <v>239</v>
      </c>
      <c r="B326" s="1" t="s">
        <v>240</v>
      </c>
      <c r="C326" s="1" t="s">
        <v>2970</v>
      </c>
      <c r="D326" s="5">
        <v>46072</v>
      </c>
      <c r="E326" s="5">
        <v>46072</v>
      </c>
      <c r="F326" s="120" t="s">
        <v>2973</v>
      </c>
      <c r="G326" s="1"/>
      <c r="H326" s="156">
        <v>15000</v>
      </c>
      <c r="I326" s="1" t="s">
        <v>2974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42.75">
      <c r="A327" s="1" t="s">
        <v>239</v>
      </c>
      <c r="B327" s="1" t="s">
        <v>240</v>
      </c>
      <c r="C327" s="1" t="s">
        <v>2975</v>
      </c>
      <c r="D327" s="5">
        <v>46072</v>
      </c>
      <c r="E327" s="5">
        <v>46072</v>
      </c>
      <c r="F327" s="120" t="s">
        <v>2976</v>
      </c>
      <c r="G327" s="1"/>
      <c r="H327" s="156">
        <v>30000</v>
      </c>
      <c r="I327" s="1" t="s">
        <v>2977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42.75">
      <c r="A328" s="1" t="s">
        <v>239</v>
      </c>
      <c r="B328" s="1" t="s">
        <v>240</v>
      </c>
      <c r="C328" s="1" t="s">
        <v>2978</v>
      </c>
      <c r="D328" s="5">
        <v>46073</v>
      </c>
      <c r="E328" s="5">
        <v>46073</v>
      </c>
      <c r="F328" s="120" t="s">
        <v>2979</v>
      </c>
      <c r="G328" s="1"/>
      <c r="H328" s="156">
        <v>66975</v>
      </c>
      <c r="I328" s="1" t="s">
        <v>2981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>
      <c r="A329" s="1" t="s">
        <v>239</v>
      </c>
      <c r="B329" s="1" t="s">
        <v>240</v>
      </c>
      <c r="C329" s="1" t="s">
        <v>2982</v>
      </c>
      <c r="D329" s="5">
        <v>46073</v>
      </c>
      <c r="E329" s="5">
        <v>46073</v>
      </c>
      <c r="F329" s="120" t="s">
        <v>732</v>
      </c>
      <c r="G329" s="1"/>
      <c r="H329" s="156">
        <v>100</v>
      </c>
      <c r="I329" s="1" t="s">
        <v>2983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8.5">
      <c r="A330" s="1" t="s">
        <v>239</v>
      </c>
      <c r="B330" s="1" t="s">
        <v>240</v>
      </c>
      <c r="C330" s="1" t="s">
        <v>2982</v>
      </c>
      <c r="D330" s="5">
        <v>46073</v>
      </c>
      <c r="E330" s="5">
        <v>46073</v>
      </c>
      <c r="F330" s="120" t="s">
        <v>734</v>
      </c>
      <c r="G330" s="1"/>
      <c r="H330" s="156">
        <v>40985</v>
      </c>
      <c r="I330" s="1" t="s">
        <v>2985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>
      <c r="A331" s="1" t="s">
        <v>239</v>
      </c>
      <c r="B331" s="1" t="s">
        <v>240</v>
      </c>
      <c r="C331" s="1" t="s">
        <v>2986</v>
      </c>
      <c r="D331" s="5">
        <v>46073</v>
      </c>
      <c r="E331" s="5">
        <v>46073</v>
      </c>
      <c r="F331" s="120" t="s">
        <v>732</v>
      </c>
      <c r="G331" s="1"/>
      <c r="H331" s="156">
        <v>100</v>
      </c>
      <c r="I331" s="1" t="s">
        <v>2987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8.5">
      <c r="A332" s="1" t="s">
        <v>239</v>
      </c>
      <c r="B332" s="1" t="s">
        <v>240</v>
      </c>
      <c r="C332" s="1" t="s">
        <v>2986</v>
      </c>
      <c r="D332" s="5">
        <v>46073</v>
      </c>
      <c r="E332" s="5">
        <v>46073</v>
      </c>
      <c r="F332" s="120" t="s">
        <v>734</v>
      </c>
      <c r="G332" s="1"/>
      <c r="H332" s="156">
        <v>25990</v>
      </c>
      <c r="I332" s="1" t="s">
        <v>4254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8.5">
      <c r="A333" s="1" t="s">
        <v>239</v>
      </c>
      <c r="B333" s="1" t="s">
        <v>240</v>
      </c>
      <c r="C333" s="1" t="s">
        <v>2989</v>
      </c>
      <c r="D333" s="5">
        <v>46073</v>
      </c>
      <c r="E333" s="5">
        <v>46073</v>
      </c>
      <c r="F333" s="120" t="s">
        <v>738</v>
      </c>
      <c r="G333" s="1"/>
      <c r="H333" s="156">
        <v>100</v>
      </c>
      <c r="I333" s="1" t="s">
        <v>2990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8.5">
      <c r="A334" s="1" t="s">
        <v>239</v>
      </c>
      <c r="B334" s="1" t="s">
        <v>240</v>
      </c>
      <c r="C334" s="1" t="s">
        <v>2989</v>
      </c>
      <c r="D334" s="5">
        <v>46073</v>
      </c>
      <c r="E334" s="5">
        <v>46073</v>
      </c>
      <c r="F334" s="120" t="s">
        <v>740</v>
      </c>
      <c r="G334" s="1"/>
      <c r="H334" s="156">
        <v>205423</v>
      </c>
      <c r="I334" s="1" t="s">
        <v>2992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8.5">
      <c r="A335" s="1" t="s">
        <v>239</v>
      </c>
      <c r="B335" s="1" t="s">
        <v>240</v>
      </c>
      <c r="C335" s="1" t="s">
        <v>2993</v>
      </c>
      <c r="D335" s="5">
        <v>46073</v>
      </c>
      <c r="E335" s="5">
        <v>46073</v>
      </c>
      <c r="F335" s="120" t="s">
        <v>2994</v>
      </c>
      <c r="G335" s="1"/>
      <c r="H335" s="156">
        <v>200</v>
      </c>
      <c r="I335" s="1" t="s">
        <v>2995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42.75">
      <c r="A336" s="1" t="s">
        <v>239</v>
      </c>
      <c r="B336" s="1" t="s">
        <v>240</v>
      </c>
      <c r="C336" s="1" t="s">
        <v>2993</v>
      </c>
      <c r="D336" s="5">
        <v>46073</v>
      </c>
      <c r="E336" s="5">
        <v>46073</v>
      </c>
      <c r="F336" s="120" t="s">
        <v>2996</v>
      </c>
      <c r="G336" s="1"/>
      <c r="H336" s="156">
        <v>35000</v>
      </c>
      <c r="I336" s="1" t="s">
        <v>2997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8.5">
      <c r="A337" s="1" t="s">
        <v>239</v>
      </c>
      <c r="B337" s="1" t="s">
        <v>240</v>
      </c>
      <c r="C337" s="1" t="s">
        <v>2998</v>
      </c>
      <c r="D337" s="5">
        <v>46073</v>
      </c>
      <c r="E337" s="5">
        <v>46073</v>
      </c>
      <c r="F337" s="120" t="s">
        <v>2999</v>
      </c>
      <c r="G337" s="1"/>
      <c r="H337" s="156">
        <v>200</v>
      </c>
      <c r="I337" s="1" t="s">
        <v>3000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8.5">
      <c r="A338" s="1" t="s">
        <v>239</v>
      </c>
      <c r="B338" s="1" t="s">
        <v>240</v>
      </c>
      <c r="C338" s="1" t="s">
        <v>2998</v>
      </c>
      <c r="D338" s="5">
        <v>46073</v>
      </c>
      <c r="E338" s="5">
        <v>46073</v>
      </c>
      <c r="F338" s="120" t="s">
        <v>3001</v>
      </c>
      <c r="G338" s="1"/>
      <c r="H338" s="156">
        <v>50000</v>
      </c>
      <c r="I338" s="1" t="s">
        <v>3002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8.5">
      <c r="A339" s="1" t="s">
        <v>239</v>
      </c>
      <c r="B339" s="1" t="s">
        <v>240</v>
      </c>
      <c r="C339" s="1" t="s">
        <v>3003</v>
      </c>
      <c r="D339" s="5">
        <v>46074</v>
      </c>
      <c r="E339" s="5">
        <v>46074</v>
      </c>
      <c r="F339" s="120" t="s">
        <v>3004</v>
      </c>
      <c r="G339" s="1"/>
      <c r="H339" s="156">
        <v>200</v>
      </c>
      <c r="I339" s="1" t="s">
        <v>3005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42.75">
      <c r="A340" s="1" t="s">
        <v>239</v>
      </c>
      <c r="B340" s="1" t="s">
        <v>240</v>
      </c>
      <c r="C340" s="1" t="s">
        <v>3003</v>
      </c>
      <c r="D340" s="5">
        <v>46074</v>
      </c>
      <c r="E340" s="5">
        <v>46074</v>
      </c>
      <c r="F340" s="120" t="s">
        <v>3006</v>
      </c>
      <c r="G340" s="1"/>
      <c r="H340" s="156">
        <v>11000</v>
      </c>
      <c r="I340" s="1" t="s">
        <v>3007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42.75">
      <c r="A341" s="1" t="s">
        <v>239</v>
      </c>
      <c r="B341" s="1" t="s">
        <v>240</v>
      </c>
      <c r="C341" s="1" t="s">
        <v>3008</v>
      </c>
      <c r="D341" s="5">
        <v>46074</v>
      </c>
      <c r="E341" s="5">
        <v>46074</v>
      </c>
      <c r="F341" s="120" t="s">
        <v>3009</v>
      </c>
      <c r="G341" s="1"/>
      <c r="H341" s="156">
        <v>200</v>
      </c>
      <c r="I341" s="1" t="s">
        <v>3010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57">
      <c r="A342" s="1" t="s">
        <v>239</v>
      </c>
      <c r="B342" s="1" t="s">
        <v>240</v>
      </c>
      <c r="C342" s="1" t="s">
        <v>3008</v>
      </c>
      <c r="D342" s="5">
        <v>46074</v>
      </c>
      <c r="E342" s="5">
        <v>46074</v>
      </c>
      <c r="F342" s="120" t="s">
        <v>3011</v>
      </c>
      <c r="G342" s="1"/>
      <c r="H342" s="156">
        <v>20000</v>
      </c>
      <c r="I342" s="1" t="s">
        <v>3012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42.75">
      <c r="A343" s="1" t="s">
        <v>239</v>
      </c>
      <c r="B343" s="1" t="s">
        <v>240</v>
      </c>
      <c r="C343" s="1" t="s">
        <v>3013</v>
      </c>
      <c r="D343" s="5">
        <v>46074</v>
      </c>
      <c r="E343" s="5">
        <v>46074</v>
      </c>
      <c r="F343" s="120" t="s">
        <v>3014</v>
      </c>
      <c r="G343" s="1"/>
      <c r="H343" s="156">
        <v>200</v>
      </c>
      <c r="I343" s="1" t="s">
        <v>3015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42.75">
      <c r="A344" s="1" t="s">
        <v>239</v>
      </c>
      <c r="B344" s="1" t="s">
        <v>240</v>
      </c>
      <c r="C344" s="1" t="s">
        <v>3013</v>
      </c>
      <c r="D344" s="5">
        <v>46074</v>
      </c>
      <c r="E344" s="5">
        <v>46074</v>
      </c>
      <c r="F344" s="120" t="s">
        <v>3016</v>
      </c>
      <c r="G344" s="1"/>
      <c r="H344" s="156">
        <v>18350</v>
      </c>
      <c r="I344" s="1" t="s">
        <v>3018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42.75">
      <c r="A345" s="1" t="s">
        <v>239</v>
      </c>
      <c r="B345" s="1" t="s">
        <v>240</v>
      </c>
      <c r="C345" s="1" t="s">
        <v>3019</v>
      </c>
      <c r="D345" s="5">
        <v>46076</v>
      </c>
      <c r="E345" s="5">
        <v>46076</v>
      </c>
      <c r="F345" s="120" t="s">
        <v>1064</v>
      </c>
      <c r="G345" s="1"/>
      <c r="H345" s="156">
        <v>138054</v>
      </c>
      <c r="I345" s="1" t="s">
        <v>3021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>
      <c r="A346" s="1" t="s">
        <v>239</v>
      </c>
      <c r="B346" s="1" t="s">
        <v>240</v>
      </c>
      <c r="C346" s="1" t="s">
        <v>3022</v>
      </c>
      <c r="D346" s="5">
        <v>46076</v>
      </c>
      <c r="E346" s="5">
        <v>46076</v>
      </c>
      <c r="F346" s="185" t="s">
        <v>3023</v>
      </c>
      <c r="G346" s="186">
        <v>4389000</v>
      </c>
      <c r="H346" s="156"/>
      <c r="I346" s="1" t="s">
        <v>3025</v>
      </c>
      <c r="J346" s="1" t="s">
        <v>3024</v>
      </c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42.75">
      <c r="A347" s="1" t="s">
        <v>239</v>
      </c>
      <c r="B347" s="1" t="s">
        <v>240</v>
      </c>
      <c r="C347" s="1" t="s">
        <v>3026</v>
      </c>
      <c r="D347" s="5">
        <v>46076</v>
      </c>
      <c r="E347" s="5">
        <v>46076</v>
      </c>
      <c r="F347" s="120" t="s">
        <v>3027</v>
      </c>
      <c r="G347" s="1">
        <v>400000</v>
      </c>
      <c r="H347" s="156"/>
      <c r="I347" s="1" t="s">
        <v>3028</v>
      </c>
      <c r="J347" s="1" t="s">
        <v>1476</v>
      </c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8.5">
      <c r="A348" s="1" t="s">
        <v>239</v>
      </c>
      <c r="B348" s="1" t="s">
        <v>240</v>
      </c>
      <c r="C348" s="1" t="s">
        <v>3029</v>
      </c>
      <c r="D348" s="5">
        <v>46076</v>
      </c>
      <c r="E348" s="5">
        <v>46076</v>
      </c>
      <c r="F348" s="120" t="s">
        <v>3030</v>
      </c>
      <c r="G348" s="1"/>
      <c r="H348" s="156" t="s">
        <v>261</v>
      </c>
      <c r="I348" s="1" t="s">
        <v>3031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42.75">
      <c r="A349" s="1" t="s">
        <v>239</v>
      </c>
      <c r="B349" s="1" t="s">
        <v>240</v>
      </c>
      <c r="C349" s="1" t="s">
        <v>3029</v>
      </c>
      <c r="D349" s="5">
        <v>46076</v>
      </c>
      <c r="E349" s="5">
        <v>46076</v>
      </c>
      <c r="F349" s="120" t="s">
        <v>3032</v>
      </c>
      <c r="G349" s="1"/>
      <c r="H349" s="156" t="s">
        <v>423</v>
      </c>
      <c r="I349" s="1" t="s">
        <v>3033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8.5">
      <c r="A350" s="1" t="s">
        <v>239</v>
      </c>
      <c r="B350" s="1" t="s">
        <v>240</v>
      </c>
      <c r="C350" s="1" t="s">
        <v>3034</v>
      </c>
      <c r="D350" s="5">
        <v>46077</v>
      </c>
      <c r="E350" s="5">
        <v>46077</v>
      </c>
      <c r="F350" s="185" t="s">
        <v>3035</v>
      </c>
      <c r="G350" s="1" t="s">
        <v>3036</v>
      </c>
      <c r="H350" s="156"/>
      <c r="I350" s="1" t="s">
        <v>3037</v>
      </c>
      <c r="J350" s="1" t="s">
        <v>3036</v>
      </c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8.5">
      <c r="A351" s="1" t="s">
        <v>239</v>
      </c>
      <c r="B351" s="1" t="s">
        <v>240</v>
      </c>
      <c r="C351" s="1" t="s">
        <v>3038</v>
      </c>
      <c r="D351" s="5">
        <v>46078</v>
      </c>
      <c r="E351" s="5">
        <v>46078</v>
      </c>
      <c r="F351" s="120" t="s">
        <v>3039</v>
      </c>
      <c r="G351" s="1"/>
      <c r="H351" s="156" t="s">
        <v>3040</v>
      </c>
      <c r="I351" s="1" t="s">
        <v>3041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8.5">
      <c r="A352" s="1" t="s">
        <v>239</v>
      </c>
      <c r="B352" s="1" t="s">
        <v>240</v>
      </c>
      <c r="C352" s="1" t="s">
        <v>3042</v>
      </c>
      <c r="D352" s="5">
        <v>46078</v>
      </c>
      <c r="E352" s="5">
        <v>46078</v>
      </c>
      <c r="F352" s="120" t="s">
        <v>3043</v>
      </c>
      <c r="G352" s="1"/>
      <c r="H352" s="156" t="s">
        <v>254</v>
      </c>
      <c r="I352" s="1" t="s">
        <v>3044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42.75">
      <c r="A353" s="1" t="s">
        <v>239</v>
      </c>
      <c r="B353" s="1" t="s">
        <v>240</v>
      </c>
      <c r="C353" s="1" t="s">
        <v>3042</v>
      </c>
      <c r="D353" s="5">
        <v>46078</v>
      </c>
      <c r="E353" s="5">
        <v>46078</v>
      </c>
      <c r="F353" s="120" t="s">
        <v>3045</v>
      </c>
      <c r="G353" s="1"/>
      <c r="H353" s="156" t="s">
        <v>295</v>
      </c>
      <c r="I353" s="1" t="s">
        <v>3046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42.75">
      <c r="A354" s="1" t="s">
        <v>239</v>
      </c>
      <c r="B354" s="1" t="s">
        <v>240</v>
      </c>
      <c r="C354" s="1" t="s">
        <v>3047</v>
      </c>
      <c r="D354" s="5">
        <v>46078</v>
      </c>
      <c r="E354" s="5">
        <v>46078</v>
      </c>
      <c r="F354" s="120" t="s">
        <v>3048</v>
      </c>
      <c r="G354" s="1"/>
      <c r="H354" s="156" t="s">
        <v>254</v>
      </c>
      <c r="I354" s="1" t="s">
        <v>3049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42.75">
      <c r="A355" s="1" t="s">
        <v>239</v>
      </c>
      <c r="B355" s="1" t="s">
        <v>240</v>
      </c>
      <c r="C355" s="1" t="s">
        <v>3047</v>
      </c>
      <c r="D355" s="5">
        <v>46078</v>
      </c>
      <c r="E355" s="5">
        <v>46078</v>
      </c>
      <c r="F355" s="120" t="s">
        <v>3050</v>
      </c>
      <c r="G355" s="1"/>
      <c r="H355" s="156" t="s">
        <v>1170</v>
      </c>
      <c r="I355" s="1" t="s">
        <v>3051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42.75">
      <c r="A356" s="1" t="s">
        <v>239</v>
      </c>
      <c r="B356" s="1" t="s">
        <v>240</v>
      </c>
      <c r="C356" s="1" t="s">
        <v>3052</v>
      </c>
      <c r="D356" s="5">
        <v>46078</v>
      </c>
      <c r="E356" s="5">
        <v>46078</v>
      </c>
      <c r="F356" s="120" t="s">
        <v>3053</v>
      </c>
      <c r="G356" s="1"/>
      <c r="H356" s="156" t="s">
        <v>261</v>
      </c>
      <c r="I356" s="1" t="s">
        <v>3054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42.75">
      <c r="A357" s="1" t="s">
        <v>239</v>
      </c>
      <c r="B357" s="1" t="s">
        <v>240</v>
      </c>
      <c r="C357" s="1" t="s">
        <v>3052</v>
      </c>
      <c r="D357" s="5">
        <v>46078</v>
      </c>
      <c r="E357" s="5">
        <v>46078</v>
      </c>
      <c r="F357" s="120" t="s">
        <v>3055</v>
      </c>
      <c r="G357" s="1"/>
      <c r="H357" s="156" t="s">
        <v>630</v>
      </c>
      <c r="I357" s="1" t="s">
        <v>3056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42.75">
      <c r="A358" s="1" t="s">
        <v>239</v>
      </c>
      <c r="B358" s="1" t="s">
        <v>240</v>
      </c>
      <c r="C358" s="1" t="s">
        <v>3057</v>
      </c>
      <c r="D358" s="5">
        <v>46079</v>
      </c>
      <c r="E358" s="5">
        <v>46079</v>
      </c>
      <c r="F358" s="120" t="s">
        <v>3058</v>
      </c>
      <c r="G358" s="1"/>
      <c r="H358" s="156" t="s">
        <v>261</v>
      </c>
      <c r="I358" s="1" t="s">
        <v>3059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42.75">
      <c r="A359" s="1" t="s">
        <v>239</v>
      </c>
      <c r="B359" s="1" t="s">
        <v>240</v>
      </c>
      <c r="C359" s="1" t="s">
        <v>3057</v>
      </c>
      <c r="D359" s="5">
        <v>46079</v>
      </c>
      <c r="E359" s="5">
        <v>46079</v>
      </c>
      <c r="F359" s="120" t="s">
        <v>3060</v>
      </c>
      <c r="G359" s="1"/>
      <c r="H359" s="156" t="s">
        <v>527</v>
      </c>
      <c r="I359" s="1" t="s">
        <v>3061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42.75">
      <c r="A360" s="1" t="s">
        <v>239</v>
      </c>
      <c r="B360" s="1" t="s">
        <v>240</v>
      </c>
      <c r="C360" s="1" t="s">
        <v>3062</v>
      </c>
      <c r="D360" s="5">
        <v>46079</v>
      </c>
      <c r="E360" s="5">
        <v>46079</v>
      </c>
      <c r="F360" s="120" t="s">
        <v>3063</v>
      </c>
      <c r="G360" s="1"/>
      <c r="H360" s="156" t="s">
        <v>254</v>
      </c>
      <c r="I360" s="1" t="s">
        <v>3064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42.75">
      <c r="A361" s="1" t="s">
        <v>239</v>
      </c>
      <c r="B361" s="1" t="s">
        <v>240</v>
      </c>
      <c r="C361" s="1" t="s">
        <v>3062</v>
      </c>
      <c r="D361" s="5">
        <v>46079</v>
      </c>
      <c r="E361" s="5">
        <v>46079</v>
      </c>
      <c r="F361" s="120" t="s">
        <v>3065</v>
      </c>
      <c r="G361" s="1"/>
      <c r="H361" s="156" t="s">
        <v>295</v>
      </c>
      <c r="I361" s="1" t="s">
        <v>3066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42.75">
      <c r="A362" s="1" t="s">
        <v>239</v>
      </c>
      <c r="B362" s="1" t="s">
        <v>240</v>
      </c>
      <c r="C362" s="1" t="s">
        <v>3067</v>
      </c>
      <c r="D362" s="5">
        <v>46080</v>
      </c>
      <c r="E362" s="5">
        <v>46080</v>
      </c>
      <c r="F362" s="120" t="s">
        <v>3068</v>
      </c>
      <c r="G362" s="1"/>
      <c r="H362" s="156" t="s">
        <v>261</v>
      </c>
      <c r="I362" s="1" t="s">
        <v>3069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42.75">
      <c r="A363" s="1" t="s">
        <v>239</v>
      </c>
      <c r="B363" s="1" t="s">
        <v>240</v>
      </c>
      <c r="C363" s="1" t="s">
        <v>3067</v>
      </c>
      <c r="D363" s="5">
        <v>46080</v>
      </c>
      <c r="E363" s="5">
        <v>46080</v>
      </c>
      <c r="F363" s="120" t="s">
        <v>3070</v>
      </c>
      <c r="G363" s="1"/>
      <c r="H363" s="156" t="s">
        <v>527</v>
      </c>
      <c r="I363" s="1" t="s">
        <v>3071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42.75">
      <c r="A364" s="1" t="s">
        <v>239</v>
      </c>
      <c r="B364" s="1" t="s">
        <v>240</v>
      </c>
      <c r="C364" s="1" t="s">
        <v>3072</v>
      </c>
      <c r="D364" s="5">
        <v>46080</v>
      </c>
      <c r="E364" s="5">
        <v>46080</v>
      </c>
      <c r="F364" s="120" t="s">
        <v>3073</v>
      </c>
      <c r="G364" s="1"/>
      <c r="H364" s="156" t="s">
        <v>261</v>
      </c>
      <c r="I364" s="1" t="s">
        <v>3074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42.75">
      <c r="A365" s="1" t="s">
        <v>239</v>
      </c>
      <c r="B365" s="1" t="s">
        <v>240</v>
      </c>
      <c r="C365" s="1" t="s">
        <v>3072</v>
      </c>
      <c r="D365" s="5">
        <v>46080</v>
      </c>
      <c r="E365" s="5">
        <v>46080</v>
      </c>
      <c r="F365" s="120" t="s">
        <v>3075</v>
      </c>
      <c r="G365" s="1"/>
      <c r="H365" s="156" t="s">
        <v>264</v>
      </c>
      <c r="I365" s="1" t="s">
        <v>3076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>
      <c r="A366" s="1" t="s">
        <v>239</v>
      </c>
      <c r="B366" s="1" t="s">
        <v>240</v>
      </c>
      <c r="C366" s="1" t="s">
        <v>3077</v>
      </c>
      <c r="D366" s="5">
        <v>46081</v>
      </c>
      <c r="E366" s="5">
        <v>46081</v>
      </c>
      <c r="F366" s="120" t="s">
        <v>948</v>
      </c>
      <c r="G366" s="1"/>
      <c r="H366" s="156" t="s">
        <v>3078</v>
      </c>
      <c r="I366" s="1" t="s">
        <v>3079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8.5">
      <c r="A367" s="1" t="s">
        <v>239</v>
      </c>
      <c r="B367" s="1" t="s">
        <v>240</v>
      </c>
      <c r="C367" s="1" t="s">
        <v>3080</v>
      </c>
      <c r="D367" s="5">
        <v>46081</v>
      </c>
      <c r="E367" s="5">
        <v>46081</v>
      </c>
      <c r="F367" s="120" t="s">
        <v>3081</v>
      </c>
      <c r="G367" s="1"/>
      <c r="H367" s="156" t="s">
        <v>254</v>
      </c>
      <c r="I367" s="1" t="s">
        <v>3082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8.5">
      <c r="A368" s="1" t="s">
        <v>239</v>
      </c>
      <c r="B368" s="1" t="s">
        <v>240</v>
      </c>
      <c r="C368" s="1" t="s">
        <v>3080</v>
      </c>
      <c r="D368" s="5">
        <v>46081</v>
      </c>
      <c r="E368" s="5">
        <v>46081</v>
      </c>
      <c r="F368" s="120" t="s">
        <v>3083</v>
      </c>
      <c r="G368" s="1"/>
      <c r="H368" s="156" t="s">
        <v>533</v>
      </c>
      <c r="I368" s="1" t="s">
        <v>3084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42.75">
      <c r="A369" s="1" t="s">
        <v>239</v>
      </c>
      <c r="B369" s="1" t="s">
        <v>240</v>
      </c>
      <c r="C369" s="1" t="s">
        <v>3085</v>
      </c>
      <c r="D369" s="5">
        <v>46081</v>
      </c>
      <c r="E369" s="5">
        <v>46081</v>
      </c>
      <c r="F369" s="120" t="s">
        <v>3086</v>
      </c>
      <c r="G369" s="1"/>
      <c r="H369" s="156" t="s">
        <v>254</v>
      </c>
      <c r="I369" s="1" t="s">
        <v>3087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42.75">
      <c r="A370" s="1" t="s">
        <v>239</v>
      </c>
      <c r="B370" s="1" t="s">
        <v>240</v>
      </c>
      <c r="C370" s="1" t="s">
        <v>3085</v>
      </c>
      <c r="D370" s="5">
        <v>46081</v>
      </c>
      <c r="E370" s="5">
        <v>46081</v>
      </c>
      <c r="F370" s="120" t="s">
        <v>3088</v>
      </c>
      <c r="G370" s="1"/>
      <c r="H370" s="156" t="s">
        <v>1170</v>
      </c>
      <c r="I370" s="1" t="s">
        <v>3089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8.5">
      <c r="A371" s="1" t="s">
        <v>239</v>
      </c>
      <c r="B371" s="1" t="s">
        <v>240</v>
      </c>
      <c r="C371" s="1" t="s">
        <v>3090</v>
      </c>
      <c r="D371" s="5">
        <v>46082</v>
      </c>
      <c r="E371" s="5">
        <v>46082</v>
      </c>
      <c r="F371" s="120" t="s">
        <v>4791</v>
      </c>
      <c r="G371" s="1" t="s">
        <v>1557</v>
      </c>
      <c r="H371" s="156"/>
      <c r="I371" s="1" t="s">
        <v>3092</v>
      </c>
      <c r="J371" s="1" t="s">
        <v>1557</v>
      </c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8.5">
      <c r="A372" s="1" t="s">
        <v>239</v>
      </c>
      <c r="B372" s="1" t="s">
        <v>240</v>
      </c>
      <c r="C372" s="1" t="s">
        <v>3093</v>
      </c>
      <c r="D372" s="5">
        <v>46082</v>
      </c>
      <c r="E372" s="5">
        <v>46082</v>
      </c>
      <c r="F372" s="120" t="s">
        <v>4792</v>
      </c>
      <c r="G372" s="1" t="s">
        <v>1557</v>
      </c>
      <c r="H372" s="156"/>
      <c r="I372" s="1" t="s">
        <v>3095</v>
      </c>
      <c r="J372" s="1" t="s">
        <v>1557</v>
      </c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42.75">
      <c r="A373" s="1" t="s">
        <v>239</v>
      </c>
      <c r="B373" s="1" t="s">
        <v>240</v>
      </c>
      <c r="C373" s="1" t="s">
        <v>3096</v>
      </c>
      <c r="D373" s="5">
        <v>46082</v>
      </c>
      <c r="E373" s="5">
        <v>46082</v>
      </c>
      <c r="F373" s="120" t="s">
        <v>3097</v>
      </c>
      <c r="G373" s="1"/>
      <c r="H373" s="156" t="s">
        <v>243</v>
      </c>
      <c r="I373" s="1" t="s">
        <v>3098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42.75">
      <c r="A374" s="1" t="s">
        <v>239</v>
      </c>
      <c r="B374" s="1" t="s">
        <v>240</v>
      </c>
      <c r="C374" s="1" t="s">
        <v>3096</v>
      </c>
      <c r="D374" s="5">
        <v>46082</v>
      </c>
      <c r="E374" s="5">
        <v>46082</v>
      </c>
      <c r="F374" s="120" t="s">
        <v>3099</v>
      </c>
      <c r="G374" s="1"/>
      <c r="H374" s="156" t="s">
        <v>3100</v>
      </c>
      <c r="I374" s="1" t="s">
        <v>3101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8.5">
      <c r="A375" s="1" t="s">
        <v>239</v>
      </c>
      <c r="B375" s="1" t="s">
        <v>240</v>
      </c>
      <c r="C375" s="1" t="s">
        <v>3102</v>
      </c>
      <c r="D375" s="5">
        <v>46082</v>
      </c>
      <c r="E375" s="5">
        <v>46082</v>
      </c>
      <c r="F375" s="120" t="s">
        <v>3103</v>
      </c>
      <c r="G375" s="1"/>
      <c r="H375" s="156" t="s">
        <v>261</v>
      </c>
      <c r="I375" s="1" t="s">
        <v>3104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42.75">
      <c r="A376" s="1" t="s">
        <v>239</v>
      </c>
      <c r="B376" s="1" t="s">
        <v>240</v>
      </c>
      <c r="C376" s="1" t="s">
        <v>3102</v>
      </c>
      <c r="D376" s="5">
        <v>46082</v>
      </c>
      <c r="E376" s="5">
        <v>46082</v>
      </c>
      <c r="F376" s="120" t="s">
        <v>3105</v>
      </c>
      <c r="G376" s="1"/>
      <c r="H376" s="156" t="s">
        <v>301</v>
      </c>
      <c r="I376" s="1" t="s">
        <v>3106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42.75">
      <c r="A377" s="1" t="s">
        <v>239</v>
      </c>
      <c r="B377" s="1" t="s">
        <v>240</v>
      </c>
      <c r="C377" s="1" t="s">
        <v>3107</v>
      </c>
      <c r="D377" s="5">
        <v>46083</v>
      </c>
      <c r="E377" s="5">
        <v>46083</v>
      </c>
      <c r="F377" s="120" t="s">
        <v>2802</v>
      </c>
      <c r="G377" s="1"/>
      <c r="H377" s="156" t="s">
        <v>277</v>
      </c>
      <c r="I377" s="1" t="s">
        <v>3108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8.5">
      <c r="A378" s="1" t="s">
        <v>239</v>
      </c>
      <c r="B378" s="1" t="s">
        <v>240</v>
      </c>
      <c r="C378" s="1" t="s">
        <v>3109</v>
      </c>
      <c r="D378" s="5">
        <v>46083</v>
      </c>
      <c r="E378" s="5">
        <v>46083</v>
      </c>
      <c r="F378" s="120" t="s">
        <v>4793</v>
      </c>
      <c r="G378" s="1" t="s">
        <v>1557</v>
      </c>
      <c r="H378" s="156"/>
      <c r="I378" s="1" t="s">
        <v>3111</v>
      </c>
      <c r="J378" s="1" t="s">
        <v>1557</v>
      </c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8.5">
      <c r="A379" s="1" t="s">
        <v>239</v>
      </c>
      <c r="B379" s="1" t="s">
        <v>240</v>
      </c>
      <c r="C379" s="1" t="s">
        <v>3112</v>
      </c>
      <c r="D379" s="5">
        <v>46083</v>
      </c>
      <c r="E379" s="5">
        <v>46083</v>
      </c>
      <c r="F379" s="120" t="s">
        <v>3113</v>
      </c>
      <c r="G379" s="1"/>
      <c r="H379" s="156" t="s">
        <v>243</v>
      </c>
      <c r="I379" s="1" t="s">
        <v>3114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8.5">
      <c r="A380" s="1" t="s">
        <v>239</v>
      </c>
      <c r="B380" s="1" t="s">
        <v>240</v>
      </c>
      <c r="C380" s="1" t="s">
        <v>3112</v>
      </c>
      <c r="D380" s="5">
        <v>46083</v>
      </c>
      <c r="E380" s="5">
        <v>46083</v>
      </c>
      <c r="F380" s="120" t="s">
        <v>3115</v>
      </c>
      <c r="G380" s="1"/>
      <c r="H380" s="156" t="s">
        <v>3116</v>
      </c>
      <c r="I380" s="1" t="s">
        <v>3117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8.5">
      <c r="A381" s="1" t="s">
        <v>239</v>
      </c>
      <c r="B381" s="1" t="s">
        <v>240</v>
      </c>
      <c r="C381" s="1" t="s">
        <v>3118</v>
      </c>
      <c r="D381" s="5">
        <v>46083</v>
      </c>
      <c r="E381" s="5">
        <v>46083</v>
      </c>
      <c r="F381" s="120" t="s">
        <v>3119</v>
      </c>
      <c r="G381" s="1"/>
      <c r="H381" s="156" t="s">
        <v>261</v>
      </c>
      <c r="I381" s="1" t="s">
        <v>3120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8.5">
      <c r="A382" s="1" t="s">
        <v>239</v>
      </c>
      <c r="B382" s="1" t="s">
        <v>240</v>
      </c>
      <c r="C382" s="1" t="s">
        <v>3118</v>
      </c>
      <c r="D382" s="5">
        <v>46083</v>
      </c>
      <c r="E382" s="5">
        <v>46083</v>
      </c>
      <c r="F382" s="120" t="s">
        <v>3121</v>
      </c>
      <c r="G382" s="1"/>
      <c r="H382" s="156" t="s">
        <v>374</v>
      </c>
      <c r="I382" s="1" t="s">
        <v>3122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8.5">
      <c r="A383" s="1" t="s">
        <v>239</v>
      </c>
      <c r="B383" s="1" t="s">
        <v>240</v>
      </c>
      <c r="C383" s="1" t="s">
        <v>3123</v>
      </c>
      <c r="D383" s="5">
        <v>46083</v>
      </c>
      <c r="E383" s="5">
        <v>46083</v>
      </c>
      <c r="F383" s="120" t="s">
        <v>3124</v>
      </c>
      <c r="G383" s="1"/>
      <c r="H383" s="156" t="s">
        <v>243</v>
      </c>
      <c r="I383" s="1" t="s">
        <v>3125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42.75">
      <c r="A384" s="1" t="s">
        <v>239</v>
      </c>
      <c r="B384" s="1" t="s">
        <v>240</v>
      </c>
      <c r="C384" s="1" t="s">
        <v>3123</v>
      </c>
      <c r="D384" s="5">
        <v>46083</v>
      </c>
      <c r="E384" s="5">
        <v>46083</v>
      </c>
      <c r="F384" s="120" t="s">
        <v>3126</v>
      </c>
      <c r="G384" s="1"/>
      <c r="H384" s="156" t="s">
        <v>833</v>
      </c>
      <c r="I384" s="1" t="s">
        <v>3127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42.75">
      <c r="A385" s="1" t="s">
        <v>239</v>
      </c>
      <c r="B385" s="1" t="s">
        <v>240</v>
      </c>
      <c r="C385" s="1" t="s">
        <v>3128</v>
      </c>
      <c r="D385" s="5">
        <v>46083</v>
      </c>
      <c r="E385" s="5">
        <v>46083</v>
      </c>
      <c r="F385" s="120" t="s">
        <v>3129</v>
      </c>
      <c r="G385" s="1"/>
      <c r="H385" s="156" t="s">
        <v>533</v>
      </c>
      <c r="I385" s="1" t="s">
        <v>3130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8.5">
      <c r="A386" s="1" t="s">
        <v>239</v>
      </c>
      <c r="B386" s="1" t="s">
        <v>240</v>
      </c>
      <c r="C386" s="1" t="s">
        <v>3131</v>
      </c>
      <c r="D386" s="5">
        <v>46083</v>
      </c>
      <c r="E386" s="5">
        <v>46083</v>
      </c>
      <c r="F386" s="120" t="s">
        <v>2320</v>
      </c>
      <c r="G386" s="1" t="s">
        <v>1557</v>
      </c>
      <c r="H386" s="156"/>
      <c r="I386" s="1" t="s">
        <v>3132</v>
      </c>
      <c r="J386" s="1" t="s">
        <v>1557</v>
      </c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42.75">
      <c r="A387" s="1" t="s">
        <v>239</v>
      </c>
      <c r="B387" s="1" t="s">
        <v>240</v>
      </c>
      <c r="C387" s="1" t="s">
        <v>3133</v>
      </c>
      <c r="D387" s="5">
        <v>46084</v>
      </c>
      <c r="E387" s="5">
        <v>46084</v>
      </c>
      <c r="F387" s="120" t="s">
        <v>3134</v>
      </c>
      <c r="G387" s="1"/>
      <c r="H387" s="156" t="s">
        <v>243</v>
      </c>
      <c r="I387" s="1" t="s">
        <v>3135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42.75">
      <c r="A388" s="1" t="s">
        <v>239</v>
      </c>
      <c r="B388" s="1" t="s">
        <v>240</v>
      </c>
      <c r="C388" s="1" t="s">
        <v>3133</v>
      </c>
      <c r="D388" s="5">
        <v>46084</v>
      </c>
      <c r="E388" s="5">
        <v>46084</v>
      </c>
      <c r="F388" s="120" t="s">
        <v>3136</v>
      </c>
      <c r="G388" s="1"/>
      <c r="H388" s="156" t="s">
        <v>588</v>
      </c>
      <c r="I388" s="1" t="s">
        <v>3137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42.75">
      <c r="A389" s="1" t="s">
        <v>239</v>
      </c>
      <c r="B389" s="1" t="s">
        <v>240</v>
      </c>
      <c r="C389" s="1" t="s">
        <v>3138</v>
      </c>
      <c r="D389" s="5">
        <v>46084</v>
      </c>
      <c r="E389" s="5">
        <v>46084</v>
      </c>
      <c r="F389" s="120" t="s">
        <v>3139</v>
      </c>
      <c r="G389" s="1"/>
      <c r="H389" s="156" t="s">
        <v>254</v>
      </c>
      <c r="I389" s="1" t="s">
        <v>3140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42.75">
      <c r="A390" s="1" t="s">
        <v>239</v>
      </c>
      <c r="B390" s="1" t="s">
        <v>240</v>
      </c>
      <c r="C390" s="1" t="s">
        <v>3138</v>
      </c>
      <c r="D390" s="5">
        <v>46084</v>
      </c>
      <c r="E390" s="5">
        <v>46084</v>
      </c>
      <c r="F390" s="120" t="s">
        <v>3141</v>
      </c>
      <c r="G390" s="1"/>
      <c r="H390" s="156" t="s">
        <v>295</v>
      </c>
      <c r="I390" s="1" t="s">
        <v>3142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8.5">
      <c r="A391" s="1" t="s">
        <v>239</v>
      </c>
      <c r="B391" s="1" t="s">
        <v>240</v>
      </c>
      <c r="C391" s="1" t="s">
        <v>3143</v>
      </c>
      <c r="D391" s="5">
        <v>46085</v>
      </c>
      <c r="E391" s="5">
        <v>46085</v>
      </c>
      <c r="F391" s="120" t="s">
        <v>3277</v>
      </c>
      <c r="G391" s="1" t="s">
        <v>3145</v>
      </c>
      <c r="H391" s="156"/>
      <c r="I391" s="1" t="s">
        <v>3146</v>
      </c>
      <c r="J391" s="1" t="s">
        <v>3145</v>
      </c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8.5">
      <c r="A392" s="1" t="s">
        <v>239</v>
      </c>
      <c r="B392" s="1" t="s">
        <v>240</v>
      </c>
      <c r="C392" s="1" t="s">
        <v>3147</v>
      </c>
      <c r="D392" s="5">
        <v>46085</v>
      </c>
      <c r="E392" s="5">
        <v>46085</v>
      </c>
      <c r="F392" s="120" t="s">
        <v>4794</v>
      </c>
      <c r="G392" s="1" t="s">
        <v>671</v>
      </c>
      <c r="H392" s="156"/>
      <c r="I392" s="1" t="s">
        <v>3149</v>
      </c>
      <c r="J392" s="1" t="s">
        <v>671</v>
      </c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8.5">
      <c r="A393" s="1" t="s">
        <v>239</v>
      </c>
      <c r="B393" s="1" t="s">
        <v>240</v>
      </c>
      <c r="C393" s="1" t="s">
        <v>3150</v>
      </c>
      <c r="D393" s="5">
        <v>46087</v>
      </c>
      <c r="E393" s="5">
        <v>46087</v>
      </c>
      <c r="F393" s="120" t="s">
        <v>4795</v>
      </c>
      <c r="G393" s="1" t="s">
        <v>1476</v>
      </c>
      <c r="H393" s="156"/>
      <c r="I393" s="1" t="s">
        <v>3152</v>
      </c>
      <c r="J393" s="1" t="s">
        <v>1476</v>
      </c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8.5">
      <c r="A394" s="1" t="s">
        <v>239</v>
      </c>
      <c r="B394" s="1" t="s">
        <v>240</v>
      </c>
      <c r="C394" s="1" t="s">
        <v>3153</v>
      </c>
      <c r="D394" s="5">
        <v>46087</v>
      </c>
      <c r="E394" s="5">
        <v>46087</v>
      </c>
      <c r="F394" s="120" t="s">
        <v>4796</v>
      </c>
      <c r="G394" s="1" t="s">
        <v>3155</v>
      </c>
      <c r="H394" s="156"/>
      <c r="I394" s="1" t="s">
        <v>3156</v>
      </c>
      <c r="J394" s="1" t="s">
        <v>3155</v>
      </c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8.5">
      <c r="A395" s="1" t="s">
        <v>239</v>
      </c>
      <c r="B395" s="1" t="s">
        <v>240</v>
      </c>
      <c r="C395" s="1" t="s">
        <v>3157</v>
      </c>
      <c r="D395" s="5">
        <v>46087</v>
      </c>
      <c r="E395" s="5">
        <v>46087</v>
      </c>
      <c r="F395" s="185" t="s">
        <v>4797</v>
      </c>
      <c r="G395" s="1" t="s">
        <v>833</v>
      </c>
      <c r="H395" s="156"/>
      <c r="I395" s="1" t="s">
        <v>3159</v>
      </c>
      <c r="J395" s="1" t="s">
        <v>833</v>
      </c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8.5">
      <c r="A396" s="1" t="s">
        <v>239</v>
      </c>
      <c r="B396" s="1" t="s">
        <v>240</v>
      </c>
      <c r="C396" s="1" t="s">
        <v>3160</v>
      </c>
      <c r="D396" s="5">
        <v>46087</v>
      </c>
      <c r="E396" s="5">
        <v>46087</v>
      </c>
      <c r="F396" s="120" t="s">
        <v>4798</v>
      </c>
      <c r="G396" s="1" t="s">
        <v>3162</v>
      </c>
      <c r="H396" s="156"/>
      <c r="I396" s="1" t="s">
        <v>3163</v>
      </c>
      <c r="J396" s="1" t="s">
        <v>3162</v>
      </c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42.75">
      <c r="A397" s="1" t="s">
        <v>239</v>
      </c>
      <c r="B397" s="1" t="s">
        <v>240</v>
      </c>
      <c r="C397" s="1" t="s">
        <v>3164</v>
      </c>
      <c r="D397" s="5">
        <v>46087</v>
      </c>
      <c r="E397" s="5">
        <v>46087</v>
      </c>
      <c r="F397" s="120" t="s">
        <v>4799</v>
      </c>
      <c r="G397" s="1" t="s">
        <v>1557</v>
      </c>
      <c r="H397" s="156"/>
      <c r="I397" s="1" t="s">
        <v>3166</v>
      </c>
      <c r="J397" s="1" t="s">
        <v>1557</v>
      </c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8.5">
      <c r="A398" s="1" t="s">
        <v>239</v>
      </c>
      <c r="B398" s="1" t="s">
        <v>240</v>
      </c>
      <c r="C398" s="1" t="s">
        <v>3167</v>
      </c>
      <c r="D398" s="5">
        <v>46088</v>
      </c>
      <c r="E398" s="5">
        <v>46088</v>
      </c>
      <c r="F398" s="120" t="s">
        <v>3168</v>
      </c>
      <c r="G398" s="1"/>
      <c r="H398" s="156" t="s">
        <v>254</v>
      </c>
      <c r="I398" s="1" t="s">
        <v>3169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8.5">
      <c r="A399" s="1" t="s">
        <v>239</v>
      </c>
      <c r="B399" s="1" t="s">
        <v>240</v>
      </c>
      <c r="C399" s="1" t="s">
        <v>3167</v>
      </c>
      <c r="D399" s="5">
        <v>46088</v>
      </c>
      <c r="E399" s="5">
        <v>46088</v>
      </c>
      <c r="F399" s="120" t="s">
        <v>3170</v>
      </c>
      <c r="G399" s="1"/>
      <c r="H399" s="156" t="s">
        <v>307</v>
      </c>
      <c r="I399" s="1" t="s">
        <v>3171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8.5">
      <c r="A400" s="1" t="s">
        <v>239</v>
      </c>
      <c r="B400" s="1" t="s">
        <v>240</v>
      </c>
      <c r="C400" s="1" t="s">
        <v>3172</v>
      </c>
      <c r="D400" s="5">
        <v>46088</v>
      </c>
      <c r="E400" s="5">
        <v>46088</v>
      </c>
      <c r="F400" s="120" t="s">
        <v>3173</v>
      </c>
      <c r="G400" s="1"/>
      <c r="H400" s="156" t="s">
        <v>261</v>
      </c>
      <c r="I400" s="1" t="s">
        <v>3174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42.75">
      <c r="A401" s="1" t="s">
        <v>239</v>
      </c>
      <c r="B401" s="1" t="s">
        <v>240</v>
      </c>
      <c r="C401" s="1" t="s">
        <v>3172</v>
      </c>
      <c r="D401" s="5">
        <v>46088</v>
      </c>
      <c r="E401" s="5">
        <v>46088</v>
      </c>
      <c r="F401" s="120" t="s">
        <v>3175</v>
      </c>
      <c r="G401" s="1"/>
      <c r="H401" s="156" t="s">
        <v>307</v>
      </c>
      <c r="I401" s="1" t="s">
        <v>3176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8.5">
      <c r="A402" s="1" t="s">
        <v>239</v>
      </c>
      <c r="B402" s="1" t="s">
        <v>240</v>
      </c>
      <c r="C402" s="1" t="s">
        <v>3177</v>
      </c>
      <c r="D402" s="5">
        <v>46088</v>
      </c>
      <c r="E402" s="5">
        <v>46088</v>
      </c>
      <c r="F402" s="120" t="s">
        <v>4800</v>
      </c>
      <c r="G402" s="1" t="s">
        <v>1004</v>
      </c>
      <c r="H402" s="156"/>
      <c r="I402" s="1" t="s">
        <v>3179</v>
      </c>
      <c r="J402" s="1" t="s">
        <v>1004</v>
      </c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8.5">
      <c r="A403" s="1" t="s">
        <v>239</v>
      </c>
      <c r="B403" s="1" t="s">
        <v>240</v>
      </c>
      <c r="C403" s="1" t="s">
        <v>3180</v>
      </c>
      <c r="D403" s="5">
        <v>46090</v>
      </c>
      <c r="E403" s="5">
        <v>46090</v>
      </c>
      <c r="F403" s="120" t="s">
        <v>3181</v>
      </c>
      <c r="G403" s="1" t="s">
        <v>1557</v>
      </c>
      <c r="H403" s="156"/>
      <c r="I403" s="1" t="s">
        <v>3182</v>
      </c>
      <c r="J403" s="1" t="s">
        <v>1557</v>
      </c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8.5">
      <c r="A404" s="1" t="s">
        <v>239</v>
      </c>
      <c r="B404" s="1" t="s">
        <v>240</v>
      </c>
      <c r="C404" s="1" t="s">
        <v>3183</v>
      </c>
      <c r="D404" s="5">
        <v>46090</v>
      </c>
      <c r="E404" s="5">
        <v>46090</v>
      </c>
      <c r="F404" s="120" t="s">
        <v>3184</v>
      </c>
      <c r="G404" s="1"/>
      <c r="H404" s="156" t="s">
        <v>254</v>
      </c>
      <c r="I404" s="1" t="s">
        <v>3185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42.75">
      <c r="A405" s="1" t="s">
        <v>239</v>
      </c>
      <c r="B405" s="1" t="s">
        <v>240</v>
      </c>
      <c r="C405" s="1" t="s">
        <v>3183</v>
      </c>
      <c r="D405" s="5">
        <v>46090</v>
      </c>
      <c r="E405" s="5">
        <v>46090</v>
      </c>
      <c r="F405" s="120" t="s">
        <v>3186</v>
      </c>
      <c r="G405" s="1"/>
      <c r="H405" s="156" t="s">
        <v>295</v>
      </c>
      <c r="I405" s="1" t="s">
        <v>3187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8.5">
      <c r="A406" s="1" t="s">
        <v>540</v>
      </c>
      <c r="B406" s="1" t="s">
        <v>240</v>
      </c>
      <c r="C406" s="1" t="s">
        <v>3188</v>
      </c>
      <c r="D406" s="5">
        <v>46090</v>
      </c>
      <c r="E406" s="5">
        <v>46090</v>
      </c>
      <c r="F406" s="120" t="s">
        <v>1611</v>
      </c>
      <c r="G406" s="1" t="s">
        <v>1557</v>
      </c>
      <c r="H406" s="156"/>
      <c r="I406" s="1" t="s">
        <v>3189</v>
      </c>
      <c r="J406" s="1" t="s">
        <v>1557</v>
      </c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8.5">
      <c r="A407" s="1" t="s">
        <v>239</v>
      </c>
      <c r="B407" s="1" t="s">
        <v>240</v>
      </c>
      <c r="C407" s="1" t="s">
        <v>3190</v>
      </c>
      <c r="D407" s="5">
        <v>46091</v>
      </c>
      <c r="E407" s="5">
        <v>46091</v>
      </c>
      <c r="F407" s="120" t="s">
        <v>4803</v>
      </c>
      <c r="G407" s="1" t="s">
        <v>650</v>
      </c>
      <c r="H407" s="156"/>
      <c r="I407" s="1" t="s">
        <v>3192</v>
      </c>
      <c r="J407" s="1" t="s">
        <v>650</v>
      </c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8.5">
      <c r="A408" s="1" t="s">
        <v>1539</v>
      </c>
      <c r="B408" s="1" t="s">
        <v>240</v>
      </c>
      <c r="C408" s="1" t="s">
        <v>3193</v>
      </c>
      <c r="D408" s="5">
        <v>46092</v>
      </c>
      <c r="E408" s="5">
        <v>46092</v>
      </c>
      <c r="F408" s="120" t="s">
        <v>3281</v>
      </c>
      <c r="G408" s="1" t="s">
        <v>1545</v>
      </c>
      <c r="H408" s="156"/>
      <c r="I408" s="1" t="s">
        <v>3195</v>
      </c>
      <c r="J408" s="1" t="s">
        <v>1545</v>
      </c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42.75">
      <c r="A409" s="1" t="s">
        <v>239</v>
      </c>
      <c r="B409" s="1" t="s">
        <v>240</v>
      </c>
      <c r="C409" s="1" t="s">
        <v>3196</v>
      </c>
      <c r="D409" s="5">
        <v>46092</v>
      </c>
      <c r="E409" s="5">
        <v>46092</v>
      </c>
      <c r="F409" s="120" t="s">
        <v>3197</v>
      </c>
      <c r="G409" s="1"/>
      <c r="H409" s="156" t="s">
        <v>254</v>
      </c>
      <c r="I409" s="1" t="s">
        <v>3198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42.75">
      <c r="A410" s="1" t="s">
        <v>239</v>
      </c>
      <c r="B410" s="1" t="s">
        <v>240</v>
      </c>
      <c r="C410" s="1" t="s">
        <v>3196</v>
      </c>
      <c r="D410" s="5">
        <v>46092</v>
      </c>
      <c r="E410" s="5">
        <v>46092</v>
      </c>
      <c r="F410" s="120" t="s">
        <v>3199</v>
      </c>
      <c r="G410" s="1"/>
      <c r="H410" s="156" t="s">
        <v>1545</v>
      </c>
      <c r="I410" s="1" t="s">
        <v>3200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8.5">
      <c r="A411" s="1" t="s">
        <v>239</v>
      </c>
      <c r="B411" s="1" t="s">
        <v>240</v>
      </c>
      <c r="C411" s="1" t="s">
        <v>3201</v>
      </c>
      <c r="D411" s="5">
        <v>46092</v>
      </c>
      <c r="E411" s="5">
        <v>46092</v>
      </c>
      <c r="F411" s="120" t="s">
        <v>738</v>
      </c>
      <c r="G411" s="1"/>
      <c r="H411" s="156" t="s">
        <v>254</v>
      </c>
      <c r="I411" s="1" t="s">
        <v>3202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8.5">
      <c r="A412" s="1" t="s">
        <v>239</v>
      </c>
      <c r="B412" s="1" t="s">
        <v>240</v>
      </c>
      <c r="C412" s="1" t="s">
        <v>3201</v>
      </c>
      <c r="D412" s="5">
        <v>46092</v>
      </c>
      <c r="E412" s="5">
        <v>46092</v>
      </c>
      <c r="F412" s="120" t="s">
        <v>740</v>
      </c>
      <c r="G412" s="1"/>
      <c r="H412" s="156" t="s">
        <v>3203</v>
      </c>
      <c r="I412" s="1" t="s">
        <v>3204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>
      <c r="A413" s="1" t="s">
        <v>239</v>
      </c>
      <c r="B413" s="1" t="s">
        <v>240</v>
      </c>
      <c r="C413" s="1" t="s">
        <v>3205</v>
      </c>
      <c r="D413" s="5">
        <v>46092</v>
      </c>
      <c r="E413" s="5">
        <v>46092</v>
      </c>
      <c r="F413" s="120" t="s">
        <v>732</v>
      </c>
      <c r="G413" s="1"/>
      <c r="H413" s="156" t="s">
        <v>254</v>
      </c>
      <c r="I413" s="1" t="s">
        <v>3206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8.5">
      <c r="A414" s="1" t="s">
        <v>239</v>
      </c>
      <c r="B414" s="1" t="s">
        <v>240</v>
      </c>
      <c r="C414" s="1" t="s">
        <v>3205</v>
      </c>
      <c r="D414" s="5">
        <v>46092</v>
      </c>
      <c r="E414" s="5">
        <v>46092</v>
      </c>
      <c r="F414" s="120" t="s">
        <v>734</v>
      </c>
      <c r="G414" s="1"/>
      <c r="H414" s="156" t="s">
        <v>3207</v>
      </c>
      <c r="I414" s="1" t="s">
        <v>3208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8.5">
      <c r="A415" s="1" t="s">
        <v>239</v>
      </c>
      <c r="B415" s="1" t="s">
        <v>240</v>
      </c>
      <c r="C415" s="1" t="s">
        <v>3209</v>
      </c>
      <c r="D415" s="5">
        <v>46094</v>
      </c>
      <c r="E415" s="5">
        <v>46094</v>
      </c>
      <c r="F415" s="120" t="s">
        <v>4801</v>
      </c>
      <c r="G415" s="1" t="s">
        <v>1476</v>
      </c>
      <c r="H415" s="156"/>
      <c r="I415" s="1" t="s">
        <v>3211</v>
      </c>
      <c r="J415" s="1" t="s">
        <v>1476</v>
      </c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8.5">
      <c r="A416" s="1" t="s">
        <v>239</v>
      </c>
      <c r="B416" s="1" t="s">
        <v>240</v>
      </c>
      <c r="C416" s="1" t="s">
        <v>3212</v>
      </c>
      <c r="D416" s="5">
        <v>46095</v>
      </c>
      <c r="E416" s="5">
        <v>46095</v>
      </c>
      <c r="F416" s="120" t="s">
        <v>3213</v>
      </c>
      <c r="G416" s="1" t="s">
        <v>1557</v>
      </c>
      <c r="H416" s="156"/>
      <c r="I416" s="1" t="s">
        <v>3214</v>
      </c>
      <c r="J416" s="1" t="s">
        <v>1557</v>
      </c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42.75">
      <c r="A417" s="1" t="s">
        <v>239</v>
      </c>
      <c r="B417" s="1" t="s">
        <v>240</v>
      </c>
      <c r="C417" s="1" t="s">
        <v>3215</v>
      </c>
      <c r="D417" s="5">
        <v>46096</v>
      </c>
      <c r="E417" s="5">
        <v>46096</v>
      </c>
      <c r="F417" s="120" t="s">
        <v>3216</v>
      </c>
      <c r="G417" s="1"/>
      <c r="H417" s="156" t="s">
        <v>243</v>
      </c>
      <c r="I417" s="1" t="s">
        <v>3217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42.75">
      <c r="A418" s="1" t="s">
        <v>239</v>
      </c>
      <c r="B418" s="1" t="s">
        <v>240</v>
      </c>
      <c r="C418" s="1" t="s">
        <v>3215</v>
      </c>
      <c r="D418" s="5">
        <v>46096</v>
      </c>
      <c r="E418" s="5">
        <v>46096</v>
      </c>
      <c r="F418" s="120" t="s">
        <v>3218</v>
      </c>
      <c r="G418" s="1"/>
      <c r="H418" s="156" t="s">
        <v>580</v>
      </c>
      <c r="I418" s="1" t="s">
        <v>3219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42.75">
      <c r="A419" s="1" t="s">
        <v>239</v>
      </c>
      <c r="B419" s="1" t="s">
        <v>240</v>
      </c>
      <c r="C419" s="1" t="s">
        <v>3220</v>
      </c>
      <c r="D419" s="5">
        <v>46097</v>
      </c>
      <c r="E419" s="5">
        <v>46097</v>
      </c>
      <c r="F419" s="120" t="s">
        <v>3221</v>
      </c>
      <c r="G419" s="1" t="s">
        <v>897</v>
      </c>
      <c r="H419" s="156"/>
      <c r="I419" s="1" t="s">
        <v>3222</v>
      </c>
      <c r="J419" s="1" t="s">
        <v>897</v>
      </c>
      <c r="K419" s="1"/>
      <c r="L419" s="1"/>
      <c r="M419" s="1"/>
      <c r="N419" s="1"/>
      <c r="O419" s="1"/>
      <c r="P419" s="1"/>
      <c r="Q419" s="1"/>
      <c r="R419" s="1"/>
      <c r="S419" s="1"/>
    </row>
    <row r="420" spans="1:19">
      <c r="A420" s="1"/>
      <c r="B420" s="1" t="s">
        <v>240</v>
      </c>
      <c r="C420" s="1" t="s">
        <v>3223</v>
      </c>
      <c r="D420" s="5">
        <v>46097</v>
      </c>
      <c r="E420" s="5">
        <v>46097</v>
      </c>
      <c r="F420" s="185" t="s">
        <v>4802</v>
      </c>
      <c r="G420" s="1" t="s">
        <v>3225</v>
      </c>
      <c r="H420" s="156"/>
      <c r="I420" s="1" t="s">
        <v>3226</v>
      </c>
      <c r="J420" s="1" t="s">
        <v>3225</v>
      </c>
      <c r="K420" s="1"/>
      <c r="L420" s="1"/>
      <c r="M420" s="1"/>
      <c r="N420" s="1"/>
      <c r="O420" s="1"/>
      <c r="P420" s="1"/>
      <c r="Q420" s="1"/>
      <c r="R420" s="1"/>
      <c r="S420" s="1"/>
    </row>
    <row r="421" spans="1:19">
      <c r="A421" s="1"/>
      <c r="B421" s="1" t="s">
        <v>240</v>
      </c>
      <c r="C421" s="1" t="s">
        <v>3227</v>
      </c>
      <c r="D421" s="5">
        <v>46097</v>
      </c>
      <c r="E421" s="5">
        <v>46097</v>
      </c>
      <c r="F421" s="120" t="s">
        <v>3228</v>
      </c>
      <c r="G421" s="1"/>
      <c r="H421" s="156" t="s">
        <v>261</v>
      </c>
      <c r="I421" s="1" t="s">
        <v>3229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>
      <c r="A422" s="1"/>
      <c r="B422" s="1" t="s">
        <v>240</v>
      </c>
      <c r="C422" s="1" t="s">
        <v>3227</v>
      </c>
      <c r="D422" s="5">
        <v>46097</v>
      </c>
      <c r="E422" s="5">
        <v>46097</v>
      </c>
      <c r="F422" s="120" t="s">
        <v>3230</v>
      </c>
      <c r="G422" s="1"/>
      <c r="H422" s="156" t="s">
        <v>3231</v>
      </c>
      <c r="I422" s="1" t="s">
        <v>3232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42.75">
      <c r="A423" s="1" t="s">
        <v>239</v>
      </c>
      <c r="B423" s="1" t="s">
        <v>240</v>
      </c>
      <c r="C423" s="1" t="s">
        <v>3233</v>
      </c>
      <c r="D423" s="5">
        <v>46098</v>
      </c>
      <c r="E423" s="5">
        <v>46098</v>
      </c>
      <c r="F423" s="120" t="s">
        <v>3234</v>
      </c>
      <c r="G423" s="1"/>
      <c r="H423" s="156" t="s">
        <v>3235</v>
      </c>
      <c r="I423" s="1" t="s">
        <v>3236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8.5">
      <c r="A424" s="1" t="s">
        <v>239</v>
      </c>
      <c r="B424" s="1" t="s">
        <v>240</v>
      </c>
      <c r="C424" s="1" t="s">
        <v>3237</v>
      </c>
      <c r="D424" s="5">
        <v>46098</v>
      </c>
      <c r="E424" s="5">
        <v>46098</v>
      </c>
      <c r="F424" s="120" t="s">
        <v>4804</v>
      </c>
      <c r="G424" s="1" t="s">
        <v>2030</v>
      </c>
      <c r="H424" s="156"/>
      <c r="I424" s="1" t="s">
        <v>3239</v>
      </c>
      <c r="J424" s="1" t="s">
        <v>2030</v>
      </c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42.75">
      <c r="A425" s="1" t="s">
        <v>239</v>
      </c>
      <c r="B425" s="1" t="s">
        <v>240</v>
      </c>
      <c r="C425" s="1" t="s">
        <v>3240</v>
      </c>
      <c r="D425" s="5">
        <v>46099</v>
      </c>
      <c r="E425" s="5">
        <v>46099</v>
      </c>
      <c r="F425" s="120" t="s">
        <v>3241</v>
      </c>
      <c r="G425" s="1"/>
      <c r="H425" s="156" t="s">
        <v>313</v>
      </c>
      <c r="I425" s="1" t="s">
        <v>3242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42.75">
      <c r="A426" s="1" t="s">
        <v>239</v>
      </c>
      <c r="B426" s="1" t="s">
        <v>240</v>
      </c>
      <c r="C426" s="1" t="s">
        <v>3243</v>
      </c>
      <c r="D426" s="5">
        <v>46099</v>
      </c>
      <c r="E426" s="5">
        <v>46099</v>
      </c>
      <c r="F426" s="120" t="s">
        <v>3244</v>
      </c>
      <c r="G426" s="1"/>
      <c r="H426" s="156" t="s">
        <v>1170</v>
      </c>
      <c r="I426" s="1" t="s">
        <v>3245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42.75">
      <c r="A427" s="1" t="s">
        <v>239</v>
      </c>
      <c r="B427" s="1" t="s">
        <v>240</v>
      </c>
      <c r="C427" s="1" t="s">
        <v>3246</v>
      </c>
      <c r="D427" s="5">
        <v>46099</v>
      </c>
      <c r="E427" s="5">
        <v>46099</v>
      </c>
      <c r="F427" s="120" t="s">
        <v>4805</v>
      </c>
      <c r="G427" s="1" t="s">
        <v>3248</v>
      </c>
      <c r="H427" s="156"/>
      <c r="I427" s="1" t="s">
        <v>3249</v>
      </c>
      <c r="J427" s="1" t="s">
        <v>3248</v>
      </c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8.5">
      <c r="A428" s="1" t="s">
        <v>239</v>
      </c>
      <c r="B428" s="1" t="s">
        <v>240</v>
      </c>
      <c r="C428" s="1" t="s">
        <v>3250</v>
      </c>
      <c r="D428" s="5">
        <v>46099</v>
      </c>
      <c r="E428" s="5">
        <v>46099</v>
      </c>
      <c r="F428" s="120" t="s">
        <v>3251</v>
      </c>
      <c r="G428" s="1"/>
      <c r="H428" s="156" t="s">
        <v>254</v>
      </c>
      <c r="I428" s="1" t="s">
        <v>3252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8.5">
      <c r="A429" s="1" t="s">
        <v>239</v>
      </c>
      <c r="B429" s="1" t="s">
        <v>240</v>
      </c>
      <c r="C429" s="1" t="s">
        <v>3250</v>
      </c>
      <c r="D429" s="5">
        <v>46099</v>
      </c>
      <c r="E429" s="5">
        <v>46099</v>
      </c>
      <c r="F429" s="120" t="s">
        <v>3253</v>
      </c>
      <c r="G429" s="1"/>
      <c r="H429" s="156" t="s">
        <v>1530</v>
      </c>
      <c r="I429" s="1" t="s">
        <v>3254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>
      <c r="A430" s="1" t="s">
        <v>239</v>
      </c>
      <c r="B430" s="1" t="s">
        <v>240</v>
      </c>
      <c r="C430" s="1" t="s">
        <v>3255</v>
      </c>
      <c r="D430" s="5">
        <v>46100</v>
      </c>
      <c r="E430" s="5">
        <v>46100</v>
      </c>
      <c r="F430" s="120" t="s">
        <v>4255</v>
      </c>
      <c r="G430" s="1" t="s">
        <v>1545</v>
      </c>
      <c r="H430" s="156"/>
      <c r="I430" s="1" t="s">
        <v>3257</v>
      </c>
      <c r="J430" s="1" t="s">
        <v>1545</v>
      </c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42.75">
      <c r="A431" s="1" t="s">
        <v>239</v>
      </c>
      <c r="B431" s="1" t="s">
        <v>240</v>
      </c>
      <c r="C431" s="1" t="s">
        <v>3258</v>
      </c>
      <c r="D431" s="5">
        <v>46100</v>
      </c>
      <c r="E431" s="5">
        <v>46100</v>
      </c>
      <c r="F431" s="120" t="s">
        <v>4806</v>
      </c>
      <c r="G431" s="1" t="s">
        <v>1044</v>
      </c>
      <c r="H431" s="156"/>
      <c r="I431" s="1" t="s">
        <v>3260</v>
      </c>
      <c r="J431" s="1" t="s">
        <v>1044</v>
      </c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42.75">
      <c r="A432" s="1" t="s">
        <v>239</v>
      </c>
      <c r="B432" s="1" t="s">
        <v>240</v>
      </c>
      <c r="C432" s="1" t="s">
        <v>3261</v>
      </c>
      <c r="D432" s="5">
        <v>46101</v>
      </c>
      <c r="E432" s="5">
        <v>46101</v>
      </c>
      <c r="F432" s="120" t="s">
        <v>3262</v>
      </c>
      <c r="G432" s="1"/>
      <c r="H432" s="156" t="s">
        <v>261</v>
      </c>
      <c r="I432" s="1" t="s">
        <v>3263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42.75">
      <c r="A433" s="1" t="s">
        <v>239</v>
      </c>
      <c r="B433" s="1" t="s">
        <v>240</v>
      </c>
      <c r="C433" s="1" t="s">
        <v>3261</v>
      </c>
      <c r="D433" s="5">
        <v>46101</v>
      </c>
      <c r="E433" s="5">
        <v>46101</v>
      </c>
      <c r="F433" s="120" t="s">
        <v>3264</v>
      </c>
      <c r="G433" s="1"/>
      <c r="H433" s="156" t="s">
        <v>940</v>
      </c>
      <c r="I433" s="1" t="s">
        <v>3265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42.75">
      <c r="A434" s="1" t="s">
        <v>239</v>
      </c>
      <c r="B434" s="1" t="s">
        <v>240</v>
      </c>
      <c r="C434" s="1" t="s">
        <v>3266</v>
      </c>
      <c r="D434" s="5">
        <v>46102</v>
      </c>
      <c r="E434" s="5">
        <v>46102</v>
      </c>
      <c r="F434" s="120" t="s">
        <v>3284</v>
      </c>
      <c r="G434" s="1"/>
      <c r="H434" s="156" t="s">
        <v>243</v>
      </c>
      <c r="I434" s="1" t="s">
        <v>3268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42.75">
      <c r="A435" s="1" t="s">
        <v>239</v>
      </c>
      <c r="B435" s="1" t="s">
        <v>240</v>
      </c>
      <c r="C435" s="1" t="s">
        <v>3266</v>
      </c>
      <c r="D435" s="5">
        <v>46102</v>
      </c>
      <c r="E435" s="5">
        <v>46102</v>
      </c>
      <c r="F435" s="120" t="s">
        <v>3269</v>
      </c>
      <c r="G435" s="1"/>
      <c r="H435" s="156" t="s">
        <v>447</v>
      </c>
      <c r="I435" s="1" t="s">
        <v>3270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8.5">
      <c r="A436" s="1" t="s">
        <v>239</v>
      </c>
      <c r="B436" s="1" t="s">
        <v>240</v>
      </c>
      <c r="C436" s="1" t="s">
        <v>3271</v>
      </c>
      <c r="D436" s="5">
        <v>46102</v>
      </c>
      <c r="E436" s="5">
        <v>46102</v>
      </c>
      <c r="F436" s="120" t="s">
        <v>3272</v>
      </c>
      <c r="G436" s="1"/>
      <c r="H436" s="156" t="s">
        <v>254</v>
      </c>
      <c r="I436" s="1" t="s">
        <v>3273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42.75">
      <c r="A437" s="1" t="s">
        <v>239</v>
      </c>
      <c r="B437" s="1" t="s">
        <v>240</v>
      </c>
      <c r="C437" s="1" t="s">
        <v>3271</v>
      </c>
      <c r="D437" s="5">
        <v>46102</v>
      </c>
      <c r="E437" s="5">
        <v>46102</v>
      </c>
      <c r="F437" s="120" t="s">
        <v>3274</v>
      </c>
      <c r="G437" s="1"/>
      <c r="H437" s="156" t="s">
        <v>1032</v>
      </c>
      <c r="I437" s="1" t="s">
        <v>3275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8.5">
      <c r="A438" s="1" t="s">
        <v>239</v>
      </c>
      <c r="B438" s="1" t="s">
        <v>240</v>
      </c>
      <c r="C438" s="1" t="s">
        <v>3285</v>
      </c>
      <c r="D438" s="5">
        <v>46104</v>
      </c>
      <c r="E438" s="5">
        <v>46104</v>
      </c>
      <c r="F438" s="120" t="s">
        <v>4807</v>
      </c>
      <c r="G438" s="1" t="s">
        <v>3286</v>
      </c>
      <c r="H438" s="156"/>
      <c r="I438" s="1" t="s">
        <v>3287</v>
      </c>
      <c r="J438" s="1" t="s">
        <v>3286</v>
      </c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42.75">
      <c r="A439" s="1" t="s">
        <v>239</v>
      </c>
      <c r="B439" s="1" t="s">
        <v>240</v>
      </c>
      <c r="C439" s="1" t="s">
        <v>3288</v>
      </c>
      <c r="D439" s="5">
        <v>46104</v>
      </c>
      <c r="E439" s="5">
        <v>46104</v>
      </c>
      <c r="F439" s="120" t="s">
        <v>3289</v>
      </c>
      <c r="G439" s="1"/>
      <c r="H439" s="156" t="s">
        <v>254</v>
      </c>
      <c r="I439" s="1" t="s">
        <v>3290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42.75">
      <c r="A440" s="1" t="s">
        <v>239</v>
      </c>
      <c r="B440" s="1" t="s">
        <v>240</v>
      </c>
      <c r="C440" s="1" t="s">
        <v>3288</v>
      </c>
      <c r="D440" s="5">
        <v>46104</v>
      </c>
      <c r="E440" s="5">
        <v>46104</v>
      </c>
      <c r="F440" s="120" t="s">
        <v>3291</v>
      </c>
      <c r="G440" s="1"/>
      <c r="H440" s="156" t="s">
        <v>295</v>
      </c>
      <c r="I440" s="1" t="s">
        <v>3292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8.5">
      <c r="A441" s="1" t="s">
        <v>239</v>
      </c>
      <c r="B441" s="1" t="s">
        <v>240</v>
      </c>
      <c r="C441" s="1" t="s">
        <v>3293</v>
      </c>
      <c r="D441" s="5">
        <v>46104</v>
      </c>
      <c r="E441" s="5">
        <v>46104</v>
      </c>
      <c r="F441" s="120" t="s">
        <v>3294</v>
      </c>
      <c r="G441" s="1"/>
      <c r="H441" s="156" t="s">
        <v>243</v>
      </c>
      <c r="I441" s="1" t="s">
        <v>3295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42.75">
      <c r="A442" s="1" t="s">
        <v>239</v>
      </c>
      <c r="B442" s="1" t="s">
        <v>240</v>
      </c>
      <c r="C442" s="1" t="s">
        <v>3293</v>
      </c>
      <c r="D442" s="5">
        <v>46104</v>
      </c>
      <c r="E442" s="5">
        <v>46104</v>
      </c>
      <c r="F442" s="120" t="s">
        <v>3296</v>
      </c>
      <c r="G442" s="1"/>
      <c r="H442" s="156" t="s">
        <v>3297</v>
      </c>
      <c r="I442" s="1" t="s">
        <v>3298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42.75">
      <c r="A443" s="1" t="s">
        <v>239</v>
      </c>
      <c r="B443" s="1" t="s">
        <v>240</v>
      </c>
      <c r="C443" s="1" t="s">
        <v>3299</v>
      </c>
      <c r="D443" s="5">
        <v>46104</v>
      </c>
      <c r="E443" s="5">
        <v>46104</v>
      </c>
      <c r="F443" s="120" t="s">
        <v>4256</v>
      </c>
      <c r="G443" s="1" t="s">
        <v>1476</v>
      </c>
      <c r="H443" s="156"/>
      <c r="I443" s="1" t="s">
        <v>3300</v>
      </c>
      <c r="J443" s="1" t="s">
        <v>1476</v>
      </c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42.75">
      <c r="A444" s="1" t="s">
        <v>239</v>
      </c>
      <c r="B444" s="1" t="s">
        <v>240</v>
      </c>
      <c r="C444" s="1" t="s">
        <v>3301</v>
      </c>
      <c r="D444" s="5">
        <v>46104</v>
      </c>
      <c r="E444" s="5">
        <v>46104</v>
      </c>
      <c r="F444" s="120" t="s">
        <v>3302</v>
      </c>
      <c r="G444" s="1"/>
      <c r="H444" s="156" t="s">
        <v>254</v>
      </c>
      <c r="I444" s="1" t="s">
        <v>3303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42.75">
      <c r="A445" s="1" t="s">
        <v>239</v>
      </c>
      <c r="B445" s="1" t="s">
        <v>240</v>
      </c>
      <c r="C445" s="1" t="s">
        <v>3301</v>
      </c>
      <c r="D445" s="5">
        <v>46104</v>
      </c>
      <c r="E445" s="5">
        <v>46104</v>
      </c>
      <c r="F445" s="120" t="s">
        <v>3304</v>
      </c>
      <c r="G445" s="1"/>
      <c r="H445" s="156" t="s">
        <v>984</v>
      </c>
      <c r="I445" s="1" t="s">
        <v>3305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42.75">
      <c r="A446" s="1" t="s">
        <v>239</v>
      </c>
      <c r="B446" s="1" t="s">
        <v>240</v>
      </c>
      <c r="C446" s="1" t="s">
        <v>3306</v>
      </c>
      <c r="D446" s="5">
        <v>46104</v>
      </c>
      <c r="E446" s="5">
        <v>46104</v>
      </c>
      <c r="F446" s="120" t="s">
        <v>3307</v>
      </c>
      <c r="G446" s="1"/>
      <c r="H446" s="156" t="s">
        <v>254</v>
      </c>
      <c r="I446" s="1" t="s">
        <v>3308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42.75">
      <c r="A447" s="1" t="s">
        <v>239</v>
      </c>
      <c r="B447" s="1" t="s">
        <v>240</v>
      </c>
      <c r="C447" s="1" t="s">
        <v>3306</v>
      </c>
      <c r="D447" s="5">
        <v>46104</v>
      </c>
      <c r="E447" s="5">
        <v>46104</v>
      </c>
      <c r="F447" s="120" t="s">
        <v>3309</v>
      </c>
      <c r="G447" s="1"/>
      <c r="H447" s="156" t="s">
        <v>3310</v>
      </c>
      <c r="I447" s="1" t="s">
        <v>3311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42.75">
      <c r="A448" s="1" t="s">
        <v>239</v>
      </c>
      <c r="B448" s="1" t="s">
        <v>240</v>
      </c>
      <c r="C448" s="1" t="s">
        <v>3312</v>
      </c>
      <c r="D448" s="5">
        <v>46104</v>
      </c>
      <c r="E448" s="5">
        <v>46104</v>
      </c>
      <c r="F448" s="120" t="s">
        <v>3313</v>
      </c>
      <c r="G448" s="1"/>
      <c r="H448" s="156" t="s">
        <v>480</v>
      </c>
      <c r="I448" s="1" t="s">
        <v>3314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>
      <c r="A449" s="1" t="s">
        <v>239</v>
      </c>
      <c r="B449" s="1" t="s">
        <v>240</v>
      </c>
      <c r="C449" s="1" t="s">
        <v>3315</v>
      </c>
      <c r="D449" s="5">
        <v>46105</v>
      </c>
      <c r="E449" s="5">
        <v>46105</v>
      </c>
      <c r="F449" s="120" t="s">
        <v>4257</v>
      </c>
      <c r="G449" s="1" t="s">
        <v>2899</v>
      </c>
      <c r="H449" s="156"/>
      <c r="I449" s="1" t="s">
        <v>3316</v>
      </c>
      <c r="J449" s="1" t="s">
        <v>2899</v>
      </c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42.75">
      <c r="A450" s="1" t="s">
        <v>239</v>
      </c>
      <c r="B450" s="1" t="s">
        <v>240</v>
      </c>
      <c r="C450" s="1" t="s">
        <v>3317</v>
      </c>
      <c r="D450" s="5">
        <v>46105</v>
      </c>
      <c r="E450" s="5">
        <v>46105</v>
      </c>
      <c r="F450" s="120" t="s">
        <v>3318</v>
      </c>
      <c r="G450" s="1"/>
      <c r="H450" s="156" t="s">
        <v>3319</v>
      </c>
      <c r="I450" s="1" t="s">
        <v>3320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8.5">
      <c r="A451" s="1" t="s">
        <v>239</v>
      </c>
      <c r="B451" s="1" t="s">
        <v>240</v>
      </c>
      <c r="C451" s="1" t="s">
        <v>3321</v>
      </c>
      <c r="D451" s="5">
        <v>46105</v>
      </c>
      <c r="E451" s="5">
        <v>46105</v>
      </c>
      <c r="F451" s="120" t="s">
        <v>3322</v>
      </c>
      <c r="G451" s="1"/>
      <c r="H451" s="156" t="s">
        <v>1839</v>
      </c>
      <c r="I451" s="1" t="s">
        <v>3323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8.5">
      <c r="A452" s="1" t="s">
        <v>239</v>
      </c>
      <c r="B452" s="1" t="s">
        <v>240</v>
      </c>
      <c r="C452" s="1" t="s">
        <v>3324</v>
      </c>
      <c r="D452" s="5">
        <v>46105</v>
      </c>
      <c r="E452" s="5">
        <v>46105</v>
      </c>
      <c r="F452" s="120" t="s">
        <v>3325</v>
      </c>
      <c r="G452" s="1"/>
      <c r="H452" s="156" t="s">
        <v>2813</v>
      </c>
      <c r="I452" s="1" t="s">
        <v>3326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42.75">
      <c r="A453" s="1" t="s">
        <v>239</v>
      </c>
      <c r="B453" s="1" t="s">
        <v>240</v>
      </c>
      <c r="C453" s="1" t="s">
        <v>3327</v>
      </c>
      <c r="D453" s="5">
        <v>46106</v>
      </c>
      <c r="E453" s="5">
        <v>46106</v>
      </c>
      <c r="F453" s="120" t="s">
        <v>3328</v>
      </c>
      <c r="G453" s="1"/>
      <c r="H453" s="156" t="s">
        <v>243</v>
      </c>
      <c r="I453" s="1" t="s">
        <v>3329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42.75">
      <c r="A454" s="1" t="s">
        <v>239</v>
      </c>
      <c r="B454" s="1" t="s">
        <v>240</v>
      </c>
      <c r="C454" s="1" t="s">
        <v>3327</v>
      </c>
      <c r="D454" s="5">
        <v>46106</v>
      </c>
      <c r="E454" s="5">
        <v>46106</v>
      </c>
      <c r="F454" s="120" t="s">
        <v>3330</v>
      </c>
      <c r="G454" s="1"/>
      <c r="H454" s="156" t="s">
        <v>3331</v>
      </c>
      <c r="I454" s="1" t="s">
        <v>3332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8.5">
      <c r="A455" s="1" t="s">
        <v>239</v>
      </c>
      <c r="B455" s="1" t="s">
        <v>240</v>
      </c>
      <c r="C455" s="1" t="s">
        <v>3333</v>
      </c>
      <c r="D455" s="5">
        <v>46106</v>
      </c>
      <c r="E455" s="5">
        <v>46106</v>
      </c>
      <c r="F455" s="120" t="s">
        <v>3334</v>
      </c>
      <c r="G455" s="1"/>
      <c r="H455" s="156" t="s">
        <v>3335</v>
      </c>
      <c r="I455" s="1" t="s">
        <v>3336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>
      <c r="A456" s="1" t="s">
        <v>239</v>
      </c>
      <c r="B456" s="1" t="s">
        <v>240</v>
      </c>
      <c r="C456" s="1" t="s">
        <v>3337</v>
      </c>
      <c r="D456" s="5">
        <v>46107</v>
      </c>
      <c r="E456" s="5">
        <v>46107</v>
      </c>
      <c r="F456" s="120" t="s">
        <v>732</v>
      </c>
      <c r="G456" s="1"/>
      <c r="H456" s="156" t="s">
        <v>254</v>
      </c>
      <c r="I456" s="1" t="s">
        <v>3338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8.5">
      <c r="A457" s="1" t="s">
        <v>239</v>
      </c>
      <c r="B457" s="1" t="s">
        <v>240</v>
      </c>
      <c r="C457" s="1" t="s">
        <v>3337</v>
      </c>
      <c r="D457" s="5">
        <v>46107</v>
      </c>
      <c r="E457" s="5">
        <v>46107</v>
      </c>
      <c r="F457" s="120" t="s">
        <v>734</v>
      </c>
      <c r="G457" s="1"/>
      <c r="H457" s="156" t="s">
        <v>3339</v>
      </c>
      <c r="I457" s="1" t="s">
        <v>3340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42.75">
      <c r="A458" s="1" t="s">
        <v>239</v>
      </c>
      <c r="B458" s="1" t="s">
        <v>240</v>
      </c>
      <c r="C458" s="1" t="s">
        <v>3341</v>
      </c>
      <c r="D458" s="5">
        <v>46107</v>
      </c>
      <c r="E458" s="5">
        <v>46107</v>
      </c>
      <c r="F458" s="120" t="s">
        <v>3342</v>
      </c>
      <c r="G458" s="1"/>
      <c r="H458" s="156" t="s">
        <v>261</v>
      </c>
      <c r="I458" s="1" t="s">
        <v>3343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42.75">
      <c r="A459" s="1" t="s">
        <v>239</v>
      </c>
      <c r="B459" s="1" t="s">
        <v>240</v>
      </c>
      <c r="C459" s="1" t="s">
        <v>3341</v>
      </c>
      <c r="D459" s="5">
        <v>46107</v>
      </c>
      <c r="E459" s="5">
        <v>46107</v>
      </c>
      <c r="F459" s="120" t="s">
        <v>3344</v>
      </c>
      <c r="G459" s="1"/>
      <c r="H459" s="156" t="s">
        <v>467</v>
      </c>
      <c r="I459" s="1" t="s">
        <v>3345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8.5">
      <c r="A460" s="1" t="s">
        <v>239</v>
      </c>
      <c r="B460" s="1" t="s">
        <v>240</v>
      </c>
      <c r="C460" s="1" t="s">
        <v>3346</v>
      </c>
      <c r="D460" s="5">
        <v>46109</v>
      </c>
      <c r="E460" s="5">
        <v>46109</v>
      </c>
      <c r="F460" s="120" t="s">
        <v>2624</v>
      </c>
      <c r="G460" s="1" t="s">
        <v>1557</v>
      </c>
      <c r="H460" s="156"/>
      <c r="I460" s="1" t="s">
        <v>3347</v>
      </c>
      <c r="J460" s="1" t="s">
        <v>1557</v>
      </c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8.5">
      <c r="A461" s="1" t="s">
        <v>239</v>
      </c>
      <c r="B461" s="1" t="s">
        <v>240</v>
      </c>
      <c r="C461" s="1" t="s">
        <v>3348</v>
      </c>
      <c r="D461" s="5">
        <v>46110</v>
      </c>
      <c r="E461" s="5">
        <v>46110</v>
      </c>
      <c r="F461" s="120" t="s">
        <v>3349</v>
      </c>
      <c r="G461" s="1"/>
      <c r="H461" s="156" t="s">
        <v>261</v>
      </c>
      <c r="I461" s="1" t="s">
        <v>3350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8.5">
      <c r="A462" s="1" t="s">
        <v>239</v>
      </c>
      <c r="B462" s="1" t="s">
        <v>240</v>
      </c>
      <c r="C462" s="1" t="s">
        <v>3348</v>
      </c>
      <c r="D462" s="5">
        <v>46110</v>
      </c>
      <c r="E462" s="5">
        <v>46110</v>
      </c>
      <c r="F462" s="120" t="s">
        <v>3351</v>
      </c>
      <c r="G462" s="1"/>
      <c r="H462" s="156" t="s">
        <v>630</v>
      </c>
      <c r="I462" s="1" t="s">
        <v>3352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42.75">
      <c r="A463" s="1" t="s">
        <v>239</v>
      </c>
      <c r="B463" s="1" t="s">
        <v>240</v>
      </c>
      <c r="C463" s="1" t="s">
        <v>3353</v>
      </c>
      <c r="D463" s="5">
        <v>46111</v>
      </c>
      <c r="E463" s="5">
        <v>46111</v>
      </c>
      <c r="F463" s="120" t="s">
        <v>3354</v>
      </c>
      <c r="G463" s="1"/>
      <c r="H463" s="156" t="s">
        <v>2335</v>
      </c>
      <c r="I463" s="1" t="s">
        <v>3355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42.75">
      <c r="A464" s="1" t="s">
        <v>239</v>
      </c>
      <c r="B464" s="1" t="s">
        <v>240</v>
      </c>
      <c r="C464" s="1" t="s">
        <v>3353</v>
      </c>
      <c r="D464" s="5">
        <v>46111</v>
      </c>
      <c r="E464" s="5">
        <v>46111</v>
      </c>
      <c r="F464" s="120" t="s">
        <v>3356</v>
      </c>
      <c r="G464" s="1"/>
      <c r="H464" s="156" t="s">
        <v>3357</v>
      </c>
      <c r="I464" s="1" t="s">
        <v>3358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8.5">
      <c r="A465" s="1" t="s">
        <v>239</v>
      </c>
      <c r="B465" s="1" t="s">
        <v>240</v>
      </c>
      <c r="C465" s="1" t="s">
        <v>3359</v>
      </c>
      <c r="D465" s="5">
        <v>46111</v>
      </c>
      <c r="E465" s="5">
        <v>46111</v>
      </c>
      <c r="F465" s="120" t="s">
        <v>3360</v>
      </c>
      <c r="G465" s="1"/>
      <c r="H465" s="156" t="s">
        <v>254</v>
      </c>
      <c r="I465" s="1" t="s">
        <v>3361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42.75">
      <c r="A466" s="1" t="s">
        <v>239</v>
      </c>
      <c r="B466" s="1" t="s">
        <v>240</v>
      </c>
      <c r="C466" s="1" t="s">
        <v>3359</v>
      </c>
      <c r="D466" s="5">
        <v>46111</v>
      </c>
      <c r="E466" s="5">
        <v>46111</v>
      </c>
      <c r="F466" s="120" t="s">
        <v>3362</v>
      </c>
      <c r="G466" s="1"/>
      <c r="H466" s="156" t="s">
        <v>1595</v>
      </c>
      <c r="I466" s="1" t="s">
        <v>3363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42.75">
      <c r="A467" s="1" t="s">
        <v>239</v>
      </c>
      <c r="B467" s="1" t="s">
        <v>240</v>
      </c>
      <c r="C467" s="1" t="s">
        <v>3364</v>
      </c>
      <c r="D467" s="5">
        <v>46111</v>
      </c>
      <c r="E467" s="5">
        <v>46111</v>
      </c>
      <c r="F467" s="120" t="s">
        <v>3365</v>
      </c>
      <c r="G467" s="1"/>
      <c r="H467" s="156" t="s">
        <v>261</v>
      </c>
      <c r="I467" s="1" t="s">
        <v>3366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42.75">
      <c r="A468" s="1" t="s">
        <v>239</v>
      </c>
      <c r="B468" s="1" t="s">
        <v>240</v>
      </c>
      <c r="C468" s="1" t="s">
        <v>3364</v>
      </c>
      <c r="D468" s="5">
        <v>46111</v>
      </c>
      <c r="E468" s="5">
        <v>46111</v>
      </c>
      <c r="F468" s="120" t="s">
        <v>3367</v>
      </c>
      <c r="G468" s="1"/>
      <c r="H468" s="156" t="s">
        <v>264</v>
      </c>
      <c r="I468" s="1" t="s">
        <v>3368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42.75">
      <c r="A469" s="1" t="s">
        <v>239</v>
      </c>
      <c r="B469" s="1" t="s">
        <v>240</v>
      </c>
      <c r="C469" s="1" t="s">
        <v>3369</v>
      </c>
      <c r="D469" s="5">
        <v>46111</v>
      </c>
      <c r="E469" s="5">
        <v>46111</v>
      </c>
      <c r="F469" s="120" t="s">
        <v>3370</v>
      </c>
      <c r="G469" s="1"/>
      <c r="H469" s="156" t="s">
        <v>374</v>
      </c>
      <c r="I469" s="1" t="s">
        <v>3371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8.5">
      <c r="A470" s="1" t="s">
        <v>239</v>
      </c>
      <c r="B470" s="1" t="s">
        <v>240</v>
      </c>
      <c r="C470" s="1" t="s">
        <v>3372</v>
      </c>
      <c r="D470" s="5">
        <v>46111</v>
      </c>
      <c r="E470" s="5">
        <v>46111</v>
      </c>
      <c r="F470" s="120" t="s">
        <v>3373</v>
      </c>
      <c r="G470" s="1" t="s">
        <v>3374</v>
      </c>
      <c r="H470" s="156"/>
      <c r="I470" s="1" t="s">
        <v>3375</v>
      </c>
      <c r="J470" s="1" t="s">
        <v>3374</v>
      </c>
      <c r="K470" s="1"/>
      <c r="L470" s="1"/>
      <c r="M470" s="1"/>
      <c r="N470" s="1"/>
      <c r="O470" s="1"/>
      <c r="P470" s="1"/>
      <c r="Q470" s="1"/>
      <c r="R470" s="1"/>
      <c r="S470" s="1"/>
    </row>
    <row r="471" spans="1:19">
      <c r="A471" s="1" t="s">
        <v>239</v>
      </c>
      <c r="B471" s="1" t="s">
        <v>240</v>
      </c>
      <c r="C471" s="1" t="s">
        <v>3376</v>
      </c>
      <c r="D471" s="5">
        <v>46112</v>
      </c>
      <c r="E471" s="5">
        <v>46112</v>
      </c>
      <c r="F471" s="120" t="s">
        <v>948</v>
      </c>
      <c r="G471" s="1"/>
      <c r="H471" s="156" t="s">
        <v>3377</v>
      </c>
      <c r="I471" s="1" t="s">
        <v>3378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8.5">
      <c r="A472" s="1" t="s">
        <v>239</v>
      </c>
      <c r="B472" s="1" t="s">
        <v>240</v>
      </c>
      <c r="C472" s="1" t="s">
        <v>3379</v>
      </c>
      <c r="D472" s="5">
        <v>46112</v>
      </c>
      <c r="E472" s="5">
        <v>46112</v>
      </c>
      <c r="F472" s="120" t="s">
        <v>3380</v>
      </c>
      <c r="G472" s="1"/>
      <c r="H472" s="156" t="s">
        <v>243</v>
      </c>
      <c r="I472" s="1" t="s">
        <v>3381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42.75">
      <c r="A473" s="1" t="s">
        <v>239</v>
      </c>
      <c r="B473" s="1" t="s">
        <v>240</v>
      </c>
      <c r="C473" s="1" t="s">
        <v>3379</v>
      </c>
      <c r="D473" s="5">
        <v>46112</v>
      </c>
      <c r="E473" s="5">
        <v>46112</v>
      </c>
      <c r="F473" s="120" t="s">
        <v>3382</v>
      </c>
      <c r="G473" s="1"/>
      <c r="H473" s="156" t="s">
        <v>2799</v>
      </c>
      <c r="I473" s="1" t="s">
        <v>3383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8.5">
      <c r="A474" s="1" t="s">
        <v>239</v>
      </c>
      <c r="B474" s="1" t="s">
        <v>240</v>
      </c>
      <c r="C474" s="1" t="s">
        <v>3384</v>
      </c>
      <c r="D474" s="5">
        <v>46112</v>
      </c>
      <c r="E474" s="5">
        <v>46112</v>
      </c>
      <c r="F474" s="120" t="s">
        <v>3385</v>
      </c>
      <c r="G474" s="1"/>
      <c r="H474" s="156" t="s">
        <v>254</v>
      </c>
      <c r="I474" s="1" t="s">
        <v>3386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42.75">
      <c r="A475" s="1" t="s">
        <v>239</v>
      </c>
      <c r="B475" s="1" t="s">
        <v>240</v>
      </c>
      <c r="C475" s="1" t="s">
        <v>3384</v>
      </c>
      <c r="D475" s="5">
        <v>46112</v>
      </c>
      <c r="E475" s="5">
        <v>46112</v>
      </c>
      <c r="F475" s="120" t="s">
        <v>3387</v>
      </c>
      <c r="G475" s="1"/>
      <c r="H475" s="156" t="s">
        <v>295</v>
      </c>
      <c r="I475" s="1" t="s">
        <v>3388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20"/>
      <c r="G476" s="1"/>
      <c r="H476" s="15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01"/>
  <sheetViews>
    <sheetView topLeftCell="G1074" zoomScaleNormal="100" workbookViewId="0">
      <selection activeCell="F889" sqref="F889"/>
    </sheetView>
  </sheetViews>
  <sheetFormatPr defaultColWidth="12.875" defaultRowHeight="14.25"/>
  <cols>
    <col min="1" max="1" width="11.75" customWidth="1"/>
    <col min="2" max="2" width="3.5" customWidth="1"/>
    <col min="4" max="5" width="10.625" customWidth="1"/>
    <col min="6" max="6" width="61.5" style="122" customWidth="1"/>
    <col min="7" max="7" width="13.125" customWidth="1"/>
    <col min="10" max="18" width="12.875" style="78"/>
  </cols>
  <sheetData>
    <row r="1" spans="1:17" customFormat="1" ht="42.75">
      <c r="A1" t="s">
        <v>223</v>
      </c>
      <c r="B1" t="s">
        <v>224</v>
      </c>
      <c r="C1" t="s">
        <v>225</v>
      </c>
      <c r="D1" s="1" t="s">
        <v>226</v>
      </c>
      <c r="E1" s="1" t="s">
        <v>227</v>
      </c>
      <c r="F1" s="120" t="s">
        <v>228</v>
      </c>
      <c r="G1" s="1" t="s">
        <v>229</v>
      </c>
      <c r="H1" s="1" t="s">
        <v>230</v>
      </c>
      <c r="I1" s="1" t="s">
        <v>231</v>
      </c>
      <c r="J1" s="80" t="s">
        <v>232</v>
      </c>
      <c r="K1" s="80" t="s">
        <v>233</v>
      </c>
      <c r="L1" s="80" t="s">
        <v>234</v>
      </c>
      <c r="M1" s="80" t="s">
        <v>235</v>
      </c>
      <c r="N1" s="80" t="s">
        <v>236</v>
      </c>
      <c r="O1" s="127" t="s">
        <v>237</v>
      </c>
      <c r="P1" s="80" t="s">
        <v>238</v>
      </c>
      <c r="Q1" s="80"/>
    </row>
    <row r="2" spans="1:17" customFormat="1" ht="28.5">
      <c r="A2" t="s">
        <v>239</v>
      </c>
      <c r="B2" t="s">
        <v>240</v>
      </c>
      <c r="C2" t="s">
        <v>241</v>
      </c>
      <c r="D2" s="5">
        <v>45931</v>
      </c>
      <c r="E2" s="5">
        <v>45931</v>
      </c>
      <c r="F2" s="120" t="s">
        <v>242</v>
      </c>
      <c r="G2" s="1"/>
      <c r="H2" s="1" t="s">
        <v>243</v>
      </c>
      <c r="I2" s="1" t="s">
        <v>244</v>
      </c>
      <c r="J2" s="80"/>
      <c r="K2" s="80"/>
      <c r="L2" s="80"/>
      <c r="M2" s="80"/>
      <c r="N2" s="80"/>
      <c r="O2" s="80"/>
      <c r="P2" s="80"/>
      <c r="Q2" s="80"/>
    </row>
    <row r="3" spans="1:17" customFormat="1" ht="42.75">
      <c r="A3" t="s">
        <v>239</v>
      </c>
      <c r="B3" t="s">
        <v>240</v>
      </c>
      <c r="C3" t="s">
        <v>241</v>
      </c>
      <c r="D3" s="5">
        <v>45931</v>
      </c>
      <c r="E3" s="5">
        <v>45931</v>
      </c>
      <c r="F3" s="120" t="s">
        <v>245</v>
      </c>
      <c r="G3" s="1"/>
      <c r="H3" s="1" t="s">
        <v>246</v>
      </c>
      <c r="I3" s="1" t="s">
        <v>247</v>
      </c>
      <c r="J3" s="80"/>
      <c r="K3" s="80"/>
      <c r="L3" s="80"/>
      <c r="M3" s="80"/>
      <c r="N3" s="80"/>
      <c r="O3" s="80"/>
      <c r="P3" s="80"/>
      <c r="Q3" s="80"/>
    </row>
    <row r="4" spans="1:17" customFormat="1" ht="28.5">
      <c r="A4" t="s">
        <v>239</v>
      </c>
      <c r="B4" t="s">
        <v>240</v>
      </c>
      <c r="C4" t="s">
        <v>248</v>
      </c>
      <c r="D4" s="5">
        <v>45931</v>
      </c>
      <c r="E4" s="5">
        <v>45931</v>
      </c>
      <c r="F4" s="120" t="s">
        <v>249</v>
      </c>
      <c r="G4" s="1"/>
      <c r="H4" s="1" t="s">
        <v>250</v>
      </c>
      <c r="I4" s="1" t="s">
        <v>251</v>
      </c>
      <c r="J4" s="80"/>
      <c r="K4" s="80"/>
      <c r="L4" s="80"/>
      <c r="M4" s="80"/>
      <c r="N4" s="80"/>
      <c r="O4" s="80"/>
      <c r="P4" s="80"/>
      <c r="Q4" s="80"/>
    </row>
    <row r="5" spans="1:17" customFormat="1" ht="28.5">
      <c r="A5" t="s">
        <v>239</v>
      </c>
      <c r="B5" t="s">
        <v>240</v>
      </c>
      <c r="C5" t="s">
        <v>252</v>
      </c>
      <c r="D5" s="5">
        <v>45931</v>
      </c>
      <c r="E5" s="5">
        <v>45931</v>
      </c>
      <c r="F5" s="120" t="s">
        <v>253</v>
      </c>
      <c r="G5" s="1"/>
      <c r="H5" s="1" t="s">
        <v>254</v>
      </c>
      <c r="I5" s="1" t="s">
        <v>255</v>
      </c>
      <c r="J5" s="80"/>
      <c r="K5" s="80"/>
      <c r="L5" s="80"/>
      <c r="M5" s="80"/>
      <c r="N5" s="80"/>
      <c r="O5" s="80"/>
      <c r="P5" s="80"/>
      <c r="Q5" s="80"/>
    </row>
    <row r="6" spans="1:17" customFormat="1" ht="42.75">
      <c r="A6" t="s">
        <v>239</v>
      </c>
      <c r="B6" t="s">
        <v>240</v>
      </c>
      <c r="C6" t="s">
        <v>252</v>
      </c>
      <c r="D6" s="5">
        <v>45931</v>
      </c>
      <c r="E6" s="5">
        <v>45931</v>
      </c>
      <c r="F6" s="120" t="s">
        <v>256</v>
      </c>
      <c r="G6" s="1"/>
      <c r="H6" s="1" t="s">
        <v>257</v>
      </c>
      <c r="I6" s="1" t="s">
        <v>258</v>
      </c>
      <c r="J6" s="80"/>
      <c r="K6" s="80"/>
      <c r="L6" s="80"/>
      <c r="M6" s="80"/>
      <c r="N6" s="80"/>
      <c r="O6" s="80"/>
      <c r="P6" s="80"/>
      <c r="Q6" s="80"/>
    </row>
    <row r="7" spans="1:17" customFormat="1" ht="28.5">
      <c r="A7" t="s">
        <v>239</v>
      </c>
      <c r="B7" t="s">
        <v>240</v>
      </c>
      <c r="C7" t="s">
        <v>259</v>
      </c>
      <c r="D7" s="5">
        <v>45931</v>
      </c>
      <c r="E7" s="5">
        <v>45931</v>
      </c>
      <c r="F7" s="120" t="s">
        <v>260</v>
      </c>
      <c r="G7" s="1"/>
      <c r="H7" s="1" t="s">
        <v>261</v>
      </c>
      <c r="I7" s="1" t="s">
        <v>262</v>
      </c>
      <c r="J7" s="80"/>
      <c r="K7" s="80"/>
      <c r="L7" s="80"/>
      <c r="M7" s="80"/>
      <c r="N7" s="80"/>
      <c r="O7" s="80"/>
      <c r="P7" s="80"/>
      <c r="Q7" s="80"/>
    </row>
    <row r="8" spans="1:17" customFormat="1" ht="42.75">
      <c r="A8" t="s">
        <v>239</v>
      </c>
      <c r="B8" t="s">
        <v>240</v>
      </c>
      <c r="C8" t="s">
        <v>259</v>
      </c>
      <c r="D8" s="5">
        <v>45931</v>
      </c>
      <c r="E8" s="5">
        <v>45931</v>
      </c>
      <c r="F8" s="120" t="s">
        <v>263</v>
      </c>
      <c r="G8" s="1"/>
      <c r="H8" s="1" t="s">
        <v>264</v>
      </c>
      <c r="I8" s="1" t="s">
        <v>265</v>
      </c>
      <c r="J8" s="80"/>
      <c r="K8" s="80"/>
      <c r="L8" s="80"/>
      <c r="M8" s="80"/>
      <c r="N8" s="80"/>
      <c r="O8" s="80"/>
      <c r="P8" s="80"/>
      <c r="Q8" s="80"/>
    </row>
    <row r="9" spans="1:17" customFormat="1" ht="28.5">
      <c r="A9" t="s">
        <v>239</v>
      </c>
      <c r="B9" t="s">
        <v>240</v>
      </c>
      <c r="C9" t="s">
        <v>266</v>
      </c>
      <c r="D9" s="5">
        <v>45931</v>
      </c>
      <c r="E9" s="5">
        <v>45931</v>
      </c>
      <c r="F9" s="120" t="s">
        <v>267</v>
      </c>
      <c r="G9" s="1"/>
      <c r="H9" s="1" t="s">
        <v>254</v>
      </c>
      <c r="I9" s="1" t="s">
        <v>268</v>
      </c>
      <c r="J9" s="80"/>
      <c r="K9" s="80"/>
      <c r="L9" s="80"/>
      <c r="M9" s="80"/>
      <c r="N9" s="80"/>
      <c r="O9" s="80"/>
      <c r="P9" s="80"/>
      <c r="Q9" s="80"/>
    </row>
    <row r="10" spans="1:17" customFormat="1" ht="42.75">
      <c r="A10" t="s">
        <v>239</v>
      </c>
      <c r="B10" t="s">
        <v>240</v>
      </c>
      <c r="C10" t="s">
        <v>266</v>
      </c>
      <c r="D10" s="5">
        <v>45931</v>
      </c>
      <c r="E10" s="5">
        <v>45931</v>
      </c>
      <c r="F10" s="120" t="s">
        <v>269</v>
      </c>
      <c r="G10" s="1"/>
      <c r="H10" s="1" t="s">
        <v>250</v>
      </c>
      <c r="I10" s="1" t="s">
        <v>270</v>
      </c>
      <c r="J10" s="80"/>
      <c r="K10" s="80"/>
      <c r="L10" s="80"/>
      <c r="M10" s="80"/>
      <c r="N10" s="80"/>
      <c r="O10" s="80"/>
      <c r="P10" s="80"/>
      <c r="Q10" s="80"/>
    </row>
    <row r="11" spans="1:17" customFormat="1" ht="42.75">
      <c r="A11" t="s">
        <v>239</v>
      </c>
      <c r="B11" t="s">
        <v>240</v>
      </c>
      <c r="C11" t="s">
        <v>271</v>
      </c>
      <c r="D11" s="5">
        <v>45931</v>
      </c>
      <c r="E11" s="5">
        <v>45931</v>
      </c>
      <c r="F11" s="120" t="s">
        <v>272</v>
      </c>
      <c r="G11" s="1" t="s">
        <v>273</v>
      </c>
      <c r="H11" s="1"/>
      <c r="I11" s="1" t="s">
        <v>274</v>
      </c>
      <c r="J11" s="80"/>
      <c r="K11" s="80"/>
      <c r="L11" s="80"/>
      <c r="M11" s="80"/>
      <c r="N11" s="80">
        <v>3000000</v>
      </c>
      <c r="O11" s="80"/>
      <c r="P11" s="80"/>
      <c r="Q11" s="80"/>
    </row>
    <row r="12" spans="1:17" customFormat="1" ht="42.75">
      <c r="A12" t="s">
        <v>239</v>
      </c>
      <c r="B12" t="s">
        <v>240</v>
      </c>
      <c r="C12" t="s">
        <v>275</v>
      </c>
      <c r="D12" s="5">
        <v>45931</v>
      </c>
      <c r="E12" s="5">
        <v>45931</v>
      </c>
      <c r="F12" s="120" t="s">
        <v>276</v>
      </c>
      <c r="G12" s="1"/>
      <c r="H12" s="1" t="s">
        <v>277</v>
      </c>
      <c r="I12" s="1" t="s">
        <v>278</v>
      </c>
      <c r="J12" s="80"/>
      <c r="K12" s="80"/>
      <c r="L12" s="80"/>
      <c r="M12" s="80"/>
      <c r="N12" s="80"/>
      <c r="O12" s="80"/>
      <c r="P12" s="80"/>
      <c r="Q12" s="80"/>
    </row>
    <row r="13" spans="1:17" customFormat="1" ht="28.5">
      <c r="A13" t="s">
        <v>239</v>
      </c>
      <c r="B13" t="s">
        <v>240</v>
      </c>
      <c r="C13" t="s">
        <v>279</v>
      </c>
      <c r="D13" s="5">
        <v>45931</v>
      </c>
      <c r="E13" s="5">
        <v>45931</v>
      </c>
      <c r="F13" s="120" t="s">
        <v>280</v>
      </c>
      <c r="G13" s="1"/>
      <c r="H13" s="1" t="s">
        <v>261</v>
      </c>
      <c r="I13" s="1" t="s">
        <v>281</v>
      </c>
      <c r="J13" s="80"/>
      <c r="K13" s="80"/>
      <c r="L13" s="80"/>
      <c r="M13" s="80"/>
      <c r="N13" s="80"/>
      <c r="O13" s="80"/>
      <c r="P13" s="80"/>
      <c r="Q13" s="80"/>
    </row>
    <row r="14" spans="1:17" customFormat="1" ht="42.75">
      <c r="A14" t="s">
        <v>239</v>
      </c>
      <c r="B14" t="s">
        <v>240</v>
      </c>
      <c r="C14" t="s">
        <v>279</v>
      </c>
      <c r="D14" s="5">
        <v>45931</v>
      </c>
      <c r="E14" s="5">
        <v>45931</v>
      </c>
      <c r="F14" s="120" t="s">
        <v>282</v>
      </c>
      <c r="G14" s="1"/>
      <c r="H14" s="1" t="s">
        <v>283</v>
      </c>
      <c r="I14" s="1" t="s">
        <v>284</v>
      </c>
      <c r="J14" s="80"/>
      <c r="K14" s="80"/>
      <c r="L14" s="80"/>
      <c r="M14" s="80"/>
      <c r="N14" s="80"/>
      <c r="O14" s="80"/>
      <c r="P14" s="80"/>
      <c r="Q14" s="80"/>
    </row>
    <row r="15" spans="1:17" customFormat="1" ht="28.5">
      <c r="A15" t="s">
        <v>239</v>
      </c>
      <c r="B15" t="s">
        <v>240</v>
      </c>
      <c r="C15" t="s">
        <v>285</v>
      </c>
      <c r="D15" s="5">
        <v>45931</v>
      </c>
      <c r="E15" s="5">
        <v>45931</v>
      </c>
      <c r="F15" s="120" t="s">
        <v>286</v>
      </c>
      <c r="G15" s="1"/>
      <c r="H15" s="1" t="s">
        <v>261</v>
      </c>
      <c r="I15" s="1" t="s">
        <v>287</v>
      </c>
      <c r="J15" s="80"/>
      <c r="K15" s="80"/>
      <c r="L15" s="80"/>
      <c r="M15" s="80"/>
      <c r="N15" s="80"/>
      <c r="O15" s="80"/>
      <c r="P15" s="80"/>
      <c r="Q15" s="80"/>
    </row>
    <row r="16" spans="1:17" customFormat="1" ht="28.5">
      <c r="A16" t="s">
        <v>239</v>
      </c>
      <c r="B16" t="s">
        <v>240</v>
      </c>
      <c r="C16" t="s">
        <v>285</v>
      </c>
      <c r="D16" s="5">
        <v>45931</v>
      </c>
      <c r="E16" s="5">
        <v>45931</v>
      </c>
      <c r="F16" s="120" t="s">
        <v>288</v>
      </c>
      <c r="G16" s="1"/>
      <c r="H16" s="1" t="s">
        <v>289</v>
      </c>
      <c r="I16" s="1" t="s">
        <v>290</v>
      </c>
      <c r="J16" s="80"/>
      <c r="K16" s="80"/>
      <c r="L16" s="80"/>
      <c r="M16" s="80"/>
      <c r="N16" s="80"/>
      <c r="O16" s="80"/>
      <c r="P16" s="80"/>
      <c r="Q16" s="80"/>
    </row>
    <row r="17" spans="1:17" customFormat="1" ht="42.75">
      <c r="A17" t="s">
        <v>239</v>
      </c>
      <c r="B17" t="s">
        <v>240</v>
      </c>
      <c r="C17" t="s">
        <v>291</v>
      </c>
      <c r="D17" s="5">
        <v>45931</v>
      </c>
      <c r="E17" s="5">
        <v>45931</v>
      </c>
      <c r="F17" s="120" t="s">
        <v>292</v>
      </c>
      <c r="G17" s="1"/>
      <c r="H17" s="1" t="s">
        <v>254</v>
      </c>
      <c r="I17" s="1" t="s">
        <v>293</v>
      </c>
      <c r="J17" s="80"/>
      <c r="K17" s="80"/>
      <c r="L17" s="80"/>
      <c r="M17" s="80"/>
      <c r="N17" s="80"/>
      <c r="O17" s="80"/>
      <c r="P17" s="80"/>
      <c r="Q17" s="80"/>
    </row>
    <row r="18" spans="1:17" customFormat="1" ht="42.75">
      <c r="A18" t="s">
        <v>239</v>
      </c>
      <c r="B18" t="s">
        <v>240</v>
      </c>
      <c r="C18" t="s">
        <v>291</v>
      </c>
      <c r="D18" s="5">
        <v>45931</v>
      </c>
      <c r="E18" s="5">
        <v>45931</v>
      </c>
      <c r="F18" s="120" t="s">
        <v>294</v>
      </c>
      <c r="G18" s="1"/>
      <c r="H18" s="1" t="s">
        <v>295</v>
      </c>
      <c r="I18" s="1" t="s">
        <v>296</v>
      </c>
      <c r="J18" s="80"/>
      <c r="K18" s="80"/>
      <c r="L18" s="80"/>
      <c r="M18" s="80"/>
      <c r="N18" s="80"/>
      <c r="O18" s="80"/>
      <c r="P18" s="80"/>
      <c r="Q18" s="80"/>
    </row>
    <row r="19" spans="1:17" customFormat="1" ht="28.5">
      <c r="A19" t="s">
        <v>239</v>
      </c>
      <c r="B19" t="s">
        <v>240</v>
      </c>
      <c r="C19" t="s">
        <v>297</v>
      </c>
      <c r="D19" s="5">
        <v>45931</v>
      </c>
      <c r="E19" s="5">
        <v>45931</v>
      </c>
      <c r="F19" s="120" t="s">
        <v>298</v>
      </c>
      <c r="G19" s="1"/>
      <c r="H19" s="1" t="s">
        <v>261</v>
      </c>
      <c r="I19" s="1" t="s">
        <v>299</v>
      </c>
      <c r="J19" s="80"/>
      <c r="K19" s="80"/>
      <c r="L19" s="80"/>
      <c r="M19" s="80"/>
      <c r="N19" s="80"/>
      <c r="O19" s="80"/>
      <c r="P19" s="80"/>
      <c r="Q19" s="80"/>
    </row>
    <row r="20" spans="1:17" customFormat="1" ht="28.5">
      <c r="A20" t="s">
        <v>239</v>
      </c>
      <c r="B20" t="s">
        <v>240</v>
      </c>
      <c r="C20" t="s">
        <v>297</v>
      </c>
      <c r="D20" s="5">
        <v>45931</v>
      </c>
      <c r="E20" s="5">
        <v>45931</v>
      </c>
      <c r="F20" s="120" t="s">
        <v>300</v>
      </c>
      <c r="G20" s="1"/>
      <c r="H20" s="1" t="s">
        <v>301</v>
      </c>
      <c r="I20" s="1" t="s">
        <v>302</v>
      </c>
      <c r="J20" s="80"/>
      <c r="K20" s="80"/>
      <c r="L20" s="80"/>
      <c r="M20" s="80"/>
      <c r="N20" s="80"/>
      <c r="O20" s="80"/>
      <c r="P20" s="80"/>
      <c r="Q20" s="80"/>
    </row>
    <row r="21" spans="1:17" customFormat="1" ht="42.75">
      <c r="A21" t="s">
        <v>239</v>
      </c>
      <c r="B21" t="s">
        <v>240</v>
      </c>
      <c r="C21" t="s">
        <v>303</v>
      </c>
      <c r="D21" s="5">
        <v>45931</v>
      </c>
      <c r="E21" s="5">
        <v>45931</v>
      </c>
      <c r="F21" s="120" t="s">
        <v>304</v>
      </c>
      <c r="G21" s="1"/>
      <c r="H21" s="1" t="s">
        <v>261</v>
      </c>
      <c r="I21" s="1" t="s">
        <v>305</v>
      </c>
      <c r="J21" s="80"/>
      <c r="K21" s="80"/>
      <c r="L21" s="80"/>
      <c r="M21" s="80"/>
      <c r="N21" s="80"/>
      <c r="O21" s="80"/>
      <c r="P21" s="80"/>
      <c r="Q21" s="80"/>
    </row>
    <row r="22" spans="1:17" customFormat="1" ht="42.75">
      <c r="A22" t="s">
        <v>239</v>
      </c>
      <c r="B22" t="s">
        <v>240</v>
      </c>
      <c r="C22" t="s">
        <v>303</v>
      </c>
      <c r="D22" s="5">
        <v>45931</v>
      </c>
      <c r="E22" s="5">
        <v>45931</v>
      </c>
      <c r="F22" s="120" t="s">
        <v>306</v>
      </c>
      <c r="G22" s="1"/>
      <c r="H22" s="1" t="s">
        <v>307</v>
      </c>
      <c r="I22" s="1" t="s">
        <v>308</v>
      </c>
      <c r="J22" s="80"/>
      <c r="K22" s="80"/>
      <c r="L22" s="80"/>
      <c r="M22" s="80"/>
      <c r="N22" s="80"/>
      <c r="O22" s="80"/>
      <c r="P22" s="80"/>
      <c r="Q22" s="80"/>
    </row>
    <row r="23" spans="1:17" customFormat="1" ht="42.75">
      <c r="A23" t="s">
        <v>239</v>
      </c>
      <c r="B23" t="s">
        <v>240</v>
      </c>
      <c r="C23" t="s">
        <v>309</v>
      </c>
      <c r="D23" s="5">
        <v>45931</v>
      </c>
      <c r="E23" s="5">
        <v>45931</v>
      </c>
      <c r="F23" s="120" t="s">
        <v>310</v>
      </c>
      <c r="G23" s="1"/>
      <c r="H23" s="1" t="s">
        <v>261</v>
      </c>
      <c r="I23" s="1" t="s">
        <v>311</v>
      </c>
      <c r="J23" s="80"/>
      <c r="K23" s="80"/>
      <c r="L23" s="80"/>
      <c r="M23" s="80"/>
      <c r="N23" s="80"/>
      <c r="O23" s="80"/>
      <c r="P23" s="80"/>
      <c r="Q23" s="80"/>
    </row>
    <row r="24" spans="1:17" customFormat="1" ht="42.75">
      <c r="A24" t="s">
        <v>239</v>
      </c>
      <c r="B24" t="s">
        <v>240</v>
      </c>
      <c r="C24" t="s">
        <v>309</v>
      </c>
      <c r="D24" s="5">
        <v>45931</v>
      </c>
      <c r="E24" s="5">
        <v>45931</v>
      </c>
      <c r="F24" s="120" t="s">
        <v>312</v>
      </c>
      <c r="G24" s="1"/>
      <c r="H24" s="1" t="s">
        <v>313</v>
      </c>
      <c r="I24" s="1" t="s">
        <v>314</v>
      </c>
      <c r="J24" s="80"/>
      <c r="K24" s="80"/>
      <c r="L24" s="80"/>
      <c r="M24" s="80"/>
      <c r="N24" s="80"/>
      <c r="O24" s="80"/>
      <c r="P24" s="80"/>
      <c r="Q24" s="80"/>
    </row>
    <row r="25" spans="1:17" customFormat="1" ht="28.5">
      <c r="A25" t="s">
        <v>239</v>
      </c>
      <c r="B25" t="s">
        <v>240</v>
      </c>
      <c r="C25" t="s">
        <v>315</v>
      </c>
      <c r="D25" s="5">
        <v>45931</v>
      </c>
      <c r="E25" s="5">
        <v>45931</v>
      </c>
      <c r="F25" s="120" t="s">
        <v>316</v>
      </c>
      <c r="G25" s="1"/>
      <c r="H25" s="1" t="s">
        <v>261</v>
      </c>
      <c r="I25" s="1" t="s">
        <v>317</v>
      </c>
      <c r="J25" s="80"/>
      <c r="K25" s="80"/>
      <c r="L25" s="80"/>
      <c r="M25" s="80"/>
      <c r="N25" s="80"/>
      <c r="O25" s="80"/>
      <c r="P25" s="80"/>
      <c r="Q25" s="80"/>
    </row>
    <row r="26" spans="1:17" customFormat="1" ht="42.75">
      <c r="A26" t="s">
        <v>239</v>
      </c>
      <c r="B26" t="s">
        <v>240</v>
      </c>
      <c r="C26" t="s">
        <v>315</v>
      </c>
      <c r="D26" s="5">
        <v>45931</v>
      </c>
      <c r="E26" s="5">
        <v>45931</v>
      </c>
      <c r="F26" s="120" t="s">
        <v>318</v>
      </c>
      <c r="G26" s="1"/>
      <c r="H26" s="1" t="s">
        <v>319</v>
      </c>
      <c r="I26" s="1" t="s">
        <v>320</v>
      </c>
      <c r="J26" s="80"/>
      <c r="K26" s="80"/>
      <c r="L26" s="80"/>
      <c r="M26" s="80"/>
      <c r="N26" s="80"/>
      <c r="O26" s="80"/>
      <c r="P26" s="80"/>
      <c r="Q26" s="80"/>
    </row>
    <row r="27" spans="1:17" customFormat="1" ht="28.5">
      <c r="A27" t="s">
        <v>239</v>
      </c>
      <c r="B27" t="s">
        <v>240</v>
      </c>
      <c r="C27" t="s">
        <v>321</v>
      </c>
      <c r="D27" s="5">
        <v>45931</v>
      </c>
      <c r="E27" s="5">
        <v>45931</v>
      </c>
      <c r="F27" s="120" t="s">
        <v>322</v>
      </c>
      <c r="G27" s="1"/>
      <c r="H27" s="1" t="s">
        <v>254</v>
      </c>
      <c r="I27" s="1" t="s">
        <v>323</v>
      </c>
      <c r="J27" s="80"/>
      <c r="K27" s="80"/>
      <c r="L27" s="80"/>
      <c r="M27" s="80"/>
      <c r="N27" s="80"/>
      <c r="O27" s="80"/>
      <c r="P27" s="80"/>
      <c r="Q27" s="80"/>
    </row>
    <row r="28" spans="1:17" customFormat="1" ht="42.75">
      <c r="A28" t="s">
        <v>239</v>
      </c>
      <c r="B28" t="s">
        <v>240</v>
      </c>
      <c r="C28" t="s">
        <v>321</v>
      </c>
      <c r="D28" s="5">
        <v>45931</v>
      </c>
      <c r="E28" s="5">
        <v>45931</v>
      </c>
      <c r="F28" s="120" t="s">
        <v>324</v>
      </c>
      <c r="G28" s="1"/>
      <c r="H28" s="1" t="s">
        <v>295</v>
      </c>
      <c r="I28" s="1" t="s">
        <v>325</v>
      </c>
      <c r="J28" s="80"/>
      <c r="K28" s="80"/>
      <c r="L28" s="80"/>
      <c r="M28" s="80"/>
      <c r="N28" s="80"/>
      <c r="O28" s="80"/>
      <c r="P28" s="80"/>
      <c r="Q28" s="80"/>
    </row>
    <row r="29" spans="1:17" customFormat="1" ht="42.75">
      <c r="A29" t="s">
        <v>239</v>
      </c>
      <c r="B29" t="s">
        <v>240</v>
      </c>
      <c r="C29" t="s">
        <v>326</v>
      </c>
      <c r="D29" s="5">
        <v>45932</v>
      </c>
      <c r="E29" s="5">
        <v>45932</v>
      </c>
      <c r="F29" s="120" t="s">
        <v>327</v>
      </c>
      <c r="G29" s="1"/>
      <c r="H29" s="1" t="s">
        <v>328</v>
      </c>
      <c r="I29" s="1" t="s">
        <v>329</v>
      </c>
      <c r="J29" s="80"/>
      <c r="K29" s="80"/>
      <c r="L29" s="80"/>
      <c r="M29" s="80"/>
      <c r="N29" s="80"/>
      <c r="O29" s="80"/>
      <c r="P29" s="80"/>
      <c r="Q29" s="80"/>
    </row>
    <row r="30" spans="1:17" customFormat="1" ht="28.5">
      <c r="A30" t="s">
        <v>239</v>
      </c>
      <c r="B30" t="s">
        <v>240</v>
      </c>
      <c r="C30" t="s">
        <v>330</v>
      </c>
      <c r="D30" s="5">
        <v>45932</v>
      </c>
      <c r="E30" s="5">
        <v>45932</v>
      </c>
      <c r="F30" s="120" t="s">
        <v>331</v>
      </c>
      <c r="G30" s="1"/>
      <c r="H30" s="1" t="s">
        <v>332</v>
      </c>
      <c r="I30" s="1" t="s">
        <v>333</v>
      </c>
      <c r="J30" s="80"/>
      <c r="K30" s="80"/>
      <c r="L30" s="80"/>
      <c r="M30" s="80"/>
      <c r="N30" s="80"/>
      <c r="O30" s="80"/>
      <c r="P30" s="80"/>
      <c r="Q30" s="80"/>
    </row>
    <row r="31" spans="1:17" customFormat="1" ht="42.75">
      <c r="A31" t="s">
        <v>239</v>
      </c>
      <c r="B31" t="s">
        <v>240</v>
      </c>
      <c r="C31" t="s">
        <v>334</v>
      </c>
      <c r="D31" s="5">
        <v>45932</v>
      </c>
      <c r="E31" s="5">
        <v>45932</v>
      </c>
      <c r="F31" s="120" t="s">
        <v>335</v>
      </c>
      <c r="G31" s="1"/>
      <c r="H31" s="1" t="s">
        <v>277</v>
      </c>
      <c r="I31" s="1" t="s">
        <v>336</v>
      </c>
      <c r="J31" s="80"/>
      <c r="K31" s="80"/>
      <c r="L31" s="80"/>
      <c r="M31" s="80"/>
      <c r="N31" s="80"/>
      <c r="O31" s="80"/>
      <c r="P31" s="80"/>
      <c r="Q31" s="80"/>
    </row>
    <row r="32" spans="1:17" customFormat="1" ht="28.5">
      <c r="A32" t="s">
        <v>239</v>
      </c>
      <c r="B32" t="s">
        <v>240</v>
      </c>
      <c r="C32" t="s">
        <v>337</v>
      </c>
      <c r="D32" s="5">
        <v>45932</v>
      </c>
      <c r="E32" s="5">
        <v>45932</v>
      </c>
      <c r="F32" s="120" t="s">
        <v>338</v>
      </c>
      <c r="G32" s="1"/>
      <c r="H32" s="1" t="s">
        <v>250</v>
      </c>
      <c r="I32" s="1" t="s">
        <v>339</v>
      </c>
      <c r="J32" s="80"/>
      <c r="K32" s="80"/>
      <c r="L32" s="80"/>
      <c r="M32" s="80"/>
      <c r="N32" s="80"/>
      <c r="O32" s="80"/>
      <c r="P32" s="80"/>
      <c r="Q32" s="80"/>
    </row>
    <row r="33" spans="1:17" customFormat="1" ht="28.5">
      <c r="A33" t="s">
        <v>239</v>
      </c>
      <c r="B33" t="s">
        <v>240</v>
      </c>
      <c r="C33" t="s">
        <v>340</v>
      </c>
      <c r="D33" s="5">
        <v>45932</v>
      </c>
      <c r="E33" s="5">
        <v>45932</v>
      </c>
      <c r="F33" s="120" t="s">
        <v>341</v>
      </c>
      <c r="G33" s="1"/>
      <c r="H33" s="1" t="s">
        <v>250</v>
      </c>
      <c r="I33" s="1" t="s">
        <v>342</v>
      </c>
      <c r="J33" s="80"/>
      <c r="K33" s="80"/>
      <c r="L33" s="80"/>
      <c r="M33" s="80"/>
      <c r="N33" s="80"/>
      <c r="O33" s="80"/>
      <c r="P33" s="80"/>
      <c r="Q33" s="80"/>
    </row>
    <row r="34" spans="1:17" customFormat="1" ht="28.5">
      <c r="A34" t="s">
        <v>239</v>
      </c>
      <c r="B34" t="s">
        <v>240</v>
      </c>
      <c r="C34" t="s">
        <v>343</v>
      </c>
      <c r="D34" s="5">
        <v>45932</v>
      </c>
      <c r="E34" s="5">
        <v>45932</v>
      </c>
      <c r="F34" s="120" t="s">
        <v>344</v>
      </c>
      <c r="G34" s="1"/>
      <c r="H34" s="1" t="s">
        <v>254</v>
      </c>
      <c r="I34" s="1" t="s">
        <v>345</v>
      </c>
      <c r="J34" s="80"/>
      <c r="K34" s="80"/>
      <c r="L34" s="80"/>
      <c r="M34" s="80"/>
      <c r="N34" s="80"/>
      <c r="O34" s="80"/>
      <c r="P34" s="80"/>
      <c r="Q34" s="80"/>
    </row>
    <row r="35" spans="1:17" customFormat="1" ht="28.5">
      <c r="A35" t="s">
        <v>239</v>
      </c>
      <c r="B35" t="s">
        <v>240</v>
      </c>
      <c r="C35" t="s">
        <v>343</v>
      </c>
      <c r="D35" s="5">
        <v>45932</v>
      </c>
      <c r="E35" s="5">
        <v>45932</v>
      </c>
      <c r="F35" s="120" t="s">
        <v>346</v>
      </c>
      <c r="G35" s="1"/>
      <c r="H35" s="1" t="s">
        <v>347</v>
      </c>
      <c r="I35" s="1" t="s">
        <v>348</v>
      </c>
      <c r="J35" s="80"/>
      <c r="K35" s="80"/>
      <c r="L35" s="80"/>
      <c r="M35" s="80"/>
      <c r="N35" s="80"/>
      <c r="O35" s="80"/>
      <c r="P35" s="80"/>
      <c r="Q35" s="80"/>
    </row>
    <row r="36" spans="1:17" customFormat="1" ht="28.5">
      <c r="A36" t="s">
        <v>239</v>
      </c>
      <c r="B36" t="s">
        <v>240</v>
      </c>
      <c r="C36" t="s">
        <v>349</v>
      </c>
      <c r="D36" s="5">
        <v>45932</v>
      </c>
      <c r="E36" s="5">
        <v>45932</v>
      </c>
      <c r="F36" s="120" t="s">
        <v>350</v>
      </c>
      <c r="G36" s="1"/>
      <c r="H36" s="1" t="s">
        <v>261</v>
      </c>
      <c r="I36" s="1" t="s">
        <v>351</v>
      </c>
      <c r="J36" s="80"/>
      <c r="K36" s="80"/>
      <c r="L36" s="80"/>
      <c r="M36" s="80"/>
      <c r="N36" s="80"/>
      <c r="O36" s="80"/>
      <c r="P36" s="80"/>
      <c r="Q36" s="80"/>
    </row>
    <row r="37" spans="1:17" customFormat="1" ht="42.75">
      <c r="A37" t="s">
        <v>239</v>
      </c>
      <c r="B37" t="s">
        <v>240</v>
      </c>
      <c r="C37" t="s">
        <v>349</v>
      </c>
      <c r="D37" s="5">
        <v>45932</v>
      </c>
      <c r="E37" s="5">
        <v>45932</v>
      </c>
      <c r="F37" s="120" t="s">
        <v>352</v>
      </c>
      <c r="G37" s="1"/>
      <c r="H37" s="1" t="s">
        <v>277</v>
      </c>
      <c r="I37" s="1" t="s">
        <v>353</v>
      </c>
      <c r="J37" s="80"/>
      <c r="K37" s="80"/>
      <c r="L37" s="80"/>
      <c r="M37" s="80"/>
      <c r="N37" s="80"/>
      <c r="O37" s="80"/>
      <c r="P37" s="80"/>
      <c r="Q37" s="80"/>
    </row>
    <row r="38" spans="1:17" customFormat="1" ht="28.5">
      <c r="A38" t="s">
        <v>239</v>
      </c>
      <c r="B38" t="s">
        <v>240</v>
      </c>
      <c r="C38" t="s">
        <v>354</v>
      </c>
      <c r="D38" s="5">
        <v>45932</v>
      </c>
      <c r="E38" s="5">
        <v>45932</v>
      </c>
      <c r="F38" s="120" t="s">
        <v>355</v>
      </c>
      <c r="G38" s="1"/>
      <c r="H38" s="1" t="s">
        <v>261</v>
      </c>
      <c r="I38" s="1" t="s">
        <v>356</v>
      </c>
      <c r="J38" s="80"/>
      <c r="K38" s="80"/>
      <c r="L38" s="80"/>
      <c r="M38" s="80"/>
      <c r="N38" s="80"/>
      <c r="O38" s="80"/>
      <c r="P38" s="80"/>
      <c r="Q38" s="80"/>
    </row>
    <row r="39" spans="1:17" customFormat="1" ht="28.5">
      <c r="A39" t="s">
        <v>239</v>
      </c>
      <c r="B39" t="s">
        <v>240</v>
      </c>
      <c r="C39" t="s">
        <v>354</v>
      </c>
      <c r="D39" s="5">
        <v>45932</v>
      </c>
      <c r="E39" s="5">
        <v>45932</v>
      </c>
      <c r="F39" s="120" t="s">
        <v>357</v>
      </c>
      <c r="G39" s="1"/>
      <c r="H39" s="1" t="s">
        <v>264</v>
      </c>
      <c r="I39" s="1" t="s">
        <v>358</v>
      </c>
      <c r="J39" s="80"/>
      <c r="K39" s="80"/>
      <c r="L39" s="80"/>
      <c r="M39" s="80"/>
      <c r="N39" s="80"/>
      <c r="O39" s="80"/>
      <c r="P39" s="80"/>
      <c r="Q39" s="80"/>
    </row>
    <row r="40" spans="1:17" customFormat="1" ht="42.75">
      <c r="A40" t="s">
        <v>239</v>
      </c>
      <c r="B40" t="s">
        <v>240</v>
      </c>
      <c r="C40" t="s">
        <v>359</v>
      </c>
      <c r="D40" s="5">
        <v>45933</v>
      </c>
      <c r="E40" s="5">
        <v>45933</v>
      </c>
      <c r="F40" s="120" t="s">
        <v>360</v>
      </c>
      <c r="G40" s="1"/>
      <c r="H40" s="1" t="s">
        <v>261</v>
      </c>
      <c r="I40" s="1" t="s">
        <v>361</v>
      </c>
      <c r="J40" s="80"/>
      <c r="K40" s="80"/>
      <c r="L40" s="80"/>
      <c r="M40" s="80"/>
      <c r="N40" s="80"/>
      <c r="O40" s="80"/>
      <c r="P40" s="80"/>
      <c r="Q40" s="80"/>
    </row>
    <row r="41" spans="1:17" customFormat="1" ht="42.75">
      <c r="A41" t="s">
        <v>239</v>
      </c>
      <c r="B41" t="s">
        <v>240</v>
      </c>
      <c r="C41" t="s">
        <v>359</v>
      </c>
      <c r="D41" s="5">
        <v>45933</v>
      </c>
      <c r="E41" s="5">
        <v>45933</v>
      </c>
      <c r="F41" s="120" t="s">
        <v>362</v>
      </c>
      <c r="G41" s="1"/>
      <c r="H41" s="1" t="s">
        <v>264</v>
      </c>
      <c r="I41" s="1" t="s">
        <v>363</v>
      </c>
      <c r="J41" s="80"/>
      <c r="K41" s="80"/>
      <c r="L41" s="80"/>
      <c r="M41" s="80"/>
      <c r="N41" s="80"/>
      <c r="O41" s="80"/>
      <c r="P41" s="80"/>
      <c r="Q41" s="80"/>
    </row>
    <row r="42" spans="1:17" customFormat="1" ht="28.5">
      <c r="A42" t="s">
        <v>239</v>
      </c>
      <c r="B42" t="s">
        <v>240</v>
      </c>
      <c r="C42" t="s">
        <v>364</v>
      </c>
      <c r="D42" s="5">
        <v>45933</v>
      </c>
      <c r="E42" s="5">
        <v>45933</v>
      </c>
      <c r="F42" s="120" t="s">
        <v>365</v>
      </c>
      <c r="G42" s="1"/>
      <c r="H42" s="1" t="s">
        <v>261</v>
      </c>
      <c r="I42" s="1" t="s">
        <v>366</v>
      </c>
      <c r="J42" s="80"/>
      <c r="K42" s="80"/>
      <c r="L42" s="80"/>
      <c r="M42" s="80"/>
      <c r="N42" s="80"/>
      <c r="O42" s="80"/>
      <c r="P42" s="80"/>
      <c r="Q42" s="80"/>
    </row>
    <row r="43" spans="1:17" customFormat="1" ht="42.75">
      <c r="A43" t="s">
        <v>239</v>
      </c>
      <c r="B43" t="s">
        <v>240</v>
      </c>
      <c r="C43" t="s">
        <v>364</v>
      </c>
      <c r="D43" s="5">
        <v>45933</v>
      </c>
      <c r="E43" s="5">
        <v>45933</v>
      </c>
      <c r="F43" s="120" t="s">
        <v>367</v>
      </c>
      <c r="G43" s="1"/>
      <c r="H43" s="1" t="s">
        <v>368</v>
      </c>
      <c r="I43" s="1" t="s">
        <v>369</v>
      </c>
      <c r="J43" s="80"/>
      <c r="K43" s="80"/>
      <c r="L43" s="80"/>
      <c r="M43" s="80"/>
      <c r="N43" s="80"/>
      <c r="O43" s="80"/>
      <c r="P43" s="80"/>
      <c r="Q43" s="80"/>
    </row>
    <row r="44" spans="1:17" customFormat="1" ht="28.5">
      <c r="A44" t="s">
        <v>239</v>
      </c>
      <c r="B44" t="s">
        <v>240</v>
      </c>
      <c r="C44" t="s">
        <v>370</v>
      </c>
      <c r="D44" s="5">
        <v>45933</v>
      </c>
      <c r="E44" s="5">
        <v>45933</v>
      </c>
      <c r="F44" s="120" t="s">
        <v>371</v>
      </c>
      <c r="G44" s="1"/>
      <c r="H44" s="1" t="s">
        <v>261</v>
      </c>
      <c r="I44" s="1" t="s">
        <v>372</v>
      </c>
      <c r="J44" s="80"/>
      <c r="K44" s="80"/>
      <c r="L44" s="80"/>
      <c r="M44" s="80"/>
      <c r="N44" s="80"/>
      <c r="O44" s="80"/>
      <c r="P44" s="80"/>
      <c r="Q44" s="80"/>
    </row>
    <row r="45" spans="1:17" customFormat="1" ht="42.75">
      <c r="A45" t="s">
        <v>239</v>
      </c>
      <c r="B45" t="s">
        <v>240</v>
      </c>
      <c r="C45" t="s">
        <v>370</v>
      </c>
      <c r="D45" s="5">
        <v>45933</v>
      </c>
      <c r="E45" s="5">
        <v>45933</v>
      </c>
      <c r="F45" s="120" t="s">
        <v>373</v>
      </c>
      <c r="G45" s="1"/>
      <c r="H45" s="1" t="s">
        <v>374</v>
      </c>
      <c r="I45" s="1" t="s">
        <v>375</v>
      </c>
      <c r="J45" s="80"/>
      <c r="K45" s="80"/>
      <c r="L45" s="80"/>
      <c r="M45" s="80"/>
      <c r="N45" s="80"/>
      <c r="O45" s="80"/>
      <c r="P45" s="80"/>
      <c r="Q45" s="80"/>
    </row>
    <row r="46" spans="1:17" customFormat="1" ht="28.5">
      <c r="A46" t="s">
        <v>239</v>
      </c>
      <c r="B46" t="s">
        <v>240</v>
      </c>
      <c r="C46" t="s">
        <v>376</v>
      </c>
      <c r="D46" s="5">
        <v>45933</v>
      </c>
      <c r="E46" s="5">
        <v>45933</v>
      </c>
      <c r="F46" s="120" t="s">
        <v>377</v>
      </c>
      <c r="G46" s="1"/>
      <c r="H46" s="1" t="s">
        <v>254</v>
      </c>
      <c r="I46" s="1" t="s">
        <v>378</v>
      </c>
      <c r="J46" s="80"/>
      <c r="K46" s="80"/>
      <c r="L46" s="80"/>
      <c r="M46" s="80"/>
      <c r="N46" s="80"/>
      <c r="O46" s="80"/>
      <c r="P46" s="80"/>
      <c r="Q46" s="80"/>
    </row>
    <row r="47" spans="1:17" customFormat="1" ht="28.5">
      <c r="A47" t="s">
        <v>239</v>
      </c>
      <c r="B47" t="s">
        <v>240</v>
      </c>
      <c r="C47" t="s">
        <v>376</v>
      </c>
      <c r="D47" s="5">
        <v>45933</v>
      </c>
      <c r="E47" s="5">
        <v>45933</v>
      </c>
      <c r="F47" s="120" t="s">
        <v>379</v>
      </c>
      <c r="G47" s="1"/>
      <c r="H47" s="1" t="s">
        <v>250</v>
      </c>
      <c r="I47" s="1" t="s">
        <v>380</v>
      </c>
      <c r="J47" s="80"/>
      <c r="K47" s="80"/>
      <c r="L47" s="80"/>
      <c r="M47" s="80"/>
      <c r="N47" s="80"/>
      <c r="O47" s="80"/>
      <c r="P47" s="80"/>
      <c r="Q47" s="80"/>
    </row>
    <row r="48" spans="1:17" customFormat="1" ht="28.5">
      <c r="A48" t="s">
        <v>239</v>
      </c>
      <c r="B48" t="s">
        <v>240</v>
      </c>
      <c r="C48" t="s">
        <v>381</v>
      </c>
      <c r="D48" s="5">
        <v>45933</v>
      </c>
      <c r="E48" s="5">
        <v>45933</v>
      </c>
      <c r="F48" s="120" t="s">
        <v>382</v>
      </c>
      <c r="G48" s="1"/>
      <c r="H48" s="1" t="s">
        <v>243</v>
      </c>
      <c r="I48" s="1" t="s">
        <v>383</v>
      </c>
      <c r="J48" s="80"/>
      <c r="K48" s="80"/>
      <c r="L48" s="80"/>
      <c r="M48" s="80"/>
      <c r="N48" s="80"/>
      <c r="O48" s="80"/>
      <c r="P48" s="80"/>
      <c r="Q48" s="80"/>
    </row>
    <row r="49" spans="1:17" customFormat="1" ht="28.5">
      <c r="A49" t="s">
        <v>239</v>
      </c>
      <c r="B49" t="s">
        <v>240</v>
      </c>
      <c r="C49" t="s">
        <v>381</v>
      </c>
      <c r="D49" s="5">
        <v>45933</v>
      </c>
      <c r="E49" s="5">
        <v>45933</v>
      </c>
      <c r="F49" s="120" t="s">
        <v>384</v>
      </c>
      <c r="G49" s="1"/>
      <c r="H49" s="1" t="s">
        <v>385</v>
      </c>
      <c r="I49" s="1" t="s">
        <v>386</v>
      </c>
      <c r="J49" s="80"/>
      <c r="K49" s="80"/>
      <c r="L49" s="80"/>
      <c r="M49" s="80"/>
      <c r="N49" s="80"/>
      <c r="O49" s="80"/>
      <c r="P49" s="80"/>
      <c r="Q49" s="80"/>
    </row>
    <row r="50" spans="1:17" customFormat="1" ht="28.5">
      <c r="A50" t="s">
        <v>239</v>
      </c>
      <c r="B50" t="s">
        <v>240</v>
      </c>
      <c r="C50" t="s">
        <v>387</v>
      </c>
      <c r="D50" s="5">
        <v>45933</v>
      </c>
      <c r="E50" s="5">
        <v>45933</v>
      </c>
      <c r="F50" s="120" t="s">
        <v>388</v>
      </c>
      <c r="G50" s="1"/>
      <c r="H50" s="1" t="s">
        <v>243</v>
      </c>
      <c r="I50" s="1" t="s">
        <v>389</v>
      </c>
      <c r="J50" s="80"/>
      <c r="K50" s="80"/>
      <c r="L50" s="80"/>
      <c r="M50" s="80"/>
      <c r="N50" s="80"/>
      <c r="O50" s="80"/>
      <c r="P50" s="80"/>
      <c r="Q50" s="80"/>
    </row>
    <row r="51" spans="1:17" customFormat="1" ht="28.5">
      <c r="A51" t="s">
        <v>239</v>
      </c>
      <c r="B51" t="s">
        <v>240</v>
      </c>
      <c r="C51" t="s">
        <v>387</v>
      </c>
      <c r="D51" s="5">
        <v>45933</v>
      </c>
      <c r="E51" s="5">
        <v>45933</v>
      </c>
      <c r="F51" s="120" t="s">
        <v>390</v>
      </c>
      <c r="G51" s="1"/>
      <c r="H51" s="1" t="s">
        <v>391</v>
      </c>
      <c r="I51" s="1" t="s">
        <v>392</v>
      </c>
      <c r="J51" s="80"/>
      <c r="K51" s="80"/>
      <c r="L51" s="80"/>
      <c r="M51" s="80"/>
      <c r="N51" s="80"/>
      <c r="O51" s="80"/>
      <c r="P51" s="80"/>
      <c r="Q51" s="80"/>
    </row>
    <row r="52" spans="1:17" customFormat="1" ht="28.5">
      <c r="A52" t="s">
        <v>239</v>
      </c>
      <c r="B52" t="s">
        <v>240</v>
      </c>
      <c r="C52" t="s">
        <v>393</v>
      </c>
      <c r="D52" s="5">
        <v>45933</v>
      </c>
      <c r="E52" s="5">
        <v>45933</v>
      </c>
      <c r="F52" s="120" t="s">
        <v>344</v>
      </c>
      <c r="G52" s="1"/>
      <c r="H52" s="1" t="s">
        <v>254</v>
      </c>
      <c r="I52" s="1" t="s">
        <v>394</v>
      </c>
      <c r="J52" s="80"/>
      <c r="K52" s="80"/>
      <c r="L52" s="80"/>
      <c r="M52" s="80"/>
      <c r="N52" s="80"/>
      <c r="O52" s="80"/>
      <c r="P52" s="80"/>
      <c r="Q52" s="80"/>
    </row>
    <row r="53" spans="1:17" customFormat="1" ht="28.5">
      <c r="A53" t="s">
        <v>239</v>
      </c>
      <c r="B53" t="s">
        <v>240</v>
      </c>
      <c r="C53" t="s">
        <v>393</v>
      </c>
      <c r="D53" s="5">
        <v>45933</v>
      </c>
      <c r="E53" s="5">
        <v>45933</v>
      </c>
      <c r="F53" s="120" t="s">
        <v>346</v>
      </c>
      <c r="G53" s="1"/>
      <c r="H53" s="1" t="s">
        <v>395</v>
      </c>
      <c r="I53" s="1" t="s">
        <v>396</v>
      </c>
      <c r="J53" s="80"/>
      <c r="K53" s="80"/>
      <c r="L53" s="80"/>
      <c r="M53" s="80"/>
      <c r="N53" s="80"/>
      <c r="O53" s="80"/>
      <c r="P53" s="80"/>
      <c r="Q53" s="80"/>
    </row>
    <row r="54" spans="1:17" customFormat="1" ht="28.5">
      <c r="A54" t="s">
        <v>239</v>
      </c>
      <c r="B54" t="s">
        <v>240</v>
      </c>
      <c r="C54" t="s">
        <v>397</v>
      </c>
      <c r="D54" s="5">
        <v>45933</v>
      </c>
      <c r="E54" s="5">
        <v>45933</v>
      </c>
      <c r="F54" s="120" t="s">
        <v>398</v>
      </c>
      <c r="G54" s="1" t="s">
        <v>399</v>
      </c>
      <c r="H54" s="1"/>
      <c r="I54" s="1" t="s">
        <v>400</v>
      </c>
      <c r="J54" s="80"/>
      <c r="K54" s="80"/>
      <c r="L54" s="80"/>
      <c r="M54" s="80"/>
      <c r="N54" s="80"/>
      <c r="O54" s="80"/>
      <c r="P54" s="80"/>
      <c r="Q54" s="80"/>
    </row>
    <row r="55" spans="1:17" customFormat="1" ht="28.5">
      <c r="A55" t="s">
        <v>239</v>
      </c>
      <c r="B55" t="s">
        <v>240</v>
      </c>
      <c r="C55" t="s">
        <v>401</v>
      </c>
      <c r="D55" s="5">
        <v>45933</v>
      </c>
      <c r="E55" s="5">
        <v>45933</v>
      </c>
      <c r="F55" s="120" t="s">
        <v>402</v>
      </c>
      <c r="G55" s="1"/>
      <c r="H55" s="1" t="s">
        <v>261</v>
      </c>
      <c r="I55" s="1" t="s">
        <v>403</v>
      </c>
      <c r="J55" s="80"/>
      <c r="K55" s="80"/>
      <c r="L55" s="80"/>
      <c r="M55" s="80"/>
      <c r="N55" s="80"/>
      <c r="O55" s="80"/>
      <c r="P55" s="80"/>
      <c r="Q55" s="80"/>
    </row>
    <row r="56" spans="1:17" customFormat="1" ht="42.75">
      <c r="A56" t="s">
        <v>239</v>
      </c>
      <c r="B56" t="s">
        <v>240</v>
      </c>
      <c r="C56" t="s">
        <v>401</v>
      </c>
      <c r="D56" s="5">
        <v>45933</v>
      </c>
      <c r="E56" s="5">
        <v>45933</v>
      </c>
      <c r="F56" s="120" t="s">
        <v>404</v>
      </c>
      <c r="G56" s="1"/>
      <c r="H56" s="1" t="s">
        <v>405</v>
      </c>
      <c r="I56" s="1" t="s">
        <v>406</v>
      </c>
      <c r="J56" s="80"/>
      <c r="K56" s="80"/>
      <c r="L56" s="80"/>
      <c r="M56" s="80"/>
      <c r="N56" s="80"/>
      <c r="O56" s="80"/>
      <c r="P56" s="80"/>
      <c r="Q56" s="80"/>
    </row>
    <row r="57" spans="1:17" customFormat="1" ht="28.5">
      <c r="A57" t="s">
        <v>239</v>
      </c>
      <c r="B57" t="s">
        <v>240</v>
      </c>
      <c r="C57" t="s">
        <v>407</v>
      </c>
      <c r="D57" s="5">
        <v>45933</v>
      </c>
      <c r="E57" s="5">
        <v>45933</v>
      </c>
      <c r="F57" s="120" t="s">
        <v>408</v>
      </c>
      <c r="G57" s="1"/>
      <c r="H57" s="1" t="s">
        <v>409</v>
      </c>
      <c r="I57" s="1" t="s">
        <v>410</v>
      </c>
      <c r="J57" s="80"/>
      <c r="K57" s="80"/>
      <c r="L57" s="80"/>
      <c r="M57" s="80"/>
      <c r="N57" s="80"/>
      <c r="O57" s="80"/>
      <c r="P57" s="80"/>
      <c r="Q57" s="80"/>
    </row>
    <row r="58" spans="1:17" customFormat="1" ht="28.5">
      <c r="A58" t="s">
        <v>239</v>
      </c>
      <c r="B58" t="s">
        <v>240</v>
      </c>
      <c r="C58" t="s">
        <v>411</v>
      </c>
      <c r="D58" s="5">
        <v>45933</v>
      </c>
      <c r="E58" s="5">
        <v>45933</v>
      </c>
      <c r="F58" s="120" t="s">
        <v>412</v>
      </c>
      <c r="G58" s="1"/>
      <c r="H58" s="1" t="s">
        <v>277</v>
      </c>
      <c r="I58" s="1" t="s">
        <v>413</v>
      </c>
      <c r="J58" s="80"/>
      <c r="K58" s="80"/>
      <c r="L58" s="80"/>
      <c r="M58" s="80"/>
      <c r="N58" s="80"/>
      <c r="O58" s="80"/>
      <c r="P58" s="80"/>
      <c r="Q58" s="80"/>
    </row>
    <row r="59" spans="1:17" customFormat="1" ht="28.5">
      <c r="A59" t="s">
        <v>239</v>
      </c>
      <c r="B59" t="s">
        <v>240</v>
      </c>
      <c r="C59" t="s">
        <v>414</v>
      </c>
      <c r="D59" s="5">
        <v>45933</v>
      </c>
      <c r="E59" s="5">
        <v>45933</v>
      </c>
      <c r="F59" s="120" t="s">
        <v>415</v>
      </c>
      <c r="G59" s="1"/>
      <c r="H59" s="1" t="s">
        <v>261</v>
      </c>
      <c r="I59" s="1" t="s">
        <v>416</v>
      </c>
      <c r="J59" s="80"/>
      <c r="K59" s="80"/>
      <c r="L59" s="80"/>
      <c r="M59" s="80"/>
      <c r="N59" s="80"/>
      <c r="O59" s="80"/>
      <c r="P59" s="80"/>
      <c r="Q59" s="80"/>
    </row>
    <row r="60" spans="1:17" customFormat="1" ht="42.75">
      <c r="A60" t="s">
        <v>239</v>
      </c>
      <c r="B60" t="s">
        <v>240</v>
      </c>
      <c r="C60" t="s">
        <v>414</v>
      </c>
      <c r="D60" s="5">
        <v>45933</v>
      </c>
      <c r="E60" s="5">
        <v>45933</v>
      </c>
      <c r="F60" s="120" t="s">
        <v>417</v>
      </c>
      <c r="G60" s="1"/>
      <c r="H60" s="1" t="s">
        <v>313</v>
      </c>
      <c r="I60" s="1" t="s">
        <v>418</v>
      </c>
      <c r="J60" s="80"/>
      <c r="K60" s="80"/>
      <c r="L60" s="80"/>
      <c r="M60" s="80"/>
      <c r="N60" s="80"/>
      <c r="O60" s="80"/>
      <c r="P60" s="80"/>
      <c r="Q60" s="80"/>
    </row>
    <row r="61" spans="1:17" customFormat="1" ht="28.5">
      <c r="A61" t="s">
        <v>239</v>
      </c>
      <c r="B61" t="s">
        <v>240</v>
      </c>
      <c r="C61" t="s">
        <v>419</v>
      </c>
      <c r="D61" s="5">
        <v>45933</v>
      </c>
      <c r="E61" s="5">
        <v>45933</v>
      </c>
      <c r="F61" s="120" t="s">
        <v>420</v>
      </c>
      <c r="G61" s="1"/>
      <c r="H61" s="1" t="s">
        <v>261</v>
      </c>
      <c r="I61" s="1" t="s">
        <v>421</v>
      </c>
      <c r="J61" s="80"/>
      <c r="K61" s="80"/>
      <c r="L61" s="80"/>
      <c r="M61" s="80"/>
      <c r="N61" s="80"/>
      <c r="O61" s="80"/>
      <c r="P61" s="80"/>
      <c r="Q61" s="80"/>
    </row>
    <row r="62" spans="1:17" customFormat="1" ht="42.75">
      <c r="A62" t="s">
        <v>239</v>
      </c>
      <c r="B62" t="s">
        <v>240</v>
      </c>
      <c r="C62" t="s">
        <v>419</v>
      </c>
      <c r="D62" s="5">
        <v>45933</v>
      </c>
      <c r="E62" s="5">
        <v>45933</v>
      </c>
      <c r="F62" s="120" t="s">
        <v>422</v>
      </c>
      <c r="G62" s="1"/>
      <c r="H62" s="1" t="s">
        <v>423</v>
      </c>
      <c r="I62" s="1" t="s">
        <v>424</v>
      </c>
      <c r="J62" s="80"/>
      <c r="K62" s="80"/>
      <c r="L62" s="80"/>
      <c r="M62" s="80"/>
      <c r="N62" s="80"/>
      <c r="O62" s="80"/>
      <c r="P62" s="80"/>
      <c r="Q62" s="80"/>
    </row>
    <row r="63" spans="1:17" customFormat="1">
      <c r="A63" t="s">
        <v>239</v>
      </c>
      <c r="B63" t="s">
        <v>240</v>
      </c>
      <c r="C63" t="s">
        <v>425</v>
      </c>
      <c r="D63" s="5">
        <v>45936</v>
      </c>
      <c r="E63" s="5">
        <v>45936</v>
      </c>
      <c r="F63" s="120" t="s">
        <v>426</v>
      </c>
      <c r="G63" s="1" t="s">
        <v>427</v>
      </c>
      <c r="H63" s="1"/>
      <c r="I63" s="1" t="s">
        <v>428</v>
      </c>
      <c r="J63" s="80"/>
      <c r="K63" s="80"/>
      <c r="L63" s="80"/>
      <c r="M63" s="80"/>
      <c r="N63" s="80"/>
      <c r="O63" s="80"/>
      <c r="P63" s="80"/>
      <c r="Q63" s="80"/>
    </row>
    <row r="64" spans="1:17" customFormat="1" ht="28.5">
      <c r="A64" t="s">
        <v>239</v>
      </c>
      <c r="B64" t="s">
        <v>240</v>
      </c>
      <c r="C64" t="s">
        <v>429</v>
      </c>
      <c r="D64" s="5">
        <v>45936</v>
      </c>
      <c r="E64" s="5">
        <v>45936</v>
      </c>
      <c r="F64" s="120" t="s">
        <v>430</v>
      </c>
      <c r="G64" s="1"/>
      <c r="H64" s="1" t="s">
        <v>261</v>
      </c>
      <c r="I64" s="1" t="s">
        <v>431</v>
      </c>
      <c r="J64" s="80"/>
      <c r="K64" s="80"/>
      <c r="L64" s="80"/>
      <c r="M64" s="80"/>
      <c r="N64" s="80"/>
      <c r="O64" s="80"/>
      <c r="P64" s="80"/>
      <c r="Q64" s="80"/>
    </row>
    <row r="65" spans="1:17" customFormat="1" ht="42.75">
      <c r="A65" t="s">
        <v>239</v>
      </c>
      <c r="B65" t="s">
        <v>240</v>
      </c>
      <c r="C65" t="s">
        <v>429</v>
      </c>
      <c r="D65" s="5">
        <v>45936</v>
      </c>
      <c r="E65" s="5">
        <v>45936</v>
      </c>
      <c r="F65" s="120" t="s">
        <v>432</v>
      </c>
      <c r="G65" s="1"/>
      <c r="H65" s="1" t="s">
        <v>433</v>
      </c>
      <c r="I65" s="1" t="s">
        <v>434</v>
      </c>
      <c r="J65" s="80"/>
      <c r="K65" s="80"/>
      <c r="L65" s="80"/>
      <c r="M65" s="80"/>
      <c r="N65" s="80"/>
      <c r="O65" s="80"/>
      <c r="P65" s="80"/>
      <c r="Q65" s="80"/>
    </row>
    <row r="66" spans="1:17" customFormat="1" ht="28.5">
      <c r="A66" t="s">
        <v>239</v>
      </c>
      <c r="B66" t="s">
        <v>240</v>
      </c>
      <c r="C66" t="s">
        <v>435</v>
      </c>
      <c r="D66" s="5">
        <v>45936</v>
      </c>
      <c r="E66" s="5">
        <v>45936</v>
      </c>
      <c r="F66" s="120" t="s">
        <v>436</v>
      </c>
      <c r="G66" s="1"/>
      <c r="H66" s="1" t="s">
        <v>261</v>
      </c>
      <c r="I66" s="1" t="s">
        <v>437</v>
      </c>
      <c r="J66" s="80"/>
      <c r="K66" s="80"/>
      <c r="L66" s="80"/>
      <c r="M66" s="80"/>
      <c r="N66" s="80"/>
      <c r="O66" s="80"/>
      <c r="P66" s="80"/>
      <c r="Q66" s="80"/>
    </row>
    <row r="67" spans="1:17" customFormat="1" ht="42.75">
      <c r="A67" t="s">
        <v>239</v>
      </c>
      <c r="B67" t="s">
        <v>240</v>
      </c>
      <c r="C67" t="s">
        <v>435</v>
      </c>
      <c r="D67" s="5">
        <v>45936</v>
      </c>
      <c r="E67" s="5">
        <v>45936</v>
      </c>
      <c r="F67" s="120" t="s">
        <v>438</v>
      </c>
      <c r="G67" s="1"/>
      <c r="H67" s="1" t="s">
        <v>433</v>
      </c>
      <c r="I67" s="1" t="s">
        <v>439</v>
      </c>
      <c r="J67" s="80"/>
      <c r="K67" s="80"/>
      <c r="L67" s="80"/>
      <c r="M67" s="80"/>
      <c r="N67" s="80"/>
      <c r="O67" s="80"/>
      <c r="P67" s="80"/>
      <c r="Q67" s="80"/>
    </row>
    <row r="68" spans="1:17" customFormat="1" ht="42.75">
      <c r="A68" t="s">
        <v>239</v>
      </c>
      <c r="B68" t="s">
        <v>240</v>
      </c>
      <c r="C68" t="s">
        <v>440</v>
      </c>
      <c r="D68" s="5">
        <v>45936</v>
      </c>
      <c r="E68" s="5">
        <v>45936</v>
      </c>
      <c r="F68" s="120" t="s">
        <v>441</v>
      </c>
      <c r="G68" s="1" t="s">
        <v>427</v>
      </c>
      <c r="H68" s="1"/>
      <c r="I68" s="1" t="s">
        <v>442</v>
      </c>
      <c r="J68" s="80"/>
      <c r="K68" s="80"/>
      <c r="L68" s="80"/>
      <c r="M68" s="80"/>
      <c r="N68" s="80"/>
      <c r="O68" s="80"/>
      <c r="P68" s="80"/>
      <c r="Q68" s="80"/>
    </row>
    <row r="69" spans="1:17" customFormat="1" ht="28.5">
      <c r="A69" t="s">
        <v>239</v>
      </c>
      <c r="B69" t="s">
        <v>240</v>
      </c>
      <c r="C69" t="s">
        <v>443</v>
      </c>
      <c r="D69" s="5">
        <v>45936</v>
      </c>
      <c r="E69" s="5">
        <v>45936</v>
      </c>
      <c r="F69" s="120" t="s">
        <v>444</v>
      </c>
      <c r="G69" s="1"/>
      <c r="H69" s="1" t="s">
        <v>243</v>
      </c>
      <c r="I69" s="1" t="s">
        <v>445</v>
      </c>
      <c r="J69" s="80"/>
      <c r="K69" s="80"/>
      <c r="L69" s="80"/>
      <c r="M69" s="80"/>
      <c r="N69" s="80"/>
      <c r="O69" s="80"/>
      <c r="P69" s="80"/>
      <c r="Q69" s="80"/>
    </row>
    <row r="70" spans="1:17" customFormat="1" ht="42.75">
      <c r="A70" t="s">
        <v>239</v>
      </c>
      <c r="B70" t="s">
        <v>240</v>
      </c>
      <c r="C70" t="s">
        <v>443</v>
      </c>
      <c r="D70" s="5">
        <v>45936</v>
      </c>
      <c r="E70" s="5">
        <v>45936</v>
      </c>
      <c r="F70" s="120" t="s">
        <v>446</v>
      </c>
      <c r="G70" s="1"/>
      <c r="H70" s="1" t="s">
        <v>447</v>
      </c>
      <c r="I70" s="1" t="s">
        <v>448</v>
      </c>
      <c r="J70" s="80"/>
      <c r="K70" s="80"/>
      <c r="L70" s="80"/>
      <c r="M70" s="80"/>
      <c r="N70" s="80"/>
      <c r="O70" s="80"/>
      <c r="P70" s="80"/>
      <c r="Q70" s="80"/>
    </row>
    <row r="71" spans="1:17" customFormat="1" ht="28.5">
      <c r="A71" t="s">
        <v>239</v>
      </c>
      <c r="B71" t="s">
        <v>240</v>
      </c>
      <c r="C71" t="s">
        <v>449</v>
      </c>
      <c r="D71" s="5">
        <v>45936</v>
      </c>
      <c r="E71" s="5">
        <v>45936</v>
      </c>
      <c r="F71" s="120" t="s">
        <v>450</v>
      </c>
      <c r="G71" s="1"/>
      <c r="H71" s="1" t="s">
        <v>261</v>
      </c>
      <c r="I71" s="1" t="s">
        <v>451</v>
      </c>
      <c r="J71" s="80"/>
      <c r="K71" s="80"/>
      <c r="L71" s="80"/>
      <c r="M71" s="80"/>
      <c r="N71" s="80"/>
      <c r="O71" s="80"/>
      <c r="P71" s="80"/>
      <c r="Q71" s="80"/>
    </row>
    <row r="72" spans="1:17" customFormat="1" ht="42.75">
      <c r="A72" t="s">
        <v>239</v>
      </c>
      <c r="B72" t="s">
        <v>240</v>
      </c>
      <c r="C72" t="s">
        <v>449</v>
      </c>
      <c r="D72" s="5">
        <v>45936</v>
      </c>
      <c r="E72" s="5">
        <v>45936</v>
      </c>
      <c r="F72" s="120" t="s">
        <v>452</v>
      </c>
      <c r="G72" s="1"/>
      <c r="H72" s="1" t="s">
        <v>453</v>
      </c>
      <c r="I72" s="1" t="s">
        <v>454</v>
      </c>
      <c r="J72" s="80"/>
      <c r="K72" s="80"/>
      <c r="L72" s="80"/>
      <c r="M72" s="80"/>
      <c r="N72" s="80"/>
      <c r="O72" s="80"/>
      <c r="P72" s="80"/>
      <c r="Q72" s="80"/>
    </row>
    <row r="73" spans="1:17" customFormat="1" ht="28.5">
      <c r="A73" t="s">
        <v>239</v>
      </c>
      <c r="B73" t="s">
        <v>240</v>
      </c>
      <c r="C73" t="s">
        <v>455</v>
      </c>
      <c r="D73" s="5">
        <v>45936</v>
      </c>
      <c r="E73" s="5">
        <v>45936</v>
      </c>
      <c r="F73" s="120" t="s">
        <v>456</v>
      </c>
      <c r="G73" s="1" t="s">
        <v>427</v>
      </c>
      <c r="H73" s="1"/>
      <c r="I73" s="1" t="s">
        <v>457</v>
      </c>
      <c r="J73" s="80"/>
      <c r="K73" s="80"/>
      <c r="L73" s="80"/>
      <c r="M73" s="80"/>
      <c r="N73" s="80"/>
      <c r="O73" s="80"/>
      <c r="P73" s="80"/>
      <c r="Q73" s="80"/>
    </row>
    <row r="74" spans="1:17" customFormat="1" ht="28.5">
      <c r="A74" t="s">
        <v>239</v>
      </c>
      <c r="B74" t="s">
        <v>240</v>
      </c>
      <c r="C74" t="s">
        <v>458</v>
      </c>
      <c r="D74" s="5">
        <v>45936</v>
      </c>
      <c r="E74" s="5">
        <v>45936</v>
      </c>
      <c r="F74" s="120" t="s">
        <v>459</v>
      </c>
      <c r="G74" s="1"/>
      <c r="H74" s="1" t="s">
        <v>261</v>
      </c>
      <c r="I74" s="1" t="s">
        <v>460</v>
      </c>
      <c r="J74" s="80"/>
      <c r="K74" s="80"/>
      <c r="L74" s="80"/>
      <c r="M74" s="80"/>
      <c r="N74" s="80"/>
      <c r="O74" s="80"/>
      <c r="P74" s="80"/>
      <c r="Q74" s="80"/>
    </row>
    <row r="75" spans="1:17" customFormat="1" ht="42.75">
      <c r="A75" t="s">
        <v>239</v>
      </c>
      <c r="B75" t="s">
        <v>240</v>
      </c>
      <c r="C75" t="s">
        <v>458</v>
      </c>
      <c r="D75" s="5">
        <v>45936</v>
      </c>
      <c r="E75" s="5">
        <v>45936</v>
      </c>
      <c r="F75" s="120" t="s">
        <v>461</v>
      </c>
      <c r="G75" s="1"/>
      <c r="H75" s="1" t="s">
        <v>433</v>
      </c>
      <c r="I75" s="1" t="s">
        <v>462</v>
      </c>
      <c r="J75" s="80"/>
      <c r="K75" s="80"/>
      <c r="L75" s="80"/>
      <c r="M75" s="80"/>
      <c r="N75" s="80"/>
      <c r="O75" s="80"/>
      <c r="P75" s="80"/>
      <c r="Q75" s="80"/>
    </row>
    <row r="76" spans="1:17" customFormat="1" ht="28.5">
      <c r="A76" t="s">
        <v>239</v>
      </c>
      <c r="B76" t="s">
        <v>240</v>
      </c>
      <c r="C76" t="s">
        <v>463</v>
      </c>
      <c r="D76" s="5">
        <v>45936</v>
      </c>
      <c r="E76" s="5">
        <v>45936</v>
      </c>
      <c r="F76" s="120" t="s">
        <v>464</v>
      </c>
      <c r="G76" s="1"/>
      <c r="H76" s="1" t="s">
        <v>261</v>
      </c>
      <c r="I76" s="1" t="s">
        <v>465</v>
      </c>
      <c r="J76" s="80"/>
      <c r="K76" s="80"/>
      <c r="L76" s="80"/>
      <c r="M76" s="80"/>
      <c r="N76" s="80"/>
      <c r="O76" s="80"/>
      <c r="P76" s="80"/>
      <c r="Q76" s="80"/>
    </row>
    <row r="77" spans="1:17" customFormat="1" ht="42.75">
      <c r="A77" t="s">
        <v>239</v>
      </c>
      <c r="B77" t="s">
        <v>240</v>
      </c>
      <c r="C77" t="s">
        <v>463</v>
      </c>
      <c r="D77" s="5">
        <v>45936</v>
      </c>
      <c r="E77" s="5">
        <v>45936</v>
      </c>
      <c r="F77" s="120" t="s">
        <v>466</v>
      </c>
      <c r="G77" s="1"/>
      <c r="H77" s="1" t="s">
        <v>467</v>
      </c>
      <c r="I77" s="1" t="s">
        <v>468</v>
      </c>
      <c r="J77" s="80"/>
      <c r="K77" s="80"/>
      <c r="L77" s="80"/>
      <c r="M77" s="80"/>
      <c r="N77" s="80"/>
      <c r="O77" s="80"/>
      <c r="P77" s="80"/>
      <c r="Q77" s="80"/>
    </row>
    <row r="78" spans="1:17" customFormat="1" ht="28.5">
      <c r="A78" t="s">
        <v>239</v>
      </c>
      <c r="B78" t="s">
        <v>240</v>
      </c>
      <c r="C78" t="s">
        <v>469</v>
      </c>
      <c r="D78" s="5">
        <v>45936</v>
      </c>
      <c r="E78" s="5">
        <v>45936</v>
      </c>
      <c r="F78" s="120" t="s">
        <v>470</v>
      </c>
      <c r="G78" s="1"/>
      <c r="H78" s="1" t="s">
        <v>295</v>
      </c>
      <c r="I78" s="1" t="s">
        <v>471</v>
      </c>
      <c r="J78" s="80"/>
      <c r="K78" s="80"/>
      <c r="L78" s="80"/>
      <c r="M78" s="80"/>
      <c r="N78" s="80"/>
      <c r="O78" s="80"/>
      <c r="P78" s="80"/>
      <c r="Q78" s="80"/>
    </row>
    <row r="79" spans="1:17" customFormat="1" ht="28.5">
      <c r="A79" t="s">
        <v>239</v>
      </c>
      <c r="B79" t="s">
        <v>240</v>
      </c>
      <c r="C79" t="s">
        <v>472</v>
      </c>
      <c r="D79" s="5">
        <v>45936</v>
      </c>
      <c r="E79" s="5">
        <v>45936</v>
      </c>
      <c r="F79" s="120" t="s">
        <v>473</v>
      </c>
      <c r="G79" s="1"/>
      <c r="H79" s="1" t="s">
        <v>261</v>
      </c>
      <c r="I79" s="1" t="s">
        <v>474</v>
      </c>
      <c r="J79" s="80"/>
      <c r="K79" s="80"/>
      <c r="L79" s="80"/>
      <c r="M79" s="80"/>
      <c r="N79" s="80"/>
      <c r="O79" s="80"/>
      <c r="P79" s="80"/>
      <c r="Q79" s="80"/>
    </row>
    <row r="80" spans="1:17" customFormat="1" ht="28.5">
      <c r="A80" t="s">
        <v>239</v>
      </c>
      <c r="B80" t="s">
        <v>240</v>
      </c>
      <c r="C80" t="s">
        <v>472</v>
      </c>
      <c r="D80" s="5">
        <v>45936</v>
      </c>
      <c r="E80" s="5">
        <v>45936</v>
      </c>
      <c r="F80" s="120" t="s">
        <v>475</v>
      </c>
      <c r="G80" s="1"/>
      <c r="H80" s="1" t="s">
        <v>476</v>
      </c>
      <c r="I80" s="1" t="s">
        <v>477</v>
      </c>
      <c r="J80" s="80"/>
      <c r="K80" s="80"/>
      <c r="L80" s="80"/>
      <c r="M80" s="80"/>
      <c r="N80" s="80"/>
      <c r="O80" s="80"/>
      <c r="P80" s="80"/>
      <c r="Q80" s="80"/>
    </row>
    <row r="81" spans="1:17" customFormat="1" ht="28.5">
      <c r="A81" t="s">
        <v>239</v>
      </c>
      <c r="B81" t="s">
        <v>240</v>
      </c>
      <c r="C81" t="s">
        <v>478</v>
      </c>
      <c r="D81" s="5">
        <v>45936</v>
      </c>
      <c r="E81" s="5">
        <v>45936</v>
      </c>
      <c r="F81" s="120" t="s">
        <v>479</v>
      </c>
      <c r="G81" s="1"/>
      <c r="H81" s="1" t="s">
        <v>480</v>
      </c>
      <c r="I81" s="1" t="s">
        <v>481</v>
      </c>
      <c r="J81" s="80"/>
      <c r="K81" s="80"/>
      <c r="L81" s="80"/>
      <c r="M81" s="80"/>
      <c r="N81" s="80"/>
      <c r="O81" s="80"/>
      <c r="P81" s="80"/>
      <c r="Q81" s="80"/>
    </row>
    <row r="82" spans="1:17" customFormat="1" ht="42.75">
      <c r="A82" t="s">
        <v>239</v>
      </c>
      <c r="B82" t="s">
        <v>240</v>
      </c>
      <c r="C82" t="s">
        <v>482</v>
      </c>
      <c r="D82" s="5">
        <v>45936</v>
      </c>
      <c r="E82" s="5">
        <v>45936</v>
      </c>
      <c r="F82" s="120" t="s">
        <v>483</v>
      </c>
      <c r="G82" s="1"/>
      <c r="H82" s="1" t="s">
        <v>277</v>
      </c>
      <c r="I82" s="1" t="s">
        <v>484</v>
      </c>
      <c r="J82" s="80"/>
      <c r="K82" s="80"/>
      <c r="L82" s="80"/>
      <c r="M82" s="80"/>
      <c r="N82" s="80"/>
      <c r="O82" s="80"/>
      <c r="P82" s="80"/>
      <c r="Q82" s="80"/>
    </row>
    <row r="83" spans="1:17" customFormat="1">
      <c r="A83" t="s">
        <v>239</v>
      </c>
      <c r="B83" t="s">
        <v>240</v>
      </c>
      <c r="C83" t="s">
        <v>485</v>
      </c>
      <c r="D83" s="5">
        <v>45936</v>
      </c>
      <c r="E83" s="5">
        <v>45936</v>
      </c>
      <c r="F83" s="120" t="s">
        <v>486</v>
      </c>
      <c r="G83" s="1" t="s">
        <v>399</v>
      </c>
      <c r="H83" s="1"/>
      <c r="I83" s="1" t="s">
        <v>487</v>
      </c>
      <c r="J83" s="80"/>
      <c r="K83" s="80"/>
      <c r="L83" s="80"/>
      <c r="M83" s="80"/>
      <c r="N83" s="80"/>
      <c r="O83" s="80"/>
      <c r="P83" s="80"/>
      <c r="Q83" s="80"/>
    </row>
    <row r="84" spans="1:17" customFormat="1" ht="28.5">
      <c r="A84" t="s">
        <v>239</v>
      </c>
      <c r="B84" t="s">
        <v>240</v>
      </c>
      <c r="C84" t="s">
        <v>488</v>
      </c>
      <c r="D84" s="5">
        <v>45936</v>
      </c>
      <c r="E84" s="5">
        <v>45936</v>
      </c>
      <c r="F84" s="120" t="s">
        <v>489</v>
      </c>
      <c r="G84" s="1" t="s">
        <v>490</v>
      </c>
      <c r="H84" s="1"/>
      <c r="I84" s="1" t="s">
        <v>491</v>
      </c>
      <c r="J84" s="80"/>
      <c r="K84" s="80"/>
      <c r="L84" s="80"/>
      <c r="M84" s="80"/>
      <c r="N84" s="80"/>
      <c r="O84" s="80"/>
      <c r="P84" s="80"/>
      <c r="Q84" s="80"/>
    </row>
    <row r="85" spans="1:17" customFormat="1" ht="28.5">
      <c r="A85" t="s">
        <v>239</v>
      </c>
      <c r="B85" t="s">
        <v>240</v>
      </c>
      <c r="C85" t="s">
        <v>492</v>
      </c>
      <c r="D85" s="5">
        <v>45936</v>
      </c>
      <c r="E85" s="5">
        <v>45936</v>
      </c>
      <c r="F85" s="120" t="s">
        <v>493</v>
      </c>
      <c r="G85" s="1"/>
      <c r="H85" s="1" t="s">
        <v>261</v>
      </c>
      <c r="I85" s="1" t="s">
        <v>494</v>
      </c>
      <c r="J85" s="80"/>
      <c r="K85" s="80"/>
      <c r="L85" s="80"/>
      <c r="M85" s="80"/>
      <c r="N85" s="80"/>
      <c r="O85" s="80"/>
      <c r="P85" s="80"/>
      <c r="Q85" s="80"/>
    </row>
    <row r="86" spans="1:17" customFormat="1" ht="28.5">
      <c r="A86" t="s">
        <v>239</v>
      </c>
      <c r="B86" t="s">
        <v>240</v>
      </c>
      <c r="C86" t="s">
        <v>492</v>
      </c>
      <c r="D86" s="5">
        <v>45936</v>
      </c>
      <c r="E86" s="5">
        <v>45936</v>
      </c>
      <c r="F86" s="120" t="s">
        <v>495</v>
      </c>
      <c r="G86" s="1"/>
      <c r="H86" s="1" t="s">
        <v>496</v>
      </c>
      <c r="I86" s="1" t="s">
        <v>497</v>
      </c>
      <c r="J86" s="80"/>
      <c r="K86" s="80"/>
      <c r="L86" s="80"/>
      <c r="M86" s="80"/>
      <c r="N86" s="80"/>
      <c r="O86" s="80"/>
      <c r="P86" s="80"/>
      <c r="Q86" s="80"/>
    </row>
    <row r="87" spans="1:17" customFormat="1" ht="28.5">
      <c r="A87" t="s">
        <v>239</v>
      </c>
      <c r="B87" t="s">
        <v>240</v>
      </c>
      <c r="C87" t="s">
        <v>498</v>
      </c>
      <c r="D87" s="5">
        <v>45936</v>
      </c>
      <c r="E87" s="5">
        <v>45936</v>
      </c>
      <c r="F87" s="120" t="s">
        <v>499</v>
      </c>
      <c r="G87" s="1"/>
      <c r="H87" s="1" t="s">
        <v>261</v>
      </c>
      <c r="I87" s="1" t="s">
        <v>500</v>
      </c>
      <c r="J87" s="80"/>
      <c r="K87" s="80"/>
      <c r="L87" s="80"/>
      <c r="M87" s="80"/>
      <c r="N87" s="80"/>
      <c r="O87" s="80"/>
      <c r="P87" s="80"/>
      <c r="Q87" s="80"/>
    </row>
    <row r="88" spans="1:17" customFormat="1" ht="28.5">
      <c r="A88" t="s">
        <v>239</v>
      </c>
      <c r="B88" t="s">
        <v>240</v>
      </c>
      <c r="C88" t="s">
        <v>498</v>
      </c>
      <c r="D88" s="5">
        <v>45936</v>
      </c>
      <c r="E88" s="5">
        <v>45936</v>
      </c>
      <c r="F88" s="120" t="s">
        <v>501</v>
      </c>
      <c r="G88" s="1"/>
      <c r="H88" s="1" t="s">
        <v>502</v>
      </c>
      <c r="I88" s="1" t="s">
        <v>503</v>
      </c>
      <c r="J88" s="80"/>
      <c r="K88" s="80"/>
      <c r="L88" s="80"/>
      <c r="M88" s="80"/>
      <c r="N88" s="80"/>
      <c r="O88" s="80"/>
      <c r="P88" s="80"/>
      <c r="Q88" s="80"/>
    </row>
    <row r="89" spans="1:17" customFormat="1" ht="28.5">
      <c r="A89" t="s">
        <v>239</v>
      </c>
      <c r="B89" t="s">
        <v>240</v>
      </c>
      <c r="C89" t="s">
        <v>504</v>
      </c>
      <c r="D89" s="5">
        <v>45936</v>
      </c>
      <c r="E89" s="5">
        <v>45936</v>
      </c>
      <c r="F89" s="120" t="s">
        <v>505</v>
      </c>
      <c r="G89" s="1"/>
      <c r="H89" s="1" t="s">
        <v>254</v>
      </c>
      <c r="I89" s="1" t="s">
        <v>506</v>
      </c>
      <c r="J89" s="80"/>
      <c r="K89" s="80"/>
      <c r="L89" s="80"/>
      <c r="M89" s="80"/>
      <c r="N89" s="80"/>
      <c r="O89" s="80"/>
      <c r="P89" s="80"/>
      <c r="Q89" s="80"/>
    </row>
    <row r="90" spans="1:17" customFormat="1" ht="42.75">
      <c r="A90" t="s">
        <v>239</v>
      </c>
      <c r="B90" t="s">
        <v>240</v>
      </c>
      <c r="C90" t="s">
        <v>504</v>
      </c>
      <c r="D90" s="5">
        <v>45936</v>
      </c>
      <c r="E90" s="5">
        <v>45936</v>
      </c>
      <c r="F90" s="120" t="s">
        <v>507</v>
      </c>
      <c r="G90" s="1"/>
      <c r="H90" s="1" t="s">
        <v>508</v>
      </c>
      <c r="I90" s="1" t="s">
        <v>509</v>
      </c>
      <c r="J90" s="80"/>
      <c r="K90" s="80"/>
      <c r="L90" s="80"/>
      <c r="M90" s="80"/>
      <c r="N90" s="80"/>
      <c r="O90" s="80"/>
      <c r="P90" s="80"/>
      <c r="Q90" s="80"/>
    </row>
    <row r="91" spans="1:17" customFormat="1" ht="28.5">
      <c r="A91" t="s">
        <v>239</v>
      </c>
      <c r="B91" t="s">
        <v>240</v>
      </c>
      <c r="C91" t="s">
        <v>510</v>
      </c>
      <c r="D91" s="5">
        <v>45936</v>
      </c>
      <c r="E91" s="5">
        <v>45936</v>
      </c>
      <c r="F91" s="120" t="s">
        <v>511</v>
      </c>
      <c r="G91" s="1"/>
      <c r="H91" s="1" t="s">
        <v>254</v>
      </c>
      <c r="I91" s="1" t="s">
        <v>512</v>
      </c>
      <c r="J91" s="80"/>
      <c r="K91" s="80"/>
      <c r="L91" s="80"/>
      <c r="M91" s="80"/>
      <c r="N91" s="80"/>
      <c r="O91" s="80"/>
      <c r="P91" s="80"/>
      <c r="Q91" s="80"/>
    </row>
    <row r="92" spans="1:17" customFormat="1" ht="42.75">
      <c r="A92" t="s">
        <v>239</v>
      </c>
      <c r="B92" t="s">
        <v>240</v>
      </c>
      <c r="C92" t="s">
        <v>510</v>
      </c>
      <c r="D92" s="5">
        <v>45936</v>
      </c>
      <c r="E92" s="5">
        <v>45936</v>
      </c>
      <c r="F92" s="120" t="s">
        <v>513</v>
      </c>
      <c r="G92" s="1"/>
      <c r="H92" s="1" t="s">
        <v>295</v>
      </c>
      <c r="I92" s="1" t="s">
        <v>514</v>
      </c>
      <c r="J92" s="80"/>
      <c r="K92" s="80"/>
      <c r="L92" s="80"/>
      <c r="M92" s="80"/>
      <c r="N92" s="80"/>
      <c r="O92" s="80"/>
      <c r="P92" s="80"/>
      <c r="Q92" s="80"/>
    </row>
    <row r="93" spans="1:17" customFormat="1" ht="28.5">
      <c r="A93" t="s">
        <v>239</v>
      </c>
      <c r="B93" t="s">
        <v>240</v>
      </c>
      <c r="C93" t="s">
        <v>515</v>
      </c>
      <c r="D93" s="5">
        <v>45936</v>
      </c>
      <c r="E93" s="5">
        <v>45936</v>
      </c>
      <c r="F93" s="120" t="s">
        <v>516</v>
      </c>
      <c r="G93" s="1" t="s">
        <v>517</v>
      </c>
      <c r="H93" s="1"/>
      <c r="I93" s="1" t="s">
        <v>518</v>
      </c>
      <c r="J93" s="80"/>
      <c r="K93" s="80"/>
      <c r="L93" s="80"/>
      <c r="M93" s="80"/>
      <c r="N93" s="80"/>
      <c r="O93" s="80"/>
      <c r="P93" s="80"/>
      <c r="Q93" s="80"/>
    </row>
    <row r="94" spans="1:17" customFormat="1">
      <c r="A94" t="s">
        <v>239</v>
      </c>
      <c r="B94" t="s">
        <v>240</v>
      </c>
      <c r="C94" t="s">
        <v>519</v>
      </c>
      <c r="D94" s="5">
        <v>45936</v>
      </c>
      <c r="E94" s="5">
        <v>45936</v>
      </c>
      <c r="F94" s="120" t="s">
        <v>520</v>
      </c>
      <c r="G94" s="1" t="s">
        <v>521</v>
      </c>
      <c r="H94" s="1"/>
      <c r="I94" s="1" t="s">
        <v>522</v>
      </c>
      <c r="J94" s="80"/>
      <c r="K94" s="80"/>
      <c r="L94" s="80"/>
      <c r="M94" s="80"/>
      <c r="N94" s="80"/>
      <c r="O94" s="80"/>
      <c r="P94" s="80"/>
      <c r="Q94" s="80"/>
    </row>
    <row r="95" spans="1:17" customFormat="1" ht="28.5">
      <c r="A95" t="s">
        <v>239</v>
      </c>
      <c r="B95" t="s">
        <v>240</v>
      </c>
      <c r="C95" t="s">
        <v>523</v>
      </c>
      <c r="D95" s="5">
        <v>45936</v>
      </c>
      <c r="E95" s="5">
        <v>45936</v>
      </c>
      <c r="F95" s="120" t="s">
        <v>524</v>
      </c>
      <c r="G95" s="1"/>
      <c r="H95" s="1" t="s">
        <v>261</v>
      </c>
      <c r="I95" s="1" t="s">
        <v>525</v>
      </c>
      <c r="J95" s="80"/>
      <c r="K95" s="80"/>
      <c r="L95" s="80"/>
      <c r="M95" s="80"/>
      <c r="N95" s="80"/>
      <c r="O95" s="80"/>
      <c r="P95" s="80"/>
      <c r="Q95" s="80"/>
    </row>
    <row r="96" spans="1:17" customFormat="1" ht="42.75">
      <c r="A96" t="s">
        <v>239</v>
      </c>
      <c r="B96" t="s">
        <v>240</v>
      </c>
      <c r="C96" t="s">
        <v>523</v>
      </c>
      <c r="D96" s="5">
        <v>45936</v>
      </c>
      <c r="E96" s="5">
        <v>45936</v>
      </c>
      <c r="F96" s="120" t="s">
        <v>526</v>
      </c>
      <c r="G96" s="1"/>
      <c r="H96" s="1" t="s">
        <v>527</v>
      </c>
      <c r="I96" s="1" t="s">
        <v>528</v>
      </c>
      <c r="J96" s="80"/>
      <c r="K96" s="80"/>
      <c r="L96" s="80"/>
      <c r="M96" s="80"/>
      <c r="N96" s="80"/>
      <c r="O96" s="80"/>
      <c r="P96" s="80"/>
      <c r="Q96" s="80"/>
    </row>
    <row r="97" spans="1:17" customFormat="1" ht="28.5">
      <c r="A97" t="s">
        <v>239</v>
      </c>
      <c r="B97" t="s">
        <v>240</v>
      </c>
      <c r="C97" t="s">
        <v>529</v>
      </c>
      <c r="D97" s="5">
        <v>45937</v>
      </c>
      <c r="E97" s="5">
        <v>45937</v>
      </c>
      <c r="F97" s="120" t="s">
        <v>530</v>
      </c>
      <c r="G97" s="1"/>
      <c r="H97" s="1" t="s">
        <v>261</v>
      </c>
      <c r="I97" s="1" t="s">
        <v>531</v>
      </c>
      <c r="J97" s="80"/>
      <c r="K97" s="80"/>
      <c r="L97" s="80"/>
      <c r="M97" s="80"/>
      <c r="N97" s="80"/>
      <c r="O97" s="80"/>
      <c r="P97" s="80"/>
      <c r="Q97" s="80"/>
    </row>
    <row r="98" spans="1:17" customFormat="1" ht="42.75">
      <c r="A98" t="s">
        <v>239</v>
      </c>
      <c r="B98" t="s">
        <v>240</v>
      </c>
      <c r="C98" t="s">
        <v>529</v>
      </c>
      <c r="D98" s="5">
        <v>45937</v>
      </c>
      <c r="E98" s="5">
        <v>45937</v>
      </c>
      <c r="F98" s="120" t="s">
        <v>532</v>
      </c>
      <c r="G98" s="1"/>
      <c r="H98" s="1" t="s">
        <v>533</v>
      </c>
      <c r="I98" s="1" t="s">
        <v>534</v>
      </c>
      <c r="J98" s="80"/>
      <c r="K98" s="80"/>
      <c r="L98" s="80"/>
      <c r="M98" s="80"/>
      <c r="N98" s="80"/>
      <c r="O98" s="80"/>
      <c r="P98" s="80"/>
      <c r="Q98" s="80"/>
    </row>
    <row r="99" spans="1:17" customFormat="1" ht="28.5">
      <c r="A99" t="s">
        <v>239</v>
      </c>
      <c r="B99" t="s">
        <v>240</v>
      </c>
      <c r="C99" t="s">
        <v>535</v>
      </c>
      <c r="D99" s="5">
        <v>45937</v>
      </c>
      <c r="E99" s="5">
        <v>45937</v>
      </c>
      <c r="F99" s="120" t="s">
        <v>536</v>
      </c>
      <c r="G99" s="1"/>
      <c r="H99" s="1" t="s">
        <v>261</v>
      </c>
      <c r="I99" s="1" t="s">
        <v>537</v>
      </c>
      <c r="J99" s="80"/>
      <c r="K99" s="80"/>
      <c r="L99" s="80"/>
      <c r="M99" s="80"/>
      <c r="N99" s="80"/>
      <c r="O99" s="80"/>
      <c r="P99" s="80"/>
      <c r="Q99" s="80"/>
    </row>
    <row r="100" spans="1:17" customFormat="1" ht="42.75">
      <c r="A100" t="s">
        <v>239</v>
      </c>
      <c r="B100" t="s">
        <v>240</v>
      </c>
      <c r="C100" t="s">
        <v>535</v>
      </c>
      <c r="D100" s="5">
        <v>45937</v>
      </c>
      <c r="E100" s="5">
        <v>45937</v>
      </c>
      <c r="F100" s="120" t="s">
        <v>538</v>
      </c>
      <c r="G100" s="1"/>
      <c r="H100" s="1" t="s">
        <v>433</v>
      </c>
      <c r="I100" s="1" t="s">
        <v>539</v>
      </c>
      <c r="J100" s="80"/>
      <c r="K100" s="80"/>
      <c r="L100" s="80"/>
      <c r="M100" s="80"/>
      <c r="N100" s="80"/>
      <c r="O100" s="80"/>
      <c r="P100" s="80"/>
      <c r="Q100" s="80"/>
    </row>
    <row r="101" spans="1:17" customFormat="1">
      <c r="A101" t="s">
        <v>540</v>
      </c>
      <c r="B101" t="s">
        <v>240</v>
      </c>
      <c r="C101" t="s">
        <v>541</v>
      </c>
      <c r="D101" s="5">
        <v>45937</v>
      </c>
      <c r="E101" s="5">
        <v>45937</v>
      </c>
      <c r="F101" s="120" t="s">
        <v>542</v>
      </c>
      <c r="G101" s="1" t="s">
        <v>543</v>
      </c>
      <c r="H101" s="1"/>
      <c r="I101" s="1" t="s">
        <v>544</v>
      </c>
      <c r="J101" s="80"/>
      <c r="K101" s="80"/>
      <c r="L101" s="80"/>
      <c r="M101" s="80"/>
      <c r="N101" s="80"/>
      <c r="O101" s="80"/>
      <c r="P101" s="80"/>
      <c r="Q101" s="80"/>
    </row>
    <row r="102" spans="1:17" customFormat="1" ht="28.5">
      <c r="A102" t="s">
        <v>239</v>
      </c>
      <c r="B102" t="s">
        <v>240</v>
      </c>
      <c r="C102" t="s">
        <v>545</v>
      </c>
      <c r="D102" s="5">
        <v>45937</v>
      </c>
      <c r="E102" s="5">
        <v>45937</v>
      </c>
      <c r="F102" s="120" t="s">
        <v>546</v>
      </c>
      <c r="G102" s="1"/>
      <c r="H102" s="1" t="s">
        <v>261</v>
      </c>
      <c r="I102" s="1" t="s">
        <v>547</v>
      </c>
      <c r="J102" s="80"/>
      <c r="K102" s="80"/>
      <c r="L102" s="80"/>
      <c r="M102" s="80"/>
      <c r="N102" s="80"/>
      <c r="O102" s="80"/>
      <c r="P102" s="80"/>
      <c r="Q102" s="80"/>
    </row>
    <row r="103" spans="1:17" customFormat="1" ht="42.75">
      <c r="A103" t="s">
        <v>239</v>
      </c>
      <c r="B103" t="s">
        <v>240</v>
      </c>
      <c r="C103" t="s">
        <v>545</v>
      </c>
      <c r="D103" s="5">
        <v>45937</v>
      </c>
      <c r="E103" s="5">
        <v>45937</v>
      </c>
      <c r="F103" s="120" t="s">
        <v>548</v>
      </c>
      <c r="G103" s="1"/>
      <c r="H103" s="1" t="s">
        <v>264</v>
      </c>
      <c r="I103" s="1" t="s">
        <v>549</v>
      </c>
      <c r="J103" s="80"/>
      <c r="K103" s="80"/>
      <c r="L103" s="80"/>
      <c r="M103" s="80"/>
      <c r="N103" s="80"/>
      <c r="O103" s="80"/>
      <c r="P103" s="80"/>
      <c r="Q103" s="80"/>
    </row>
    <row r="104" spans="1:17" customFormat="1" ht="28.5">
      <c r="A104" t="s">
        <v>239</v>
      </c>
      <c r="B104" t="s">
        <v>240</v>
      </c>
      <c r="C104" t="s">
        <v>550</v>
      </c>
      <c r="D104" s="5">
        <v>45938</v>
      </c>
      <c r="E104" s="5">
        <v>45938</v>
      </c>
      <c r="F104" s="120" t="s">
        <v>551</v>
      </c>
      <c r="G104" s="1"/>
      <c r="H104" s="1" t="s">
        <v>277</v>
      </c>
      <c r="I104" s="1" t="s">
        <v>552</v>
      </c>
      <c r="J104" s="80"/>
      <c r="K104" s="80"/>
      <c r="L104" s="80"/>
      <c r="M104" s="80"/>
      <c r="N104" s="80"/>
      <c r="O104" s="80"/>
      <c r="P104" s="80"/>
      <c r="Q104" s="80"/>
    </row>
    <row r="105" spans="1:17" customFormat="1" ht="28.5">
      <c r="A105" t="s">
        <v>239</v>
      </c>
      <c r="B105" t="s">
        <v>240</v>
      </c>
      <c r="C105" t="s">
        <v>553</v>
      </c>
      <c r="D105" s="5">
        <v>45938</v>
      </c>
      <c r="E105" s="5">
        <v>45938</v>
      </c>
      <c r="F105" s="120" t="s">
        <v>554</v>
      </c>
      <c r="G105" s="1"/>
      <c r="H105" s="1" t="s">
        <v>243</v>
      </c>
      <c r="I105" s="1" t="s">
        <v>555</v>
      </c>
      <c r="J105" s="80"/>
      <c r="K105" s="80"/>
      <c r="L105" s="80"/>
      <c r="M105" s="80"/>
      <c r="N105" s="80"/>
      <c r="O105" s="80"/>
      <c r="P105" s="80"/>
      <c r="Q105" s="80"/>
    </row>
    <row r="106" spans="1:17" customFormat="1" ht="42.75">
      <c r="A106" t="s">
        <v>239</v>
      </c>
      <c r="B106" t="s">
        <v>240</v>
      </c>
      <c r="C106" t="s">
        <v>553</v>
      </c>
      <c r="D106" s="5">
        <v>45938</v>
      </c>
      <c r="E106" s="5">
        <v>45938</v>
      </c>
      <c r="F106" s="120" t="s">
        <v>556</v>
      </c>
      <c r="G106" s="1"/>
      <c r="H106" s="1" t="s">
        <v>557</v>
      </c>
      <c r="I106" s="1" t="s">
        <v>558</v>
      </c>
      <c r="J106" s="80"/>
      <c r="K106" s="80"/>
      <c r="L106" s="80"/>
      <c r="M106" s="80"/>
      <c r="N106" s="80"/>
      <c r="O106" s="80"/>
      <c r="P106" s="80"/>
      <c r="Q106" s="80"/>
    </row>
    <row r="107" spans="1:17" customFormat="1" ht="28.5">
      <c r="A107" t="s">
        <v>239</v>
      </c>
      <c r="B107" t="s">
        <v>240</v>
      </c>
      <c r="C107" t="s">
        <v>559</v>
      </c>
      <c r="D107" s="5">
        <v>45938</v>
      </c>
      <c r="E107" s="5">
        <v>45938</v>
      </c>
      <c r="F107" s="120" t="s">
        <v>551</v>
      </c>
      <c r="G107" s="1"/>
      <c r="H107" s="1" t="s">
        <v>277</v>
      </c>
      <c r="I107" s="1" t="s">
        <v>560</v>
      </c>
      <c r="J107" s="80"/>
      <c r="K107" s="80"/>
      <c r="L107" s="80"/>
      <c r="M107" s="80"/>
      <c r="N107" s="80"/>
      <c r="O107" s="80"/>
      <c r="P107" s="80"/>
      <c r="Q107" s="80"/>
    </row>
    <row r="108" spans="1:17" customFormat="1">
      <c r="A108" t="s">
        <v>239</v>
      </c>
      <c r="B108" t="s">
        <v>240</v>
      </c>
      <c r="C108" t="s">
        <v>561</v>
      </c>
      <c r="D108" s="5">
        <v>45939</v>
      </c>
      <c r="E108" s="5">
        <v>45939</v>
      </c>
      <c r="F108" s="120" t="s">
        <v>562</v>
      </c>
      <c r="G108" s="1" t="s">
        <v>563</v>
      </c>
      <c r="H108" s="1"/>
      <c r="I108" s="1" t="s">
        <v>564</v>
      </c>
      <c r="J108" s="80"/>
      <c r="K108" s="80"/>
      <c r="L108" s="80"/>
      <c r="M108" s="80"/>
      <c r="N108" s="80"/>
      <c r="O108" s="80"/>
      <c r="P108" s="80"/>
      <c r="Q108" s="80"/>
    </row>
    <row r="109" spans="1:17" customFormat="1" ht="28.5">
      <c r="A109" t="s">
        <v>239</v>
      </c>
      <c r="B109" t="s">
        <v>240</v>
      </c>
      <c r="C109" t="s">
        <v>565</v>
      </c>
      <c r="D109" s="5">
        <v>45939</v>
      </c>
      <c r="E109" s="5">
        <v>45939</v>
      </c>
      <c r="F109" s="120" t="s">
        <v>566</v>
      </c>
      <c r="G109" s="1"/>
      <c r="H109" s="1" t="s">
        <v>261</v>
      </c>
      <c r="I109" s="1" t="s">
        <v>567</v>
      </c>
      <c r="J109" s="80"/>
      <c r="K109" s="80"/>
      <c r="L109" s="80"/>
      <c r="M109" s="80"/>
      <c r="N109" s="80"/>
      <c r="O109" s="80"/>
      <c r="P109" s="80"/>
      <c r="Q109" s="80"/>
    </row>
    <row r="110" spans="1:17" customFormat="1" ht="42.75">
      <c r="A110" t="s">
        <v>239</v>
      </c>
      <c r="B110" t="s">
        <v>240</v>
      </c>
      <c r="C110" t="s">
        <v>565</v>
      </c>
      <c r="D110" s="5">
        <v>45939</v>
      </c>
      <c r="E110" s="5">
        <v>45939</v>
      </c>
      <c r="F110" s="120" t="s">
        <v>568</v>
      </c>
      <c r="G110" s="1"/>
      <c r="H110" s="1" t="s">
        <v>368</v>
      </c>
      <c r="I110" s="1" t="s">
        <v>569</v>
      </c>
      <c r="J110" s="80"/>
      <c r="K110" s="80"/>
      <c r="L110" s="80"/>
      <c r="M110" s="80"/>
      <c r="N110" s="80"/>
      <c r="O110" s="80"/>
      <c r="P110" s="80"/>
      <c r="Q110" s="80"/>
    </row>
    <row r="111" spans="1:17" customFormat="1" ht="28.5">
      <c r="A111" t="s">
        <v>239</v>
      </c>
      <c r="B111" t="s">
        <v>240</v>
      </c>
      <c r="C111" t="s">
        <v>570</v>
      </c>
      <c r="D111" s="5">
        <v>45939</v>
      </c>
      <c r="E111" s="5">
        <v>45939</v>
      </c>
      <c r="F111" s="120" t="s">
        <v>571</v>
      </c>
      <c r="G111" s="1"/>
      <c r="H111" s="1" t="s">
        <v>261</v>
      </c>
      <c r="I111" s="1" t="s">
        <v>572</v>
      </c>
      <c r="J111" s="80"/>
      <c r="K111" s="80"/>
      <c r="L111" s="80"/>
      <c r="M111" s="80"/>
      <c r="N111" s="80"/>
      <c r="O111" s="80"/>
      <c r="P111" s="80"/>
      <c r="Q111" s="80"/>
    </row>
    <row r="112" spans="1:17" customFormat="1" ht="42.75">
      <c r="A112" t="s">
        <v>239</v>
      </c>
      <c r="B112" t="s">
        <v>240</v>
      </c>
      <c r="C112" t="s">
        <v>570</v>
      </c>
      <c r="D112" s="5">
        <v>45939</v>
      </c>
      <c r="E112" s="5">
        <v>45939</v>
      </c>
      <c r="F112" s="120" t="s">
        <v>573</v>
      </c>
      <c r="G112" s="1"/>
      <c r="H112" s="1" t="s">
        <v>574</v>
      </c>
      <c r="I112" s="1" t="s">
        <v>575</v>
      </c>
      <c r="J112" s="80"/>
      <c r="K112" s="80"/>
      <c r="L112" s="80"/>
      <c r="M112" s="80"/>
      <c r="N112" s="80"/>
      <c r="O112" s="80"/>
      <c r="P112" s="80"/>
      <c r="Q112" s="80"/>
    </row>
    <row r="113" spans="1:17" customFormat="1" ht="28.5">
      <c r="A113" t="s">
        <v>239</v>
      </c>
      <c r="B113" t="s">
        <v>240</v>
      </c>
      <c r="C113" t="s">
        <v>576</v>
      </c>
      <c r="D113" s="5">
        <v>45940</v>
      </c>
      <c r="E113" s="5">
        <v>45940</v>
      </c>
      <c r="F113" s="120" t="s">
        <v>551</v>
      </c>
      <c r="G113" s="1"/>
      <c r="H113" s="1" t="s">
        <v>368</v>
      </c>
      <c r="I113" s="1" t="s">
        <v>577</v>
      </c>
      <c r="J113" s="80"/>
      <c r="K113" s="80"/>
      <c r="L113" s="80"/>
      <c r="M113" s="80"/>
      <c r="N113" s="80"/>
      <c r="O113" s="80"/>
      <c r="P113" s="80"/>
      <c r="Q113" s="80"/>
    </row>
    <row r="114" spans="1:17" customFormat="1" ht="42.75">
      <c r="A114" t="s">
        <v>239</v>
      </c>
      <c r="B114" t="s">
        <v>240</v>
      </c>
      <c r="C114" t="s">
        <v>578</v>
      </c>
      <c r="D114" s="5">
        <v>45940</v>
      </c>
      <c r="E114" s="5">
        <v>45940</v>
      </c>
      <c r="F114" s="120" t="s">
        <v>579</v>
      </c>
      <c r="G114" s="1"/>
      <c r="H114" s="1" t="s">
        <v>580</v>
      </c>
      <c r="I114" s="1" t="s">
        <v>581</v>
      </c>
      <c r="J114" s="80"/>
      <c r="K114" s="80"/>
      <c r="L114" s="80"/>
      <c r="M114" s="80"/>
      <c r="N114" s="80"/>
      <c r="O114" s="80"/>
      <c r="P114" s="80"/>
      <c r="Q114" s="80"/>
    </row>
    <row r="115" spans="1:17" customFormat="1" ht="42.75">
      <c r="A115" t="s">
        <v>239</v>
      </c>
      <c r="B115" t="s">
        <v>240</v>
      </c>
      <c r="C115" t="s">
        <v>582</v>
      </c>
      <c r="D115" s="5">
        <v>45940</v>
      </c>
      <c r="E115" s="5">
        <v>45940</v>
      </c>
      <c r="F115" s="120" t="s">
        <v>583</v>
      </c>
      <c r="G115" s="1"/>
      <c r="H115" s="1" t="s">
        <v>584</v>
      </c>
      <c r="I115" s="1" t="s">
        <v>585</v>
      </c>
      <c r="J115" s="80"/>
      <c r="K115" s="80"/>
      <c r="L115" s="80"/>
      <c r="M115" s="80"/>
      <c r="N115" s="80"/>
      <c r="O115" s="80"/>
      <c r="P115" s="80"/>
      <c r="Q115" s="80"/>
    </row>
    <row r="116" spans="1:17" customFormat="1" ht="28.5">
      <c r="A116" t="s">
        <v>239</v>
      </c>
      <c r="B116" t="s">
        <v>240</v>
      </c>
      <c r="C116" t="s">
        <v>586</v>
      </c>
      <c r="D116" s="5">
        <v>45940</v>
      </c>
      <c r="E116" s="5">
        <v>45940</v>
      </c>
      <c r="F116" s="120" t="s">
        <v>587</v>
      </c>
      <c r="G116" s="1" t="s">
        <v>588</v>
      </c>
      <c r="H116" s="1"/>
      <c r="I116" s="1" t="s">
        <v>589</v>
      </c>
      <c r="J116" s="80"/>
      <c r="K116" s="80"/>
      <c r="L116" s="80"/>
      <c r="M116" s="80"/>
      <c r="N116" s="80"/>
      <c r="O116" s="80"/>
      <c r="P116" s="80"/>
      <c r="Q116" s="80"/>
    </row>
    <row r="117" spans="1:17" customFormat="1" ht="28.5">
      <c r="A117" t="s">
        <v>239</v>
      </c>
      <c r="B117" t="s">
        <v>240</v>
      </c>
      <c r="C117" t="s">
        <v>590</v>
      </c>
      <c r="D117" s="5">
        <v>45940</v>
      </c>
      <c r="E117" s="5">
        <v>45940</v>
      </c>
      <c r="F117" s="120" t="s">
        <v>587</v>
      </c>
      <c r="G117" s="1" t="s">
        <v>368</v>
      </c>
      <c r="H117" s="1"/>
      <c r="I117" s="1" t="s">
        <v>591</v>
      </c>
      <c r="J117" s="80"/>
      <c r="K117" s="80"/>
      <c r="L117" s="80"/>
      <c r="M117" s="80"/>
      <c r="N117" s="80"/>
      <c r="O117" s="80"/>
      <c r="P117" s="80"/>
      <c r="Q117" s="80"/>
    </row>
    <row r="118" spans="1:17" customFormat="1" ht="28.5">
      <c r="A118" t="s">
        <v>239</v>
      </c>
      <c r="B118" t="s">
        <v>240</v>
      </c>
      <c r="C118" t="s">
        <v>592</v>
      </c>
      <c r="D118" s="5">
        <v>45940</v>
      </c>
      <c r="E118" s="5">
        <v>45940</v>
      </c>
      <c r="F118" s="120" t="s">
        <v>551</v>
      </c>
      <c r="G118" s="1"/>
      <c r="H118" s="1" t="s">
        <v>277</v>
      </c>
      <c r="I118" s="1" t="s">
        <v>593</v>
      </c>
      <c r="J118" s="80"/>
      <c r="K118" s="80"/>
      <c r="L118" s="80"/>
      <c r="M118" s="80"/>
      <c r="N118" s="80"/>
      <c r="O118" s="80"/>
      <c r="P118" s="80"/>
      <c r="Q118" s="80"/>
    </row>
    <row r="119" spans="1:17" customFormat="1" ht="28.5">
      <c r="A119" t="s">
        <v>239</v>
      </c>
      <c r="B119" t="s">
        <v>240</v>
      </c>
      <c r="C119" t="s">
        <v>594</v>
      </c>
      <c r="D119" s="5">
        <v>45940</v>
      </c>
      <c r="E119" s="5">
        <v>45940</v>
      </c>
      <c r="F119" s="120" t="s">
        <v>595</v>
      </c>
      <c r="G119" s="1"/>
      <c r="H119" s="1" t="s">
        <v>261</v>
      </c>
      <c r="I119" s="1" t="s">
        <v>596</v>
      </c>
      <c r="J119" s="80"/>
      <c r="K119" s="80"/>
      <c r="L119" s="80"/>
      <c r="M119" s="80"/>
      <c r="N119" s="80"/>
      <c r="O119" s="80"/>
      <c r="P119" s="80"/>
      <c r="Q119" s="80"/>
    </row>
    <row r="120" spans="1:17" customFormat="1" ht="42.75">
      <c r="A120" t="s">
        <v>239</v>
      </c>
      <c r="B120" t="s">
        <v>240</v>
      </c>
      <c r="C120" t="s">
        <v>594</v>
      </c>
      <c r="D120" s="5">
        <v>45940</v>
      </c>
      <c r="E120" s="5">
        <v>45940</v>
      </c>
      <c r="F120" s="120" t="s">
        <v>597</v>
      </c>
      <c r="G120" s="1"/>
      <c r="H120" s="1" t="s">
        <v>277</v>
      </c>
      <c r="I120" s="1" t="s">
        <v>598</v>
      </c>
      <c r="J120" s="80"/>
      <c r="K120" s="80"/>
      <c r="L120" s="80"/>
      <c r="M120" s="80"/>
      <c r="N120" s="80"/>
      <c r="O120" s="80"/>
      <c r="P120" s="80"/>
      <c r="Q120" s="80"/>
    </row>
    <row r="121" spans="1:17" customFormat="1" ht="42.75">
      <c r="A121" t="s">
        <v>239</v>
      </c>
      <c r="B121" t="s">
        <v>240</v>
      </c>
      <c r="C121" t="s">
        <v>599</v>
      </c>
      <c r="D121" s="5">
        <v>45940</v>
      </c>
      <c r="E121" s="5">
        <v>45940</v>
      </c>
      <c r="F121" s="120" t="s">
        <v>600</v>
      </c>
      <c r="G121" s="1"/>
      <c r="H121" s="1" t="s">
        <v>261</v>
      </c>
      <c r="I121" s="1" t="s">
        <v>601</v>
      </c>
      <c r="J121" s="80"/>
      <c r="K121" s="80"/>
      <c r="L121" s="80"/>
      <c r="M121" s="80"/>
      <c r="N121" s="80"/>
      <c r="O121" s="80"/>
      <c r="P121" s="80"/>
      <c r="Q121" s="80"/>
    </row>
    <row r="122" spans="1:17" customFormat="1" ht="42.75">
      <c r="A122" t="s">
        <v>239</v>
      </c>
      <c r="B122" t="s">
        <v>240</v>
      </c>
      <c r="C122" t="s">
        <v>599</v>
      </c>
      <c r="D122" s="5">
        <v>45940</v>
      </c>
      <c r="E122" s="5">
        <v>45940</v>
      </c>
      <c r="F122" s="120" t="s">
        <v>602</v>
      </c>
      <c r="G122" s="1"/>
      <c r="H122" s="1" t="s">
        <v>467</v>
      </c>
      <c r="I122" s="1" t="s">
        <v>603</v>
      </c>
      <c r="J122" s="80"/>
      <c r="K122" s="80"/>
      <c r="L122" s="80"/>
      <c r="M122" s="80"/>
      <c r="N122" s="80"/>
      <c r="O122" s="80"/>
      <c r="P122" s="80"/>
      <c r="Q122" s="80"/>
    </row>
    <row r="123" spans="1:17" customFormat="1" ht="28.5">
      <c r="A123" t="s">
        <v>239</v>
      </c>
      <c r="B123" t="s">
        <v>240</v>
      </c>
      <c r="C123" t="s">
        <v>604</v>
      </c>
      <c r="D123" s="5">
        <v>45943</v>
      </c>
      <c r="E123" s="5">
        <v>45943</v>
      </c>
      <c r="F123" s="120" t="s">
        <v>605</v>
      </c>
      <c r="G123" s="1"/>
      <c r="H123" s="1" t="s">
        <v>254</v>
      </c>
      <c r="I123" s="1" t="s">
        <v>606</v>
      </c>
      <c r="J123" s="80"/>
      <c r="K123" s="80"/>
      <c r="L123" s="80"/>
      <c r="M123" s="80"/>
      <c r="N123" s="80"/>
      <c r="O123" s="80"/>
      <c r="P123" s="80"/>
      <c r="Q123" s="80"/>
    </row>
    <row r="124" spans="1:17" customFormat="1" ht="42.75">
      <c r="A124" t="s">
        <v>239</v>
      </c>
      <c r="B124" t="s">
        <v>240</v>
      </c>
      <c r="C124" t="s">
        <v>604</v>
      </c>
      <c r="D124" s="5">
        <v>45943</v>
      </c>
      <c r="E124" s="5">
        <v>45943</v>
      </c>
      <c r="F124" s="120" t="s">
        <v>607</v>
      </c>
      <c r="G124" s="1"/>
      <c r="H124" s="1" t="s">
        <v>295</v>
      </c>
      <c r="I124" s="1" t="s">
        <v>608</v>
      </c>
      <c r="J124" s="80"/>
      <c r="K124" s="80"/>
      <c r="L124" s="80"/>
      <c r="M124" s="80"/>
      <c r="N124" s="80"/>
      <c r="O124" s="80"/>
      <c r="P124" s="80"/>
      <c r="Q124" s="80"/>
    </row>
    <row r="125" spans="1:17" customFormat="1" ht="28.5">
      <c r="A125" t="s">
        <v>239</v>
      </c>
      <c r="B125" t="s">
        <v>240</v>
      </c>
      <c r="C125" t="s">
        <v>609</v>
      </c>
      <c r="D125" s="5">
        <v>45943</v>
      </c>
      <c r="E125" s="5">
        <v>45943</v>
      </c>
      <c r="F125" s="120" t="s">
        <v>610</v>
      </c>
      <c r="G125" s="1" t="s">
        <v>427</v>
      </c>
      <c r="H125" s="1"/>
      <c r="I125" s="1" t="s">
        <v>611</v>
      </c>
      <c r="J125" s="80"/>
      <c r="K125" s="80"/>
      <c r="L125" s="80"/>
      <c r="M125" s="80"/>
      <c r="N125" s="80"/>
      <c r="O125" s="80"/>
      <c r="P125" s="80"/>
      <c r="Q125" s="80"/>
    </row>
    <row r="126" spans="1:17" customFormat="1" ht="28.5">
      <c r="A126" t="s">
        <v>239</v>
      </c>
      <c r="B126" t="s">
        <v>240</v>
      </c>
      <c r="C126" t="s">
        <v>612</v>
      </c>
      <c r="D126" s="5">
        <v>45943</v>
      </c>
      <c r="E126" s="5">
        <v>45943</v>
      </c>
      <c r="F126" s="120" t="s">
        <v>613</v>
      </c>
      <c r="G126" s="1"/>
      <c r="H126" s="1" t="s">
        <v>254</v>
      </c>
      <c r="I126" s="1" t="s">
        <v>614</v>
      </c>
      <c r="J126" s="80"/>
      <c r="K126" s="80"/>
      <c r="L126" s="80"/>
      <c r="M126" s="80"/>
      <c r="N126" s="80"/>
      <c r="O126" s="80"/>
      <c r="P126" s="80"/>
      <c r="Q126" s="80"/>
    </row>
    <row r="127" spans="1:17" customFormat="1" ht="28.5">
      <c r="A127" t="s">
        <v>239</v>
      </c>
      <c r="B127" t="s">
        <v>240</v>
      </c>
      <c r="C127" t="s">
        <v>612</v>
      </c>
      <c r="D127" s="5">
        <v>45943</v>
      </c>
      <c r="E127" s="5">
        <v>45943</v>
      </c>
      <c r="F127" s="120" t="s">
        <v>615</v>
      </c>
      <c r="G127" s="1"/>
      <c r="H127" s="1" t="s">
        <v>295</v>
      </c>
      <c r="I127" s="1" t="s">
        <v>616</v>
      </c>
      <c r="J127" s="80"/>
      <c r="K127" s="80"/>
      <c r="L127" s="80"/>
      <c r="M127" s="80"/>
      <c r="N127" s="80"/>
      <c r="O127" s="80"/>
      <c r="P127" s="80"/>
      <c r="Q127" s="80"/>
    </row>
    <row r="128" spans="1:17" customFormat="1" ht="28.5">
      <c r="A128" t="s">
        <v>239</v>
      </c>
      <c r="B128" t="s">
        <v>240</v>
      </c>
      <c r="C128" t="s">
        <v>617</v>
      </c>
      <c r="D128" s="5">
        <v>45943</v>
      </c>
      <c r="E128" s="5">
        <v>45943</v>
      </c>
      <c r="F128" s="120" t="s">
        <v>618</v>
      </c>
      <c r="G128" s="1" t="s">
        <v>619</v>
      </c>
      <c r="H128" s="1"/>
      <c r="I128" s="1" t="s">
        <v>620</v>
      </c>
      <c r="J128" s="80"/>
      <c r="K128" s="80"/>
      <c r="L128" s="80"/>
      <c r="M128" s="80"/>
      <c r="N128" s="80"/>
      <c r="O128" s="80"/>
      <c r="P128" s="80"/>
      <c r="Q128" s="80"/>
    </row>
    <row r="129" spans="1:17" customFormat="1" ht="28.5">
      <c r="A129" t="s">
        <v>239</v>
      </c>
      <c r="B129" t="s">
        <v>240</v>
      </c>
      <c r="C129" t="s">
        <v>621</v>
      </c>
      <c r="D129" s="5">
        <v>45943</v>
      </c>
      <c r="E129" s="5">
        <v>45943</v>
      </c>
      <c r="F129" s="120" t="s">
        <v>622</v>
      </c>
      <c r="G129" s="1"/>
      <c r="H129" s="1" t="s">
        <v>254</v>
      </c>
      <c r="I129" s="1" t="s">
        <v>623</v>
      </c>
      <c r="J129" s="80"/>
      <c r="K129" s="80"/>
      <c r="L129" s="80"/>
      <c r="M129" s="80"/>
      <c r="N129" s="80"/>
      <c r="O129" s="80"/>
      <c r="P129" s="80"/>
      <c r="Q129" s="80"/>
    </row>
    <row r="130" spans="1:17" customFormat="1" ht="28.5">
      <c r="A130" t="s">
        <v>239</v>
      </c>
      <c r="B130" t="s">
        <v>240</v>
      </c>
      <c r="C130" t="s">
        <v>621</v>
      </c>
      <c r="D130" s="5">
        <v>45943</v>
      </c>
      <c r="E130" s="5">
        <v>45943</v>
      </c>
      <c r="F130" s="120" t="s">
        <v>624</v>
      </c>
      <c r="G130" s="1"/>
      <c r="H130" s="1" t="s">
        <v>250</v>
      </c>
      <c r="I130" s="1" t="s">
        <v>625</v>
      </c>
      <c r="J130" s="80"/>
      <c r="K130" s="80"/>
      <c r="L130" s="80"/>
      <c r="M130" s="80"/>
      <c r="N130" s="80"/>
      <c r="O130" s="80"/>
      <c r="P130" s="80"/>
      <c r="Q130" s="80"/>
    </row>
    <row r="131" spans="1:17" customFormat="1" ht="28.5">
      <c r="A131" t="s">
        <v>239</v>
      </c>
      <c r="B131" t="s">
        <v>240</v>
      </c>
      <c r="C131" t="s">
        <v>626</v>
      </c>
      <c r="D131" s="5">
        <v>45943</v>
      </c>
      <c r="E131" s="5">
        <v>45943</v>
      </c>
      <c r="F131" s="120" t="s">
        <v>627</v>
      </c>
      <c r="G131" s="1"/>
      <c r="H131" s="1" t="s">
        <v>261</v>
      </c>
      <c r="I131" s="1" t="s">
        <v>628</v>
      </c>
      <c r="J131" s="80"/>
      <c r="K131" s="80"/>
      <c r="L131" s="80"/>
      <c r="M131" s="80"/>
      <c r="N131" s="80"/>
      <c r="O131" s="80"/>
      <c r="P131" s="80"/>
      <c r="Q131" s="80"/>
    </row>
    <row r="132" spans="1:17" customFormat="1" ht="28.5">
      <c r="A132" t="s">
        <v>239</v>
      </c>
      <c r="B132" t="s">
        <v>240</v>
      </c>
      <c r="C132" t="s">
        <v>626</v>
      </c>
      <c r="D132" s="5">
        <v>45943</v>
      </c>
      <c r="E132" s="5">
        <v>45943</v>
      </c>
      <c r="F132" s="120" t="s">
        <v>629</v>
      </c>
      <c r="G132" s="1"/>
      <c r="H132" s="1" t="s">
        <v>630</v>
      </c>
      <c r="I132" s="1" t="s">
        <v>631</v>
      </c>
      <c r="J132" s="80"/>
      <c r="K132" s="80"/>
      <c r="L132" s="80"/>
      <c r="M132" s="80"/>
      <c r="N132" s="80"/>
      <c r="O132" s="80"/>
      <c r="P132" s="80"/>
      <c r="Q132" s="80"/>
    </row>
    <row r="133" spans="1:17" customFormat="1" ht="42.75">
      <c r="A133" t="s">
        <v>239</v>
      </c>
      <c r="B133" t="s">
        <v>240</v>
      </c>
      <c r="C133" t="s">
        <v>632</v>
      </c>
      <c r="D133" s="5">
        <v>45943</v>
      </c>
      <c r="E133" s="5">
        <v>45943</v>
      </c>
      <c r="F133" s="120" t="s">
        <v>633</v>
      </c>
      <c r="G133" s="1"/>
      <c r="H133" s="1" t="s">
        <v>261</v>
      </c>
      <c r="I133" s="1" t="s">
        <v>634</v>
      </c>
      <c r="J133" s="80"/>
      <c r="K133" s="80"/>
      <c r="L133" s="80"/>
      <c r="M133" s="80"/>
      <c r="N133" s="80"/>
      <c r="O133" s="80"/>
      <c r="P133" s="80"/>
      <c r="Q133" s="80"/>
    </row>
    <row r="134" spans="1:17" customFormat="1" ht="42.75">
      <c r="A134" t="s">
        <v>239</v>
      </c>
      <c r="B134" t="s">
        <v>240</v>
      </c>
      <c r="C134" t="s">
        <v>632</v>
      </c>
      <c r="D134" s="5">
        <v>45943</v>
      </c>
      <c r="E134" s="5">
        <v>45943</v>
      </c>
      <c r="F134" s="120" t="s">
        <v>635</v>
      </c>
      <c r="G134" s="1"/>
      <c r="H134" s="1" t="s">
        <v>636</v>
      </c>
      <c r="I134" s="1" t="s">
        <v>637</v>
      </c>
      <c r="J134" s="80"/>
      <c r="K134" s="80"/>
      <c r="L134" s="80"/>
      <c r="M134" s="80"/>
      <c r="N134" s="80"/>
      <c r="O134" s="80"/>
      <c r="P134" s="80"/>
      <c r="Q134" s="80"/>
    </row>
    <row r="135" spans="1:17" customFormat="1" ht="28.5">
      <c r="A135" t="s">
        <v>239</v>
      </c>
      <c r="B135" t="s">
        <v>240</v>
      </c>
      <c r="C135" t="s">
        <v>638</v>
      </c>
      <c r="D135" s="5">
        <v>45943</v>
      </c>
      <c r="E135" s="5">
        <v>45943</v>
      </c>
      <c r="F135" s="120" t="s">
        <v>639</v>
      </c>
      <c r="G135" s="1"/>
      <c r="H135" s="1" t="s">
        <v>261</v>
      </c>
      <c r="I135" s="1" t="s">
        <v>640</v>
      </c>
      <c r="J135" s="80"/>
      <c r="K135" s="80"/>
      <c r="L135" s="80"/>
      <c r="M135" s="80"/>
      <c r="N135" s="80"/>
      <c r="O135" s="80"/>
      <c r="P135" s="80"/>
      <c r="Q135" s="80"/>
    </row>
    <row r="136" spans="1:17" customFormat="1" ht="28.5">
      <c r="A136" t="s">
        <v>239</v>
      </c>
      <c r="B136" t="s">
        <v>240</v>
      </c>
      <c r="C136" t="s">
        <v>638</v>
      </c>
      <c r="D136" s="5">
        <v>45943</v>
      </c>
      <c r="E136" s="5">
        <v>45943</v>
      </c>
      <c r="F136" s="120" t="s">
        <v>641</v>
      </c>
      <c r="G136" s="1"/>
      <c r="H136" s="1" t="s">
        <v>642</v>
      </c>
      <c r="I136" s="1" t="s">
        <v>643</v>
      </c>
      <c r="J136" s="80"/>
      <c r="K136" s="80"/>
      <c r="L136" s="80"/>
      <c r="M136" s="80"/>
      <c r="N136" s="80"/>
      <c r="O136" s="80"/>
      <c r="P136" s="80"/>
      <c r="Q136" s="80"/>
    </row>
    <row r="137" spans="1:17" customFormat="1" ht="28.5">
      <c r="A137" t="s">
        <v>239</v>
      </c>
      <c r="B137" t="s">
        <v>240</v>
      </c>
      <c r="C137" t="s">
        <v>644</v>
      </c>
      <c r="D137" s="5">
        <v>45943</v>
      </c>
      <c r="E137" s="5">
        <v>45943</v>
      </c>
      <c r="F137" s="120" t="s">
        <v>551</v>
      </c>
      <c r="G137" s="1"/>
      <c r="H137" s="1" t="s">
        <v>277</v>
      </c>
      <c r="I137" s="1" t="s">
        <v>645</v>
      </c>
      <c r="J137" s="80"/>
      <c r="K137" s="80"/>
      <c r="L137" s="80"/>
      <c r="M137" s="80"/>
      <c r="N137" s="80"/>
      <c r="O137" s="80"/>
      <c r="P137" s="80"/>
      <c r="Q137" s="80"/>
    </row>
    <row r="138" spans="1:17" customFormat="1" ht="28.5">
      <c r="A138" t="s">
        <v>239</v>
      </c>
      <c r="B138" t="s">
        <v>240</v>
      </c>
      <c r="C138" t="s">
        <v>646</v>
      </c>
      <c r="D138" s="5">
        <v>45943</v>
      </c>
      <c r="E138" s="5">
        <v>45943</v>
      </c>
      <c r="F138" s="120" t="s">
        <v>647</v>
      </c>
      <c r="G138" s="1"/>
      <c r="H138" s="1" t="s">
        <v>261</v>
      </c>
      <c r="I138" s="1" t="s">
        <v>648</v>
      </c>
      <c r="J138" s="80"/>
      <c r="K138" s="80"/>
      <c r="L138" s="80"/>
      <c r="M138" s="80"/>
      <c r="N138" s="80"/>
      <c r="O138" s="80"/>
      <c r="P138" s="80"/>
      <c r="Q138" s="80"/>
    </row>
    <row r="139" spans="1:17" customFormat="1" ht="42.75">
      <c r="A139" t="s">
        <v>239</v>
      </c>
      <c r="B139" t="s">
        <v>240</v>
      </c>
      <c r="C139" t="s">
        <v>646</v>
      </c>
      <c r="D139" s="5">
        <v>45943</v>
      </c>
      <c r="E139" s="5">
        <v>45943</v>
      </c>
      <c r="F139" s="120" t="s">
        <v>649</v>
      </c>
      <c r="G139" s="1"/>
      <c r="H139" s="1" t="s">
        <v>650</v>
      </c>
      <c r="I139" s="1" t="s">
        <v>651</v>
      </c>
      <c r="J139" s="80"/>
      <c r="K139" s="80"/>
      <c r="L139" s="80"/>
      <c r="M139" s="80"/>
      <c r="N139" s="80"/>
      <c r="O139" s="80"/>
      <c r="P139" s="80"/>
      <c r="Q139" s="80"/>
    </row>
    <row r="140" spans="1:17" customFormat="1" ht="28.5">
      <c r="A140" t="s">
        <v>239</v>
      </c>
      <c r="B140" t="s">
        <v>240</v>
      </c>
      <c r="C140" t="s">
        <v>652</v>
      </c>
      <c r="D140" s="5">
        <v>45943</v>
      </c>
      <c r="E140" s="5">
        <v>45943</v>
      </c>
      <c r="F140" s="120" t="s">
        <v>653</v>
      </c>
      <c r="G140" s="1" t="s">
        <v>654</v>
      </c>
      <c r="H140" s="1"/>
      <c r="I140" s="1" t="s">
        <v>655</v>
      </c>
      <c r="J140" s="80"/>
      <c r="K140" s="80"/>
      <c r="L140" s="80"/>
      <c r="M140" s="80"/>
      <c r="N140" s="80"/>
      <c r="O140" s="80"/>
      <c r="P140" s="80"/>
      <c r="Q140" s="80"/>
    </row>
    <row r="141" spans="1:17" customFormat="1">
      <c r="A141" t="s">
        <v>239</v>
      </c>
      <c r="B141" t="s">
        <v>240</v>
      </c>
      <c r="C141" t="s">
        <v>656</v>
      </c>
      <c r="D141" s="5">
        <v>45943</v>
      </c>
      <c r="E141" s="5">
        <v>45943</v>
      </c>
      <c r="F141" s="120" t="s">
        <v>657</v>
      </c>
      <c r="G141" s="1"/>
      <c r="H141" s="1" t="s">
        <v>254</v>
      </c>
      <c r="I141" s="1" t="s">
        <v>658</v>
      </c>
      <c r="J141" s="80"/>
      <c r="K141" s="80"/>
      <c r="L141" s="80"/>
      <c r="M141" s="80"/>
      <c r="N141" s="80"/>
      <c r="O141" s="80"/>
      <c r="P141" s="80"/>
      <c r="Q141" s="80"/>
    </row>
    <row r="142" spans="1:17" customFormat="1">
      <c r="A142" t="s">
        <v>239</v>
      </c>
      <c r="B142" t="s">
        <v>240</v>
      </c>
      <c r="C142" t="s">
        <v>656</v>
      </c>
      <c r="D142" s="5">
        <v>45943</v>
      </c>
      <c r="E142" s="5">
        <v>45943</v>
      </c>
      <c r="F142" s="120" t="s">
        <v>659</v>
      </c>
      <c r="G142" s="1"/>
      <c r="H142" s="1" t="s">
        <v>347</v>
      </c>
      <c r="I142" s="1" t="s">
        <v>660</v>
      </c>
      <c r="J142" s="80"/>
      <c r="K142" s="80"/>
      <c r="L142" s="80"/>
      <c r="M142" s="80"/>
      <c r="N142" s="80"/>
      <c r="O142" s="80"/>
      <c r="P142" s="80"/>
      <c r="Q142" s="80"/>
    </row>
    <row r="143" spans="1:17" customFormat="1" ht="42.75">
      <c r="A143" t="s">
        <v>239</v>
      </c>
      <c r="B143" t="s">
        <v>240</v>
      </c>
      <c r="C143" t="s">
        <v>661</v>
      </c>
      <c r="D143" s="5">
        <v>45943</v>
      </c>
      <c r="E143" s="5">
        <v>45943</v>
      </c>
      <c r="F143" s="120" t="s">
        <v>662</v>
      </c>
      <c r="G143" s="1"/>
      <c r="H143" s="1" t="s">
        <v>527</v>
      </c>
      <c r="I143" s="1" t="s">
        <v>663</v>
      </c>
      <c r="J143" s="80"/>
      <c r="K143" s="80"/>
      <c r="L143" s="80"/>
      <c r="M143" s="80"/>
      <c r="N143" s="80"/>
      <c r="O143" s="80"/>
      <c r="P143" s="80"/>
      <c r="Q143" s="80"/>
    </row>
    <row r="144" spans="1:17" customFormat="1" ht="28.5">
      <c r="A144" t="s">
        <v>239</v>
      </c>
      <c r="B144" t="s">
        <v>240</v>
      </c>
      <c r="C144" t="s">
        <v>664</v>
      </c>
      <c r="D144" s="5">
        <v>45943</v>
      </c>
      <c r="E144" s="5">
        <v>45943</v>
      </c>
      <c r="F144" s="120" t="s">
        <v>665</v>
      </c>
      <c r="G144" s="1"/>
      <c r="H144" s="1" t="s">
        <v>261</v>
      </c>
      <c r="I144" s="1" t="s">
        <v>666</v>
      </c>
      <c r="J144" s="80"/>
      <c r="K144" s="80"/>
      <c r="L144" s="80"/>
      <c r="M144" s="80"/>
      <c r="N144" s="80"/>
      <c r="O144" s="80"/>
      <c r="P144" s="80"/>
      <c r="Q144" s="80"/>
    </row>
    <row r="145" spans="1:17" customFormat="1" ht="42.75">
      <c r="A145" t="s">
        <v>239</v>
      </c>
      <c r="B145" t="s">
        <v>240</v>
      </c>
      <c r="C145" t="s">
        <v>664</v>
      </c>
      <c r="D145" s="5">
        <v>45943</v>
      </c>
      <c r="E145" s="5">
        <v>45943</v>
      </c>
      <c r="F145" s="120" t="s">
        <v>667</v>
      </c>
      <c r="G145" s="1"/>
      <c r="H145" s="1" t="s">
        <v>433</v>
      </c>
      <c r="I145" s="1" t="s">
        <v>668</v>
      </c>
      <c r="J145" s="80"/>
      <c r="K145" s="80"/>
      <c r="L145" s="80"/>
      <c r="M145" s="80"/>
      <c r="N145" s="80"/>
      <c r="O145" s="80"/>
      <c r="P145" s="80"/>
      <c r="Q145" s="80"/>
    </row>
    <row r="146" spans="1:17" customFormat="1" ht="28.5">
      <c r="A146" t="s">
        <v>239</v>
      </c>
      <c r="B146" t="s">
        <v>240</v>
      </c>
      <c r="C146" t="s">
        <v>669</v>
      </c>
      <c r="D146" s="5">
        <v>45943</v>
      </c>
      <c r="E146" s="5">
        <v>45943</v>
      </c>
      <c r="F146" s="120" t="s">
        <v>344</v>
      </c>
      <c r="G146" s="1"/>
      <c r="H146" s="1" t="s">
        <v>254</v>
      </c>
      <c r="I146" s="1" t="s">
        <v>670</v>
      </c>
      <c r="J146" s="80"/>
      <c r="K146" s="80"/>
      <c r="L146" s="80"/>
      <c r="M146" s="80"/>
      <c r="N146" s="80"/>
      <c r="O146" s="80"/>
      <c r="P146" s="80"/>
      <c r="Q146" s="80"/>
    </row>
    <row r="147" spans="1:17" customFormat="1" ht="28.5">
      <c r="A147" t="s">
        <v>239</v>
      </c>
      <c r="B147" t="s">
        <v>240</v>
      </c>
      <c r="C147" t="s">
        <v>669</v>
      </c>
      <c r="D147" s="5">
        <v>45943</v>
      </c>
      <c r="E147" s="5">
        <v>45943</v>
      </c>
      <c r="F147" s="120" t="s">
        <v>346</v>
      </c>
      <c r="G147" s="1"/>
      <c r="H147" s="1" t="s">
        <v>671</v>
      </c>
      <c r="I147" s="1" t="s">
        <v>672</v>
      </c>
      <c r="J147" s="80"/>
      <c r="K147" s="80"/>
      <c r="L147" s="80"/>
      <c r="M147" s="80"/>
      <c r="N147" s="80"/>
      <c r="O147" s="80"/>
      <c r="P147" s="80"/>
      <c r="Q147" s="80"/>
    </row>
    <row r="148" spans="1:17" customFormat="1" ht="28.5">
      <c r="A148" t="s">
        <v>239</v>
      </c>
      <c r="B148" t="s">
        <v>240</v>
      </c>
      <c r="C148" t="s">
        <v>673</v>
      </c>
      <c r="D148" s="5">
        <v>45943</v>
      </c>
      <c r="E148" s="5">
        <v>45943</v>
      </c>
      <c r="F148" s="120" t="s">
        <v>674</v>
      </c>
      <c r="G148" s="1"/>
      <c r="H148" s="1" t="s">
        <v>243</v>
      </c>
      <c r="I148" s="1" t="s">
        <v>675</v>
      </c>
      <c r="J148" s="80"/>
      <c r="K148" s="80"/>
      <c r="L148" s="80"/>
      <c r="M148" s="80"/>
      <c r="N148" s="80"/>
      <c r="O148" s="80"/>
      <c r="P148" s="80"/>
      <c r="Q148" s="80"/>
    </row>
    <row r="149" spans="1:17" customFormat="1" ht="42.75">
      <c r="A149" t="s">
        <v>239</v>
      </c>
      <c r="B149" t="s">
        <v>240</v>
      </c>
      <c r="C149" t="s">
        <v>673</v>
      </c>
      <c r="D149" s="5">
        <v>45943</v>
      </c>
      <c r="E149" s="5">
        <v>45943</v>
      </c>
      <c r="F149" s="120" t="s">
        <v>676</v>
      </c>
      <c r="G149" s="1"/>
      <c r="H149" s="1" t="s">
        <v>677</v>
      </c>
      <c r="I149" s="1" t="s">
        <v>678</v>
      </c>
      <c r="J149" s="80"/>
      <c r="K149" s="80"/>
      <c r="L149" s="80"/>
      <c r="M149" s="80"/>
      <c r="N149" s="80"/>
      <c r="O149" s="80"/>
      <c r="P149" s="80"/>
      <c r="Q149" s="80"/>
    </row>
    <row r="150" spans="1:17" customFormat="1" ht="28.5">
      <c r="A150" t="s">
        <v>239</v>
      </c>
      <c r="B150" t="s">
        <v>240</v>
      </c>
      <c r="C150" t="s">
        <v>679</v>
      </c>
      <c r="D150" s="5">
        <v>45944</v>
      </c>
      <c r="E150" s="5">
        <v>45944</v>
      </c>
      <c r="F150" s="120" t="s">
        <v>680</v>
      </c>
      <c r="G150" s="1"/>
      <c r="H150" s="1" t="s">
        <v>261</v>
      </c>
      <c r="I150" s="1" t="s">
        <v>681</v>
      </c>
      <c r="J150" s="80"/>
      <c r="K150" s="80"/>
      <c r="L150" s="80"/>
      <c r="M150" s="80"/>
      <c r="N150" s="80"/>
      <c r="O150" s="80"/>
      <c r="P150" s="80"/>
      <c r="Q150" s="80"/>
    </row>
    <row r="151" spans="1:17" customFormat="1" ht="42.75">
      <c r="A151" t="s">
        <v>239</v>
      </c>
      <c r="B151" t="s">
        <v>240</v>
      </c>
      <c r="C151" t="s">
        <v>679</v>
      </c>
      <c r="D151" s="5">
        <v>45944</v>
      </c>
      <c r="E151" s="5">
        <v>45944</v>
      </c>
      <c r="F151" s="120" t="s">
        <v>682</v>
      </c>
      <c r="G151" s="1"/>
      <c r="H151" s="1" t="s">
        <v>683</v>
      </c>
      <c r="I151" s="1" t="s">
        <v>684</v>
      </c>
      <c r="J151" s="80"/>
      <c r="K151" s="80"/>
      <c r="L151" s="80"/>
      <c r="M151" s="80"/>
      <c r="N151" s="80"/>
      <c r="O151" s="80"/>
      <c r="P151" s="80"/>
      <c r="Q151" s="80"/>
    </row>
    <row r="152" spans="1:17" customFormat="1" ht="28.5">
      <c r="A152" t="s">
        <v>239</v>
      </c>
      <c r="B152" t="s">
        <v>240</v>
      </c>
      <c r="C152" t="s">
        <v>685</v>
      </c>
      <c r="D152" s="5">
        <v>45944</v>
      </c>
      <c r="E152" s="5">
        <v>45944</v>
      </c>
      <c r="F152" s="120" t="s">
        <v>686</v>
      </c>
      <c r="G152" s="1"/>
      <c r="H152" s="1" t="s">
        <v>261</v>
      </c>
      <c r="I152" s="1" t="s">
        <v>687</v>
      </c>
      <c r="J152" s="80"/>
      <c r="K152" s="80"/>
      <c r="L152" s="80"/>
      <c r="M152" s="80"/>
      <c r="N152" s="80"/>
      <c r="O152" s="80"/>
      <c r="P152" s="80"/>
      <c r="Q152" s="80"/>
    </row>
    <row r="153" spans="1:17" customFormat="1" ht="28.5">
      <c r="A153" t="s">
        <v>239</v>
      </c>
      <c r="B153" t="s">
        <v>240</v>
      </c>
      <c r="C153" t="s">
        <v>685</v>
      </c>
      <c r="D153" s="5">
        <v>45944</v>
      </c>
      <c r="E153" s="5">
        <v>45944</v>
      </c>
      <c r="F153" s="120" t="s">
        <v>688</v>
      </c>
      <c r="G153" s="1"/>
      <c r="H153" s="1" t="s">
        <v>467</v>
      </c>
      <c r="I153" s="1" t="s">
        <v>689</v>
      </c>
      <c r="J153" s="80"/>
      <c r="K153" s="80"/>
      <c r="L153" s="80"/>
      <c r="M153" s="80"/>
      <c r="N153" s="80"/>
      <c r="O153" s="80"/>
      <c r="P153" s="80"/>
      <c r="Q153" s="80"/>
    </row>
    <row r="154" spans="1:17" customFormat="1" ht="28.5">
      <c r="A154" t="s">
        <v>239</v>
      </c>
      <c r="B154" t="s">
        <v>240</v>
      </c>
      <c r="C154" t="s">
        <v>690</v>
      </c>
      <c r="D154" s="5">
        <v>45945</v>
      </c>
      <c r="E154" s="5">
        <v>45945</v>
      </c>
      <c r="F154" s="120" t="s">
        <v>691</v>
      </c>
      <c r="G154" s="1"/>
      <c r="H154" s="1" t="s">
        <v>261</v>
      </c>
      <c r="I154" s="1" t="s">
        <v>692</v>
      </c>
      <c r="J154" s="80"/>
      <c r="K154" s="80"/>
      <c r="L154" s="80"/>
      <c r="M154" s="80"/>
      <c r="N154" s="80"/>
      <c r="O154" s="80"/>
      <c r="P154" s="80"/>
      <c r="Q154" s="80"/>
    </row>
    <row r="155" spans="1:17" customFormat="1" ht="28.5">
      <c r="A155" t="s">
        <v>239</v>
      </c>
      <c r="B155" t="s">
        <v>240</v>
      </c>
      <c r="C155" t="s">
        <v>690</v>
      </c>
      <c r="D155" s="5">
        <v>45945</v>
      </c>
      <c r="E155" s="5">
        <v>45945</v>
      </c>
      <c r="F155" s="120" t="s">
        <v>693</v>
      </c>
      <c r="G155" s="1"/>
      <c r="H155" s="1" t="s">
        <v>368</v>
      </c>
      <c r="I155" s="1" t="s">
        <v>694</v>
      </c>
      <c r="J155" s="80"/>
      <c r="K155" s="80"/>
      <c r="L155" s="80"/>
      <c r="M155" s="80"/>
      <c r="N155" s="80"/>
      <c r="O155" s="80"/>
      <c r="P155" s="80"/>
      <c r="Q155" s="80"/>
    </row>
    <row r="156" spans="1:17" customFormat="1" ht="28.5">
      <c r="A156" t="s">
        <v>239</v>
      </c>
      <c r="B156" t="s">
        <v>240</v>
      </c>
      <c r="C156" t="s">
        <v>695</v>
      </c>
      <c r="D156" s="5">
        <v>45945</v>
      </c>
      <c r="E156" s="5">
        <v>45945</v>
      </c>
      <c r="F156" s="120" t="s">
        <v>696</v>
      </c>
      <c r="G156" s="1"/>
      <c r="H156" s="1" t="s">
        <v>254</v>
      </c>
      <c r="I156" s="1" t="s">
        <v>697</v>
      </c>
      <c r="J156" s="80"/>
      <c r="K156" s="80"/>
      <c r="L156" s="80"/>
      <c r="M156" s="80"/>
      <c r="N156" s="80"/>
      <c r="O156" s="80"/>
      <c r="P156" s="80"/>
      <c r="Q156" s="80"/>
    </row>
    <row r="157" spans="1:17" customFormat="1" ht="42.75">
      <c r="A157" t="s">
        <v>239</v>
      </c>
      <c r="B157" t="s">
        <v>240</v>
      </c>
      <c r="C157" t="s">
        <v>695</v>
      </c>
      <c r="D157" s="5">
        <v>45945</v>
      </c>
      <c r="E157" s="5">
        <v>45945</v>
      </c>
      <c r="F157" s="120" t="s">
        <v>698</v>
      </c>
      <c r="G157" s="1"/>
      <c r="H157" s="1" t="s">
        <v>699</v>
      </c>
      <c r="I157" s="1" t="s">
        <v>700</v>
      </c>
      <c r="J157" s="80"/>
      <c r="K157" s="80"/>
      <c r="L157" s="80"/>
      <c r="M157" s="80"/>
      <c r="N157" s="80"/>
      <c r="O157" s="80"/>
      <c r="P157" s="80"/>
      <c r="Q157" s="80"/>
    </row>
    <row r="158" spans="1:17" customFormat="1" ht="28.5">
      <c r="A158" t="s">
        <v>239</v>
      </c>
      <c r="B158" t="s">
        <v>240</v>
      </c>
      <c r="C158" t="s">
        <v>701</v>
      </c>
      <c r="D158" s="5">
        <v>45945</v>
      </c>
      <c r="E158" s="5">
        <v>45945</v>
      </c>
      <c r="F158" s="120" t="s">
        <v>702</v>
      </c>
      <c r="G158" s="1"/>
      <c r="H158" s="1" t="s">
        <v>277</v>
      </c>
      <c r="I158" s="1" t="s">
        <v>703</v>
      </c>
      <c r="J158" s="80"/>
      <c r="K158" s="80"/>
      <c r="L158" s="80"/>
      <c r="M158" s="80"/>
      <c r="N158" s="80"/>
      <c r="O158" s="80"/>
      <c r="P158" s="80"/>
      <c r="Q158" s="80"/>
    </row>
    <row r="159" spans="1:17" customFormat="1" ht="28.5">
      <c r="A159" t="s">
        <v>239</v>
      </c>
      <c r="B159" t="s">
        <v>240</v>
      </c>
      <c r="C159" t="s">
        <v>704</v>
      </c>
      <c r="D159" s="5">
        <v>45945</v>
      </c>
      <c r="E159" s="5">
        <v>45945</v>
      </c>
      <c r="F159" s="120" t="s">
        <v>705</v>
      </c>
      <c r="G159" s="1"/>
      <c r="H159" s="1" t="s">
        <v>254</v>
      </c>
      <c r="I159" s="1" t="s">
        <v>706</v>
      </c>
      <c r="J159" s="80"/>
      <c r="K159" s="80"/>
      <c r="L159" s="80"/>
      <c r="M159" s="80"/>
      <c r="N159" s="80"/>
      <c r="O159" s="80"/>
      <c r="P159" s="80"/>
      <c r="Q159" s="80"/>
    </row>
    <row r="160" spans="1:17" customFormat="1" ht="42.75">
      <c r="A160" t="s">
        <v>239</v>
      </c>
      <c r="B160" t="s">
        <v>240</v>
      </c>
      <c r="C160" t="s">
        <v>704</v>
      </c>
      <c r="D160" s="5">
        <v>45945</v>
      </c>
      <c r="E160" s="5">
        <v>45945</v>
      </c>
      <c r="F160" s="120" t="s">
        <v>707</v>
      </c>
      <c r="G160" s="1"/>
      <c r="H160" s="1" t="s">
        <v>295</v>
      </c>
      <c r="I160" s="1" t="s">
        <v>708</v>
      </c>
      <c r="J160" s="80"/>
      <c r="K160" s="80"/>
      <c r="L160" s="80"/>
      <c r="M160" s="80"/>
      <c r="N160" s="80"/>
      <c r="O160" s="80"/>
      <c r="P160" s="80"/>
      <c r="Q160" s="80"/>
    </row>
    <row r="161" spans="1:17" customFormat="1">
      <c r="A161" t="s">
        <v>239</v>
      </c>
      <c r="B161" t="s">
        <v>240</v>
      </c>
      <c r="C161" t="s">
        <v>709</v>
      </c>
      <c r="D161" s="5">
        <v>45945</v>
      </c>
      <c r="E161" s="5">
        <v>45945</v>
      </c>
      <c r="F161" s="120" t="s">
        <v>710</v>
      </c>
      <c r="G161" s="1" t="s">
        <v>427</v>
      </c>
      <c r="H161" s="1"/>
      <c r="I161" s="1" t="s">
        <v>711</v>
      </c>
      <c r="J161" s="80"/>
      <c r="K161" s="80"/>
      <c r="L161" s="80"/>
      <c r="M161" s="80"/>
      <c r="N161" s="80"/>
      <c r="O161" s="80"/>
      <c r="P161" s="80"/>
      <c r="Q161" s="80"/>
    </row>
    <row r="162" spans="1:17" customFormat="1" ht="28.5">
      <c r="A162" t="s">
        <v>239</v>
      </c>
      <c r="B162" t="s">
        <v>240</v>
      </c>
      <c r="C162" t="s">
        <v>712</v>
      </c>
      <c r="D162" s="5">
        <v>45945</v>
      </c>
      <c r="E162" s="5">
        <v>45945</v>
      </c>
      <c r="F162" s="120" t="s">
        <v>331</v>
      </c>
      <c r="G162" s="1"/>
      <c r="H162" s="1" t="s">
        <v>713</v>
      </c>
      <c r="I162" s="1" t="s">
        <v>714</v>
      </c>
      <c r="J162" s="80"/>
      <c r="K162" s="80"/>
      <c r="L162" s="80"/>
      <c r="M162" s="80"/>
      <c r="N162" s="80"/>
      <c r="O162" s="80"/>
      <c r="P162" s="80"/>
      <c r="Q162" s="80"/>
    </row>
    <row r="163" spans="1:17" customFormat="1" ht="28.5">
      <c r="A163" t="s">
        <v>239</v>
      </c>
      <c r="B163" t="s">
        <v>240</v>
      </c>
      <c r="C163" t="s">
        <v>715</v>
      </c>
      <c r="D163" s="5">
        <v>45945</v>
      </c>
      <c r="E163" s="5">
        <v>45945</v>
      </c>
      <c r="F163" s="120" t="s">
        <v>716</v>
      </c>
      <c r="G163" s="1"/>
      <c r="H163" s="1" t="s">
        <v>261</v>
      </c>
      <c r="I163" s="1" t="s">
        <v>717</v>
      </c>
      <c r="J163" s="80"/>
      <c r="K163" s="80"/>
      <c r="L163" s="80"/>
      <c r="M163" s="80"/>
      <c r="N163" s="80"/>
      <c r="O163" s="80"/>
      <c r="P163" s="80"/>
      <c r="Q163" s="80"/>
    </row>
    <row r="164" spans="1:17" customFormat="1" ht="42.75">
      <c r="A164" t="s">
        <v>239</v>
      </c>
      <c r="B164" t="s">
        <v>240</v>
      </c>
      <c r="C164" t="s">
        <v>715</v>
      </c>
      <c r="D164" s="5">
        <v>45945</v>
      </c>
      <c r="E164" s="5">
        <v>45945</v>
      </c>
      <c r="F164" s="120" t="s">
        <v>718</v>
      </c>
      <c r="G164" s="1"/>
      <c r="H164" s="1" t="s">
        <v>719</v>
      </c>
      <c r="I164" s="1" t="s">
        <v>720</v>
      </c>
      <c r="J164" s="80"/>
      <c r="K164" s="80"/>
      <c r="L164" s="80"/>
      <c r="M164" s="80"/>
      <c r="N164" s="80"/>
      <c r="O164" s="80"/>
      <c r="P164" s="80"/>
      <c r="Q164" s="80"/>
    </row>
    <row r="165" spans="1:17" customFormat="1" ht="42.75">
      <c r="A165" t="s">
        <v>239</v>
      </c>
      <c r="B165" t="s">
        <v>240</v>
      </c>
      <c r="C165" t="s">
        <v>721</v>
      </c>
      <c r="D165" s="5">
        <v>45945</v>
      </c>
      <c r="E165" s="5">
        <v>45945</v>
      </c>
      <c r="F165" s="120" t="s">
        <v>722</v>
      </c>
      <c r="G165" s="1"/>
      <c r="H165" s="1" t="s">
        <v>261</v>
      </c>
      <c r="I165" s="1" t="s">
        <v>723</v>
      </c>
      <c r="J165" s="80"/>
      <c r="K165" s="80"/>
      <c r="L165" s="80"/>
      <c r="M165" s="80"/>
      <c r="N165" s="80"/>
      <c r="O165" s="80"/>
      <c r="P165" s="80"/>
      <c r="Q165" s="80"/>
    </row>
    <row r="166" spans="1:17" customFormat="1" ht="42.75">
      <c r="A166" t="s">
        <v>239</v>
      </c>
      <c r="B166" t="s">
        <v>240</v>
      </c>
      <c r="C166" t="s">
        <v>721</v>
      </c>
      <c r="D166" s="5">
        <v>45945</v>
      </c>
      <c r="E166" s="5">
        <v>45945</v>
      </c>
      <c r="F166" s="120" t="s">
        <v>724</v>
      </c>
      <c r="G166" s="1"/>
      <c r="H166" s="1" t="s">
        <v>264</v>
      </c>
      <c r="I166" s="1" t="s">
        <v>725</v>
      </c>
      <c r="J166" s="80"/>
      <c r="K166" s="80"/>
      <c r="L166" s="80"/>
      <c r="M166" s="80"/>
      <c r="N166" s="80"/>
      <c r="O166" s="80"/>
      <c r="P166" s="80"/>
      <c r="Q166" s="80"/>
    </row>
    <row r="167" spans="1:17" customFormat="1">
      <c r="B167" t="s">
        <v>240</v>
      </c>
      <c r="C167" t="s">
        <v>726</v>
      </c>
      <c r="D167" s="5">
        <v>45945</v>
      </c>
      <c r="E167" s="5">
        <v>45945</v>
      </c>
      <c r="F167" s="120" t="s">
        <v>727</v>
      </c>
      <c r="G167" s="1"/>
      <c r="H167" s="1" t="s">
        <v>261</v>
      </c>
      <c r="I167" s="1" t="s">
        <v>728</v>
      </c>
      <c r="J167" s="80"/>
      <c r="K167" s="80"/>
      <c r="L167" s="80"/>
      <c r="M167" s="80"/>
      <c r="N167" s="80"/>
      <c r="O167" s="80"/>
      <c r="P167" s="80"/>
      <c r="Q167" s="80"/>
    </row>
    <row r="168" spans="1:17" customFormat="1">
      <c r="B168" t="s">
        <v>240</v>
      </c>
      <c r="C168" t="s">
        <v>726</v>
      </c>
      <c r="D168" s="5">
        <v>45945</v>
      </c>
      <c r="E168" s="5">
        <v>45945</v>
      </c>
      <c r="F168" s="120" t="s">
        <v>729</v>
      </c>
      <c r="G168" s="1"/>
      <c r="H168" s="1" t="s">
        <v>433</v>
      </c>
      <c r="I168" s="1" t="s">
        <v>730</v>
      </c>
      <c r="J168" s="80"/>
      <c r="K168" s="80"/>
      <c r="L168" s="80"/>
      <c r="M168" s="80"/>
      <c r="N168" s="80"/>
      <c r="O168" s="80"/>
      <c r="P168" s="80"/>
      <c r="Q168" s="80"/>
    </row>
    <row r="169" spans="1:17" customFormat="1">
      <c r="A169" t="s">
        <v>239</v>
      </c>
      <c r="B169" t="s">
        <v>240</v>
      </c>
      <c r="C169" t="s">
        <v>731</v>
      </c>
      <c r="D169" s="5">
        <v>45946</v>
      </c>
      <c r="E169" s="5">
        <v>45946</v>
      </c>
      <c r="F169" s="120" t="s">
        <v>732</v>
      </c>
      <c r="G169" s="1"/>
      <c r="H169" s="1" t="s">
        <v>254</v>
      </c>
      <c r="I169" s="1" t="s">
        <v>733</v>
      </c>
      <c r="J169" s="80"/>
      <c r="K169" s="80"/>
      <c r="L169" s="80"/>
      <c r="M169" s="80"/>
      <c r="N169" s="80"/>
      <c r="O169" s="80"/>
      <c r="P169" s="80"/>
      <c r="Q169" s="80"/>
    </row>
    <row r="170" spans="1:17" customFormat="1" ht="28.5">
      <c r="A170" t="s">
        <v>239</v>
      </c>
      <c r="B170" t="s">
        <v>240</v>
      </c>
      <c r="C170" t="s">
        <v>731</v>
      </c>
      <c r="D170" s="5">
        <v>45946</v>
      </c>
      <c r="E170" s="5">
        <v>45946</v>
      </c>
      <c r="F170" s="120" t="s">
        <v>734</v>
      </c>
      <c r="G170" s="1"/>
      <c r="H170" s="1" t="s">
        <v>735</v>
      </c>
      <c r="I170" s="1" t="s">
        <v>736</v>
      </c>
      <c r="J170" s="80"/>
      <c r="K170" s="80"/>
      <c r="L170" s="80"/>
      <c r="M170" s="80"/>
      <c r="N170" s="80"/>
      <c r="O170" s="80"/>
      <c r="P170" s="80"/>
      <c r="Q170" s="80"/>
    </row>
    <row r="171" spans="1:17" customFormat="1">
      <c r="A171" t="s">
        <v>239</v>
      </c>
      <c r="B171" t="s">
        <v>240</v>
      </c>
      <c r="C171" t="s">
        <v>737</v>
      </c>
      <c r="D171" s="5">
        <v>45946</v>
      </c>
      <c r="E171" s="5">
        <v>45946</v>
      </c>
      <c r="F171" s="120" t="s">
        <v>738</v>
      </c>
      <c r="G171" s="1"/>
      <c r="H171" s="1" t="s">
        <v>254</v>
      </c>
      <c r="I171" s="1" t="s">
        <v>739</v>
      </c>
      <c r="J171" s="80"/>
      <c r="K171" s="80"/>
      <c r="L171" s="80"/>
      <c r="M171" s="80"/>
      <c r="N171" s="80"/>
      <c r="O171" s="80"/>
      <c r="P171" s="80"/>
      <c r="Q171" s="80"/>
    </row>
    <row r="172" spans="1:17" customFormat="1" ht="28.5">
      <c r="A172" t="s">
        <v>239</v>
      </c>
      <c r="B172" t="s">
        <v>240</v>
      </c>
      <c r="C172" t="s">
        <v>737</v>
      </c>
      <c r="D172" s="5">
        <v>45946</v>
      </c>
      <c r="E172" s="5">
        <v>45946</v>
      </c>
      <c r="F172" s="120" t="s">
        <v>740</v>
      </c>
      <c r="G172" s="1"/>
      <c r="H172" s="1" t="s">
        <v>741</v>
      </c>
      <c r="I172" s="1" t="s">
        <v>742</v>
      </c>
      <c r="J172" s="80"/>
      <c r="K172" s="80"/>
      <c r="L172" s="80"/>
      <c r="M172" s="80"/>
      <c r="N172" s="80"/>
      <c r="O172" s="80"/>
      <c r="P172" s="80"/>
      <c r="Q172" s="80"/>
    </row>
    <row r="173" spans="1:17" customFormat="1">
      <c r="B173" t="s">
        <v>240</v>
      </c>
      <c r="C173" t="s">
        <v>743</v>
      </c>
      <c r="D173" s="5">
        <v>45946</v>
      </c>
      <c r="E173" s="5">
        <v>45946</v>
      </c>
      <c r="F173" s="120" t="s">
        <v>744</v>
      </c>
      <c r="G173" s="1"/>
      <c r="H173" s="1" t="s">
        <v>261</v>
      </c>
      <c r="I173" s="1" t="s">
        <v>745</v>
      </c>
      <c r="J173" s="80"/>
      <c r="K173" s="80"/>
      <c r="L173" s="80"/>
      <c r="M173" s="80"/>
      <c r="N173" s="80"/>
      <c r="O173" s="80"/>
      <c r="P173" s="80"/>
      <c r="Q173" s="80"/>
    </row>
    <row r="174" spans="1:17" customFormat="1">
      <c r="B174" t="s">
        <v>240</v>
      </c>
      <c r="C174" t="s">
        <v>743</v>
      </c>
      <c r="D174" s="5">
        <v>45946</v>
      </c>
      <c r="E174" s="5">
        <v>45946</v>
      </c>
      <c r="F174" s="120" t="s">
        <v>746</v>
      </c>
      <c r="G174" s="1"/>
      <c r="H174" s="1" t="s">
        <v>747</v>
      </c>
      <c r="I174" s="1" t="s">
        <v>748</v>
      </c>
      <c r="J174" s="80"/>
      <c r="K174" s="80"/>
      <c r="L174" s="80"/>
      <c r="M174" s="80"/>
      <c r="N174" s="80"/>
      <c r="O174" s="80"/>
      <c r="P174" s="80"/>
      <c r="Q174" s="80"/>
    </row>
    <row r="175" spans="1:17" customFormat="1" ht="42.75">
      <c r="A175" t="s">
        <v>239</v>
      </c>
      <c r="B175" t="s">
        <v>240</v>
      </c>
      <c r="C175" t="s">
        <v>749</v>
      </c>
      <c r="D175" s="5">
        <v>45946</v>
      </c>
      <c r="E175" s="5">
        <v>45946</v>
      </c>
      <c r="F175" s="120" t="s">
        <v>750</v>
      </c>
      <c r="G175" s="1"/>
      <c r="H175" s="1" t="s">
        <v>277</v>
      </c>
      <c r="I175" s="1" t="s">
        <v>751</v>
      </c>
      <c r="J175" s="80"/>
      <c r="K175" s="80"/>
      <c r="L175" s="80"/>
      <c r="M175" s="80"/>
      <c r="N175" s="80"/>
      <c r="O175" s="80"/>
      <c r="P175" s="80"/>
      <c r="Q175" s="80"/>
    </row>
    <row r="176" spans="1:17" customFormat="1" ht="28.5">
      <c r="A176" t="s">
        <v>239</v>
      </c>
      <c r="B176" t="s">
        <v>240</v>
      </c>
      <c r="C176" t="s">
        <v>752</v>
      </c>
      <c r="D176" s="5">
        <v>45946</v>
      </c>
      <c r="E176" s="5">
        <v>45946</v>
      </c>
      <c r="F176" s="120" t="s">
        <v>753</v>
      </c>
      <c r="G176" s="1"/>
      <c r="H176" s="1" t="s">
        <v>254</v>
      </c>
      <c r="I176" s="1" t="s">
        <v>754</v>
      </c>
      <c r="J176" s="80"/>
      <c r="K176" s="80"/>
      <c r="L176" s="80"/>
      <c r="M176" s="80"/>
      <c r="N176" s="80"/>
      <c r="O176" s="80"/>
      <c r="P176" s="80"/>
      <c r="Q176" s="80"/>
    </row>
    <row r="177" spans="1:17" customFormat="1" ht="42.75">
      <c r="A177" t="s">
        <v>239</v>
      </c>
      <c r="B177" t="s">
        <v>240</v>
      </c>
      <c r="C177" t="s">
        <v>752</v>
      </c>
      <c r="D177" s="5">
        <v>45946</v>
      </c>
      <c r="E177" s="5">
        <v>45946</v>
      </c>
      <c r="F177" s="120" t="s">
        <v>755</v>
      </c>
      <c r="G177" s="1"/>
      <c r="H177" s="1" t="s">
        <v>756</v>
      </c>
      <c r="I177" s="1" t="s">
        <v>757</v>
      </c>
      <c r="J177" s="80"/>
      <c r="K177" s="80"/>
      <c r="L177" s="80"/>
      <c r="M177" s="80"/>
      <c r="N177" s="80"/>
      <c r="O177" s="80"/>
      <c r="P177" s="80"/>
      <c r="Q177" s="80"/>
    </row>
    <row r="178" spans="1:17" customFormat="1" ht="28.5">
      <c r="A178" t="s">
        <v>239</v>
      </c>
      <c r="B178" t="s">
        <v>240</v>
      </c>
      <c r="C178" t="s">
        <v>758</v>
      </c>
      <c r="D178" s="5">
        <v>45946</v>
      </c>
      <c r="E178" s="5">
        <v>45946</v>
      </c>
      <c r="F178" s="120" t="s">
        <v>759</v>
      </c>
      <c r="G178" s="1"/>
      <c r="H178" s="1" t="s">
        <v>760</v>
      </c>
      <c r="I178" s="1" t="s">
        <v>761</v>
      </c>
      <c r="J178" s="80"/>
      <c r="K178" s="80"/>
      <c r="L178" s="80"/>
      <c r="M178" s="80"/>
      <c r="N178" s="80"/>
      <c r="O178" s="80"/>
      <c r="P178" s="80"/>
      <c r="Q178" s="80"/>
    </row>
    <row r="179" spans="1:17" customFormat="1" ht="28.5">
      <c r="A179" t="s">
        <v>239</v>
      </c>
      <c r="B179" t="s">
        <v>240</v>
      </c>
      <c r="C179" t="s">
        <v>762</v>
      </c>
      <c r="D179" s="5">
        <v>45946</v>
      </c>
      <c r="E179" s="5">
        <v>45946</v>
      </c>
      <c r="F179" s="120" t="s">
        <v>763</v>
      </c>
      <c r="G179" s="1"/>
      <c r="H179" s="1" t="s">
        <v>261</v>
      </c>
      <c r="I179" s="1" t="s">
        <v>764</v>
      </c>
      <c r="J179" s="80"/>
      <c r="K179" s="80"/>
      <c r="L179" s="80"/>
      <c r="M179" s="80"/>
      <c r="N179" s="80"/>
      <c r="O179" s="80"/>
      <c r="P179" s="80"/>
      <c r="Q179" s="80"/>
    </row>
    <row r="180" spans="1:17" customFormat="1" ht="42.75">
      <c r="A180" t="s">
        <v>239</v>
      </c>
      <c r="B180" t="s">
        <v>240</v>
      </c>
      <c r="C180" t="s">
        <v>762</v>
      </c>
      <c r="D180" s="5">
        <v>45946</v>
      </c>
      <c r="E180" s="5">
        <v>45946</v>
      </c>
      <c r="F180" s="120" t="s">
        <v>765</v>
      </c>
      <c r="G180" s="1"/>
      <c r="H180" s="1" t="s">
        <v>433</v>
      </c>
      <c r="I180" s="1" t="s">
        <v>766</v>
      </c>
      <c r="J180" s="80"/>
      <c r="K180" s="80"/>
      <c r="L180" s="80"/>
      <c r="M180" s="80"/>
      <c r="N180" s="80"/>
      <c r="O180" s="80"/>
      <c r="P180" s="80"/>
      <c r="Q180" s="80"/>
    </row>
    <row r="181" spans="1:17" customFormat="1" ht="28.5">
      <c r="A181" t="s">
        <v>239</v>
      </c>
      <c r="B181" t="s">
        <v>240</v>
      </c>
      <c r="C181" t="s">
        <v>767</v>
      </c>
      <c r="D181" s="5">
        <v>45947</v>
      </c>
      <c r="E181" s="5">
        <v>45947</v>
      </c>
      <c r="F181" s="120" t="s">
        <v>768</v>
      </c>
      <c r="G181" s="1"/>
      <c r="H181" s="1" t="s">
        <v>261</v>
      </c>
      <c r="I181" s="1" t="s">
        <v>769</v>
      </c>
      <c r="J181" s="80"/>
      <c r="K181" s="80"/>
      <c r="L181" s="80"/>
      <c r="M181" s="80"/>
      <c r="N181" s="80"/>
      <c r="O181" s="80"/>
      <c r="P181" s="80"/>
      <c r="Q181" s="80"/>
    </row>
    <row r="182" spans="1:17" customFormat="1" ht="42.75">
      <c r="A182" t="s">
        <v>239</v>
      </c>
      <c r="B182" t="s">
        <v>240</v>
      </c>
      <c r="C182" t="s">
        <v>767</v>
      </c>
      <c r="D182" s="5">
        <v>45947</v>
      </c>
      <c r="E182" s="5">
        <v>45947</v>
      </c>
      <c r="F182" s="120" t="s">
        <v>770</v>
      </c>
      <c r="G182" s="1"/>
      <c r="H182" s="1" t="s">
        <v>264</v>
      </c>
      <c r="I182" s="1" t="s">
        <v>771</v>
      </c>
      <c r="J182" s="80"/>
      <c r="K182" s="80"/>
      <c r="L182" s="80"/>
      <c r="M182" s="80"/>
      <c r="N182" s="80"/>
      <c r="O182" s="80"/>
      <c r="P182" s="80"/>
      <c r="Q182" s="80"/>
    </row>
    <row r="183" spans="1:17" customFormat="1" ht="28.5">
      <c r="A183" t="s">
        <v>239</v>
      </c>
      <c r="B183" t="s">
        <v>240</v>
      </c>
      <c r="C183" t="s">
        <v>772</v>
      </c>
      <c r="D183" s="5">
        <v>45947</v>
      </c>
      <c r="E183" s="5">
        <v>45947</v>
      </c>
      <c r="F183" s="120" t="s">
        <v>773</v>
      </c>
      <c r="G183" s="1"/>
      <c r="H183" s="1" t="s">
        <v>254</v>
      </c>
      <c r="I183" s="1" t="s">
        <v>774</v>
      </c>
      <c r="J183" s="80"/>
      <c r="K183" s="80"/>
      <c r="L183" s="80"/>
      <c r="M183" s="80"/>
      <c r="N183" s="80"/>
      <c r="O183" s="80"/>
      <c r="P183" s="80"/>
      <c r="Q183" s="80"/>
    </row>
    <row r="184" spans="1:17" customFormat="1" ht="28.5">
      <c r="A184" t="s">
        <v>239</v>
      </c>
      <c r="B184" t="s">
        <v>240</v>
      </c>
      <c r="C184" t="s">
        <v>772</v>
      </c>
      <c r="D184" s="5">
        <v>45947</v>
      </c>
      <c r="E184" s="5">
        <v>45947</v>
      </c>
      <c r="F184" s="120" t="s">
        <v>775</v>
      </c>
      <c r="G184" s="1"/>
      <c r="H184" s="1" t="s">
        <v>776</v>
      </c>
      <c r="I184" s="1" t="s">
        <v>777</v>
      </c>
      <c r="J184" s="80"/>
      <c r="K184" s="80"/>
      <c r="L184" s="80"/>
      <c r="M184" s="80"/>
      <c r="N184" s="80"/>
      <c r="O184" s="80"/>
      <c r="P184" s="80"/>
      <c r="Q184" s="80"/>
    </row>
    <row r="185" spans="1:17" customFormat="1" ht="28.5">
      <c r="A185" t="s">
        <v>239</v>
      </c>
      <c r="B185" t="s">
        <v>240</v>
      </c>
      <c r="C185" t="s">
        <v>778</v>
      </c>
      <c r="D185" s="5">
        <v>45947</v>
      </c>
      <c r="E185" s="5">
        <v>45947</v>
      </c>
      <c r="F185" s="120" t="s">
        <v>779</v>
      </c>
      <c r="G185" s="1"/>
      <c r="H185" s="1" t="s">
        <v>254</v>
      </c>
      <c r="I185" s="1" t="s">
        <v>780</v>
      </c>
      <c r="J185" s="80"/>
      <c r="K185" s="80"/>
      <c r="L185" s="80"/>
      <c r="M185" s="80"/>
      <c r="N185" s="80"/>
      <c r="O185" s="80"/>
      <c r="P185" s="80"/>
      <c r="Q185" s="80"/>
    </row>
    <row r="186" spans="1:17" customFormat="1" ht="42.75">
      <c r="A186" t="s">
        <v>239</v>
      </c>
      <c r="B186" t="s">
        <v>240</v>
      </c>
      <c r="C186" t="s">
        <v>778</v>
      </c>
      <c r="D186" s="5">
        <v>45947</v>
      </c>
      <c r="E186" s="5">
        <v>45947</v>
      </c>
      <c r="F186" s="120" t="s">
        <v>781</v>
      </c>
      <c r="G186" s="1"/>
      <c r="H186" s="1" t="s">
        <v>295</v>
      </c>
      <c r="I186" s="1" t="s">
        <v>782</v>
      </c>
      <c r="J186" s="80"/>
      <c r="K186" s="80"/>
      <c r="L186" s="80"/>
      <c r="M186" s="80"/>
      <c r="N186" s="80"/>
      <c r="O186" s="80"/>
      <c r="P186" s="80"/>
      <c r="Q186" s="80"/>
    </row>
    <row r="187" spans="1:17" customFormat="1" ht="28.5">
      <c r="A187" t="s">
        <v>239</v>
      </c>
      <c r="B187" t="s">
        <v>240</v>
      </c>
      <c r="C187" t="s">
        <v>783</v>
      </c>
      <c r="D187" s="5">
        <v>45947</v>
      </c>
      <c r="E187" s="5">
        <v>45947</v>
      </c>
      <c r="F187" s="120" t="s">
        <v>784</v>
      </c>
      <c r="G187" s="1"/>
      <c r="H187" s="1" t="s">
        <v>254</v>
      </c>
      <c r="I187" s="1" t="s">
        <v>785</v>
      </c>
      <c r="J187" s="80"/>
      <c r="K187" s="80"/>
      <c r="L187" s="80"/>
      <c r="M187" s="80"/>
      <c r="N187" s="80"/>
      <c r="O187" s="80"/>
      <c r="P187" s="80"/>
      <c r="Q187" s="80"/>
    </row>
    <row r="188" spans="1:17" customFormat="1" ht="28.5">
      <c r="A188" t="s">
        <v>239</v>
      </c>
      <c r="B188" t="s">
        <v>240</v>
      </c>
      <c r="C188" t="s">
        <v>783</v>
      </c>
      <c r="D188" s="5">
        <v>45947</v>
      </c>
      <c r="E188" s="5">
        <v>45947</v>
      </c>
      <c r="F188" s="120" t="s">
        <v>786</v>
      </c>
      <c r="G188" s="1"/>
      <c r="H188" s="1" t="s">
        <v>787</v>
      </c>
      <c r="I188" s="1" t="s">
        <v>788</v>
      </c>
      <c r="J188" s="80"/>
      <c r="K188" s="80"/>
      <c r="L188" s="80"/>
      <c r="M188" s="80"/>
      <c r="N188" s="80"/>
      <c r="O188" s="80"/>
      <c r="P188" s="80"/>
      <c r="Q188" s="80"/>
    </row>
    <row r="189" spans="1:17" customFormat="1" ht="28.5">
      <c r="A189" t="s">
        <v>239</v>
      </c>
      <c r="B189" t="s">
        <v>240</v>
      </c>
      <c r="C189" t="s">
        <v>789</v>
      </c>
      <c r="D189" s="5">
        <v>45947</v>
      </c>
      <c r="E189" s="5">
        <v>45947</v>
      </c>
      <c r="F189" s="120" t="s">
        <v>551</v>
      </c>
      <c r="G189" s="1"/>
      <c r="H189" s="1" t="s">
        <v>277</v>
      </c>
      <c r="I189" s="1" t="s">
        <v>790</v>
      </c>
      <c r="J189" s="80"/>
      <c r="K189" s="80"/>
      <c r="L189" s="80"/>
      <c r="M189" s="80"/>
      <c r="N189" s="80"/>
      <c r="O189" s="80"/>
      <c r="P189" s="80"/>
      <c r="Q189" s="80"/>
    </row>
    <row r="190" spans="1:17" customFormat="1" ht="28.5">
      <c r="A190" t="s">
        <v>239</v>
      </c>
      <c r="B190" t="s">
        <v>240</v>
      </c>
      <c r="C190" t="s">
        <v>791</v>
      </c>
      <c r="D190" s="5">
        <v>45947</v>
      </c>
      <c r="E190" s="5">
        <v>45947</v>
      </c>
      <c r="F190" s="120" t="s">
        <v>792</v>
      </c>
      <c r="G190" s="1"/>
      <c r="H190" s="1" t="s">
        <v>261</v>
      </c>
      <c r="I190" s="1" t="s">
        <v>793</v>
      </c>
      <c r="J190" s="80"/>
      <c r="K190" s="80"/>
      <c r="L190" s="80"/>
      <c r="M190" s="80"/>
      <c r="N190" s="80"/>
      <c r="O190" s="80"/>
      <c r="P190" s="80"/>
      <c r="Q190" s="80"/>
    </row>
    <row r="191" spans="1:17" customFormat="1" ht="42.75">
      <c r="A191" t="s">
        <v>239</v>
      </c>
      <c r="B191" t="s">
        <v>240</v>
      </c>
      <c r="C191" t="s">
        <v>791</v>
      </c>
      <c r="D191" s="5">
        <v>45947</v>
      </c>
      <c r="E191" s="5">
        <v>45947</v>
      </c>
      <c r="F191" s="120" t="s">
        <v>794</v>
      </c>
      <c r="G191" s="1"/>
      <c r="H191" s="1" t="s">
        <v>630</v>
      </c>
      <c r="I191" s="1" t="s">
        <v>795</v>
      </c>
      <c r="J191" s="80"/>
      <c r="K191" s="80"/>
      <c r="L191" s="80"/>
      <c r="M191" s="80"/>
      <c r="N191" s="80"/>
      <c r="O191" s="80"/>
      <c r="P191" s="80"/>
      <c r="Q191" s="80"/>
    </row>
    <row r="192" spans="1:17" customFormat="1" ht="42.75">
      <c r="A192" t="s">
        <v>239</v>
      </c>
      <c r="B192" t="s">
        <v>240</v>
      </c>
      <c r="C192" t="s">
        <v>796</v>
      </c>
      <c r="D192" s="5">
        <v>45947</v>
      </c>
      <c r="E192" s="5">
        <v>45947</v>
      </c>
      <c r="F192" s="120" t="s">
        <v>797</v>
      </c>
      <c r="G192" s="1"/>
      <c r="H192" s="1" t="s">
        <v>313</v>
      </c>
      <c r="I192" s="1" t="s">
        <v>798</v>
      </c>
      <c r="J192" s="80"/>
      <c r="K192" s="80"/>
      <c r="L192" s="80"/>
      <c r="M192" s="80"/>
      <c r="N192" s="80"/>
      <c r="O192" s="80"/>
      <c r="P192" s="80"/>
      <c r="Q192" s="80"/>
    </row>
    <row r="193" spans="1:17" customFormat="1" ht="28.5">
      <c r="A193" t="s">
        <v>239</v>
      </c>
      <c r="B193" t="s">
        <v>240</v>
      </c>
      <c r="C193" t="s">
        <v>799</v>
      </c>
      <c r="D193" s="5">
        <v>45950</v>
      </c>
      <c r="E193" s="5">
        <v>45950</v>
      </c>
      <c r="F193" s="120" t="s">
        <v>800</v>
      </c>
      <c r="G193" s="1"/>
      <c r="H193" s="1" t="s">
        <v>254</v>
      </c>
      <c r="I193" s="1" t="s">
        <v>801</v>
      </c>
      <c r="J193" s="80"/>
      <c r="K193" s="80"/>
      <c r="L193" s="80"/>
      <c r="M193" s="80"/>
      <c r="N193" s="80"/>
      <c r="O193" s="80"/>
      <c r="P193" s="80"/>
      <c r="Q193" s="80"/>
    </row>
    <row r="194" spans="1:17" customFormat="1" ht="42.75">
      <c r="A194" t="s">
        <v>239</v>
      </c>
      <c r="B194" t="s">
        <v>240</v>
      </c>
      <c r="C194" t="s">
        <v>799</v>
      </c>
      <c r="D194" s="5">
        <v>45950</v>
      </c>
      <c r="E194" s="5">
        <v>45950</v>
      </c>
      <c r="F194" s="120" t="s">
        <v>802</v>
      </c>
      <c r="G194" s="1"/>
      <c r="H194" s="1" t="s">
        <v>295</v>
      </c>
      <c r="I194" s="1" t="s">
        <v>803</v>
      </c>
      <c r="J194" s="80"/>
      <c r="K194" s="80"/>
      <c r="L194" s="80"/>
      <c r="M194" s="80"/>
      <c r="N194" s="80"/>
      <c r="O194" s="80"/>
      <c r="P194" s="80"/>
      <c r="Q194" s="80"/>
    </row>
    <row r="195" spans="1:17" customFormat="1" ht="28.5">
      <c r="A195" t="s">
        <v>239</v>
      </c>
      <c r="B195" t="s">
        <v>240</v>
      </c>
      <c r="C195" t="s">
        <v>804</v>
      </c>
      <c r="D195" s="5">
        <v>45950</v>
      </c>
      <c r="E195" s="5">
        <v>45950</v>
      </c>
      <c r="F195" s="120" t="s">
        <v>805</v>
      </c>
      <c r="G195" s="1"/>
      <c r="H195" s="1" t="s">
        <v>261</v>
      </c>
      <c r="I195" s="1" t="s">
        <v>806</v>
      </c>
      <c r="J195" s="80"/>
      <c r="K195" s="80"/>
      <c r="L195" s="80"/>
      <c r="M195" s="80"/>
      <c r="N195" s="80"/>
      <c r="O195" s="80"/>
      <c r="P195" s="80"/>
      <c r="Q195" s="80"/>
    </row>
    <row r="196" spans="1:17" customFormat="1" ht="42.75">
      <c r="A196" t="s">
        <v>239</v>
      </c>
      <c r="B196" t="s">
        <v>240</v>
      </c>
      <c r="C196" t="s">
        <v>804</v>
      </c>
      <c r="D196" s="5">
        <v>45950</v>
      </c>
      <c r="E196" s="5">
        <v>45950</v>
      </c>
      <c r="F196" s="120" t="s">
        <v>807</v>
      </c>
      <c r="G196" s="1"/>
      <c r="H196" s="1" t="s">
        <v>533</v>
      </c>
      <c r="I196" s="1" t="s">
        <v>808</v>
      </c>
      <c r="J196" s="80"/>
      <c r="K196" s="80"/>
      <c r="L196" s="80"/>
      <c r="M196" s="80"/>
      <c r="N196" s="80"/>
      <c r="O196" s="80"/>
      <c r="P196" s="80"/>
      <c r="Q196" s="80"/>
    </row>
    <row r="197" spans="1:17" customFormat="1">
      <c r="A197" t="s">
        <v>239</v>
      </c>
      <c r="B197" t="s">
        <v>240</v>
      </c>
      <c r="C197" t="s">
        <v>809</v>
      </c>
      <c r="D197" s="5">
        <v>45951</v>
      </c>
      <c r="E197" s="5">
        <v>45951</v>
      </c>
      <c r="F197" s="120" t="s">
        <v>562</v>
      </c>
      <c r="G197" s="1" t="s">
        <v>810</v>
      </c>
      <c r="H197" s="1"/>
      <c r="I197" s="1" t="s">
        <v>811</v>
      </c>
      <c r="J197" s="80"/>
      <c r="K197" s="80"/>
      <c r="L197" s="80"/>
      <c r="M197" s="80"/>
      <c r="N197" s="80"/>
      <c r="O197" s="80"/>
      <c r="P197" s="80"/>
      <c r="Q197" s="80"/>
    </row>
    <row r="198" spans="1:17" customFormat="1" ht="28.5">
      <c r="A198" t="s">
        <v>239</v>
      </c>
      <c r="B198" t="s">
        <v>240</v>
      </c>
      <c r="C198" t="s">
        <v>812</v>
      </c>
      <c r="D198" s="5">
        <v>45951</v>
      </c>
      <c r="E198" s="5">
        <v>45951</v>
      </c>
      <c r="F198" s="120" t="s">
        <v>813</v>
      </c>
      <c r="G198" s="1"/>
      <c r="H198" s="1" t="s">
        <v>261</v>
      </c>
      <c r="I198" s="1" t="s">
        <v>814</v>
      </c>
      <c r="J198" s="80"/>
      <c r="K198" s="80"/>
      <c r="L198" s="80"/>
      <c r="M198" s="80"/>
      <c r="N198" s="80"/>
      <c r="O198" s="80"/>
      <c r="P198" s="80"/>
      <c r="Q198" s="80"/>
    </row>
    <row r="199" spans="1:17" customFormat="1" ht="42.75">
      <c r="A199" t="s">
        <v>239</v>
      </c>
      <c r="B199" t="s">
        <v>240</v>
      </c>
      <c r="C199" t="s">
        <v>812</v>
      </c>
      <c r="D199" s="5">
        <v>45951</v>
      </c>
      <c r="E199" s="5">
        <v>45951</v>
      </c>
      <c r="F199" s="120" t="s">
        <v>815</v>
      </c>
      <c r="G199" s="1"/>
      <c r="H199" s="1" t="s">
        <v>307</v>
      </c>
      <c r="I199" s="1" t="s">
        <v>816</v>
      </c>
      <c r="J199" s="80"/>
      <c r="K199" s="80"/>
      <c r="L199" s="80"/>
      <c r="M199" s="80"/>
      <c r="N199" s="80"/>
      <c r="O199" s="80"/>
      <c r="P199" s="80"/>
      <c r="Q199" s="80"/>
    </row>
    <row r="200" spans="1:17" customFormat="1" ht="28.5">
      <c r="A200" t="s">
        <v>239</v>
      </c>
      <c r="B200" t="s">
        <v>240</v>
      </c>
      <c r="C200" t="s">
        <v>817</v>
      </c>
      <c r="D200" s="5">
        <v>45953</v>
      </c>
      <c r="E200" s="5">
        <v>45953</v>
      </c>
      <c r="F200" s="120" t="s">
        <v>818</v>
      </c>
      <c r="G200" s="1" t="s">
        <v>588</v>
      </c>
      <c r="H200" s="1"/>
      <c r="I200" s="1" t="s">
        <v>819</v>
      </c>
      <c r="J200" s="80"/>
      <c r="K200" s="80"/>
      <c r="L200" s="80"/>
      <c r="M200" s="80"/>
      <c r="N200" s="80"/>
      <c r="O200" s="80"/>
      <c r="P200" s="80"/>
      <c r="Q200" s="80"/>
    </row>
    <row r="201" spans="1:17" customFormat="1" ht="28.5">
      <c r="A201" t="s">
        <v>239</v>
      </c>
      <c r="B201" t="s">
        <v>240</v>
      </c>
      <c r="C201" t="s">
        <v>820</v>
      </c>
      <c r="D201" s="5">
        <v>45953</v>
      </c>
      <c r="E201" s="5">
        <v>45953</v>
      </c>
      <c r="F201" s="120" t="s">
        <v>821</v>
      </c>
      <c r="G201" s="1" t="s">
        <v>580</v>
      </c>
      <c r="H201" s="1"/>
      <c r="I201" s="1" t="s">
        <v>822</v>
      </c>
      <c r="J201" s="80"/>
      <c r="K201" s="80"/>
      <c r="L201" s="80"/>
      <c r="M201" s="80"/>
      <c r="N201" s="80"/>
      <c r="O201" s="80"/>
      <c r="P201" s="80"/>
      <c r="Q201" s="80"/>
    </row>
    <row r="202" spans="1:17" customFormat="1" ht="42.75">
      <c r="A202" t="s">
        <v>239</v>
      </c>
      <c r="B202" t="s">
        <v>240</v>
      </c>
      <c r="C202" t="s">
        <v>823</v>
      </c>
      <c r="D202" s="5">
        <v>45954</v>
      </c>
      <c r="E202" s="5">
        <v>45954</v>
      </c>
      <c r="F202" s="120" t="s">
        <v>824</v>
      </c>
      <c r="G202" s="1"/>
      <c r="H202" s="1" t="s">
        <v>825</v>
      </c>
      <c r="I202" s="1" t="s">
        <v>826</v>
      </c>
      <c r="J202" s="80"/>
      <c r="K202" s="80"/>
      <c r="L202" s="80"/>
      <c r="M202" s="80"/>
      <c r="N202" s="80"/>
      <c r="O202" s="80"/>
      <c r="P202" s="80"/>
      <c r="Q202" s="80"/>
    </row>
    <row r="203" spans="1:17" customFormat="1" ht="42.75">
      <c r="A203" t="s">
        <v>239</v>
      </c>
      <c r="B203" t="s">
        <v>240</v>
      </c>
      <c r="C203" t="s">
        <v>827</v>
      </c>
      <c r="D203" s="5">
        <v>45957</v>
      </c>
      <c r="E203" s="5">
        <v>45957</v>
      </c>
      <c r="F203" s="120" t="s">
        <v>828</v>
      </c>
      <c r="G203" s="1"/>
      <c r="H203" s="1" t="s">
        <v>433</v>
      </c>
      <c r="I203" s="1" t="s">
        <v>829</v>
      </c>
      <c r="J203" s="80"/>
      <c r="K203" s="80"/>
      <c r="L203" s="80"/>
      <c r="M203" s="80"/>
      <c r="N203" s="80"/>
      <c r="O203" s="80"/>
      <c r="P203" s="80"/>
      <c r="Q203" s="80"/>
    </row>
    <row r="204" spans="1:17" customFormat="1" ht="28.5">
      <c r="A204" t="s">
        <v>830</v>
      </c>
      <c r="B204" t="s">
        <v>240</v>
      </c>
      <c r="C204" t="s">
        <v>831</v>
      </c>
      <c r="D204" s="5">
        <v>45957</v>
      </c>
      <c r="E204" s="5">
        <v>45957</v>
      </c>
      <c r="F204" s="120" t="s">
        <v>832</v>
      </c>
      <c r="G204" s="1" t="s">
        <v>833</v>
      </c>
      <c r="H204" s="1"/>
      <c r="I204" s="1" t="s">
        <v>834</v>
      </c>
      <c r="J204" s="80"/>
      <c r="K204" s="80"/>
      <c r="L204" s="80"/>
      <c r="M204" s="80"/>
      <c r="N204" s="80"/>
      <c r="O204" s="80"/>
      <c r="P204" s="80"/>
      <c r="Q204" s="80"/>
    </row>
    <row r="205" spans="1:17" customFormat="1" ht="28.5">
      <c r="A205" t="s">
        <v>239</v>
      </c>
      <c r="B205" t="s">
        <v>240</v>
      </c>
      <c r="C205" t="s">
        <v>835</v>
      </c>
      <c r="D205" s="5">
        <v>45957</v>
      </c>
      <c r="E205" s="5">
        <v>45957</v>
      </c>
      <c r="F205" s="120" t="s">
        <v>836</v>
      </c>
      <c r="G205" s="1" t="s">
        <v>427</v>
      </c>
      <c r="H205" s="1"/>
      <c r="I205" s="1" t="s">
        <v>837</v>
      </c>
      <c r="J205" s="80"/>
      <c r="K205" s="80"/>
      <c r="L205" s="80"/>
      <c r="M205" s="80"/>
      <c r="N205" s="80"/>
      <c r="O205" s="80"/>
      <c r="P205" s="80"/>
      <c r="Q205" s="80"/>
    </row>
    <row r="206" spans="1:17" customFormat="1">
      <c r="A206" t="s">
        <v>540</v>
      </c>
      <c r="B206" t="s">
        <v>240</v>
      </c>
      <c r="C206" t="s">
        <v>838</v>
      </c>
      <c r="D206" s="5">
        <v>45957</v>
      </c>
      <c r="E206" s="5">
        <v>45957</v>
      </c>
      <c r="F206" s="120" t="s">
        <v>839</v>
      </c>
      <c r="G206" s="1" t="s">
        <v>840</v>
      </c>
      <c r="H206" s="1"/>
      <c r="I206" s="1" t="s">
        <v>841</v>
      </c>
      <c r="J206" s="80"/>
      <c r="K206" s="80"/>
      <c r="L206" s="80"/>
      <c r="M206" s="80"/>
      <c r="N206" s="80"/>
      <c r="O206" s="80"/>
      <c r="P206" s="80"/>
      <c r="Q206" s="80"/>
    </row>
    <row r="207" spans="1:17" customFormat="1" ht="42.75">
      <c r="A207" t="s">
        <v>239</v>
      </c>
      <c r="B207" t="s">
        <v>240</v>
      </c>
      <c r="C207" t="s">
        <v>842</v>
      </c>
      <c r="D207" s="5">
        <v>45957</v>
      </c>
      <c r="E207" s="5">
        <v>45957</v>
      </c>
      <c r="F207" s="120" t="s">
        <v>843</v>
      </c>
      <c r="G207" s="1"/>
      <c r="H207" s="1" t="s">
        <v>261</v>
      </c>
      <c r="I207" s="1" t="s">
        <v>844</v>
      </c>
      <c r="J207" s="80"/>
      <c r="K207" s="80"/>
      <c r="L207" s="80"/>
      <c r="M207" s="80"/>
      <c r="N207" s="80"/>
      <c r="O207" s="80"/>
      <c r="P207" s="80"/>
      <c r="Q207" s="80"/>
    </row>
    <row r="208" spans="1:17" customFormat="1" ht="42.75">
      <c r="A208" t="s">
        <v>239</v>
      </c>
      <c r="B208" t="s">
        <v>240</v>
      </c>
      <c r="C208" t="s">
        <v>842</v>
      </c>
      <c r="D208" s="5">
        <v>45957</v>
      </c>
      <c r="E208" s="5">
        <v>45957</v>
      </c>
      <c r="F208" s="120" t="s">
        <v>845</v>
      </c>
      <c r="G208" s="1"/>
      <c r="H208" s="1" t="s">
        <v>846</v>
      </c>
      <c r="I208" s="1" t="s">
        <v>847</v>
      </c>
      <c r="J208" s="80"/>
      <c r="K208" s="80"/>
      <c r="L208" s="80"/>
      <c r="M208" s="80"/>
      <c r="N208" s="80"/>
      <c r="O208" s="80"/>
      <c r="P208" s="80"/>
      <c r="Q208" s="80"/>
    </row>
    <row r="209" spans="1:17" customFormat="1" ht="28.5">
      <c r="A209" t="s">
        <v>239</v>
      </c>
      <c r="B209" t="s">
        <v>240</v>
      </c>
      <c r="C209" t="s">
        <v>848</v>
      </c>
      <c r="D209" s="5">
        <v>45957</v>
      </c>
      <c r="E209" s="5">
        <v>45957</v>
      </c>
      <c r="F209" s="120" t="s">
        <v>849</v>
      </c>
      <c r="G209" s="1"/>
      <c r="H209" s="1" t="s">
        <v>254</v>
      </c>
      <c r="I209" s="1" t="s">
        <v>850</v>
      </c>
      <c r="J209" s="80"/>
      <c r="K209" s="80"/>
      <c r="L209" s="80"/>
      <c r="M209" s="80"/>
      <c r="N209" s="80"/>
      <c r="O209" s="80"/>
      <c r="P209" s="80"/>
      <c r="Q209" s="80"/>
    </row>
    <row r="210" spans="1:17" customFormat="1" ht="28.5">
      <c r="A210" t="s">
        <v>239</v>
      </c>
      <c r="B210" t="s">
        <v>240</v>
      </c>
      <c r="C210" t="s">
        <v>848</v>
      </c>
      <c r="D210" s="5">
        <v>45957</v>
      </c>
      <c r="E210" s="5">
        <v>45957</v>
      </c>
      <c r="F210" s="120" t="s">
        <v>851</v>
      </c>
      <c r="G210" s="1"/>
      <c r="H210" s="1" t="s">
        <v>295</v>
      </c>
      <c r="I210" s="1" t="s">
        <v>852</v>
      </c>
      <c r="J210" s="80"/>
      <c r="K210" s="80"/>
      <c r="L210" s="80"/>
      <c r="M210" s="80"/>
      <c r="N210" s="80"/>
      <c r="O210" s="80"/>
      <c r="P210" s="80"/>
      <c r="Q210" s="80"/>
    </row>
    <row r="211" spans="1:17" customFormat="1" ht="28.5">
      <c r="A211" t="s">
        <v>239</v>
      </c>
      <c r="B211" t="s">
        <v>240</v>
      </c>
      <c r="C211" t="s">
        <v>853</v>
      </c>
      <c r="D211" s="5">
        <v>45957</v>
      </c>
      <c r="E211" s="5">
        <v>45957</v>
      </c>
      <c r="F211" s="120" t="s">
        <v>854</v>
      </c>
      <c r="G211" s="1"/>
      <c r="H211" s="1" t="s">
        <v>261</v>
      </c>
      <c r="I211" s="1" t="s">
        <v>855</v>
      </c>
      <c r="J211" s="80"/>
      <c r="K211" s="80"/>
      <c r="L211" s="80"/>
      <c r="M211" s="80"/>
      <c r="N211" s="80"/>
      <c r="O211" s="80"/>
      <c r="P211" s="80"/>
      <c r="Q211" s="80"/>
    </row>
    <row r="212" spans="1:17" customFormat="1" ht="42.75">
      <c r="A212" t="s">
        <v>239</v>
      </c>
      <c r="B212" t="s">
        <v>240</v>
      </c>
      <c r="C212" t="s">
        <v>853</v>
      </c>
      <c r="D212" s="5">
        <v>45957</v>
      </c>
      <c r="E212" s="5">
        <v>45957</v>
      </c>
      <c r="F212" s="120" t="s">
        <v>856</v>
      </c>
      <c r="G212" s="1"/>
      <c r="H212" s="1" t="s">
        <v>433</v>
      </c>
      <c r="I212" s="1" t="s">
        <v>857</v>
      </c>
      <c r="J212" s="80"/>
      <c r="K212" s="80"/>
      <c r="L212" s="80"/>
      <c r="M212" s="80"/>
      <c r="N212" s="80"/>
      <c r="O212" s="80"/>
      <c r="P212" s="80"/>
      <c r="Q212" s="80"/>
    </row>
    <row r="213" spans="1:17" customFormat="1" ht="28.5">
      <c r="A213" t="s">
        <v>239</v>
      </c>
      <c r="B213" t="s">
        <v>240</v>
      </c>
      <c r="C213" t="s">
        <v>858</v>
      </c>
      <c r="D213" s="5">
        <v>45957</v>
      </c>
      <c r="E213" s="5">
        <v>45957</v>
      </c>
      <c r="F213" s="120" t="s">
        <v>859</v>
      </c>
      <c r="G213" s="1"/>
      <c r="H213" s="1" t="s">
        <v>254</v>
      </c>
      <c r="I213" s="1" t="s">
        <v>860</v>
      </c>
      <c r="J213" s="80"/>
      <c r="K213" s="80"/>
      <c r="L213" s="80"/>
      <c r="M213" s="80"/>
      <c r="N213" s="80"/>
      <c r="O213" s="80"/>
      <c r="P213" s="80"/>
      <c r="Q213" s="80"/>
    </row>
    <row r="214" spans="1:17" customFormat="1" ht="42.75">
      <c r="A214" t="s">
        <v>239</v>
      </c>
      <c r="B214" t="s">
        <v>240</v>
      </c>
      <c r="C214" t="s">
        <v>858</v>
      </c>
      <c r="D214" s="5">
        <v>45957</v>
      </c>
      <c r="E214" s="5">
        <v>45957</v>
      </c>
      <c r="F214" s="120" t="s">
        <v>861</v>
      </c>
      <c r="G214" s="1"/>
      <c r="H214" s="1" t="s">
        <v>756</v>
      </c>
      <c r="I214" s="1" t="s">
        <v>862</v>
      </c>
      <c r="J214" s="80"/>
      <c r="K214" s="80"/>
      <c r="L214" s="80"/>
      <c r="M214" s="80"/>
      <c r="N214" s="80"/>
      <c r="O214" s="80"/>
      <c r="P214" s="80"/>
      <c r="Q214" s="80"/>
    </row>
    <row r="215" spans="1:17" customFormat="1">
      <c r="A215" t="s">
        <v>239</v>
      </c>
      <c r="B215" t="s">
        <v>240</v>
      </c>
      <c r="C215" t="s">
        <v>863</v>
      </c>
      <c r="D215" s="5">
        <v>45957</v>
      </c>
      <c r="E215" s="5">
        <v>45957</v>
      </c>
      <c r="F215" s="120" t="s">
        <v>864</v>
      </c>
      <c r="G215" s="1" t="s">
        <v>865</v>
      </c>
      <c r="H215" s="1"/>
      <c r="I215" s="1" t="s">
        <v>866</v>
      </c>
      <c r="J215" s="80"/>
      <c r="K215" s="80"/>
      <c r="L215" s="80"/>
      <c r="M215" s="80"/>
      <c r="N215" s="80"/>
      <c r="O215" s="80"/>
      <c r="P215" s="80"/>
      <c r="Q215" s="80"/>
    </row>
    <row r="216" spans="1:17" customFormat="1" ht="28.5">
      <c r="A216" t="s">
        <v>239</v>
      </c>
      <c r="B216" t="s">
        <v>240</v>
      </c>
      <c r="C216" t="s">
        <v>867</v>
      </c>
      <c r="D216" s="5">
        <v>45957</v>
      </c>
      <c r="E216" s="5">
        <v>45957</v>
      </c>
      <c r="F216" s="120" t="s">
        <v>868</v>
      </c>
      <c r="G216" s="1"/>
      <c r="H216" s="1" t="s">
        <v>261</v>
      </c>
      <c r="I216" s="1" t="s">
        <v>869</v>
      </c>
      <c r="J216" s="80"/>
      <c r="K216" s="80"/>
      <c r="L216" s="80"/>
      <c r="M216" s="80"/>
      <c r="N216" s="80"/>
      <c r="O216" s="80"/>
      <c r="P216" s="80"/>
      <c r="Q216" s="80"/>
    </row>
    <row r="217" spans="1:17" customFormat="1" ht="42.75">
      <c r="A217" t="s">
        <v>239</v>
      </c>
      <c r="B217" t="s">
        <v>240</v>
      </c>
      <c r="C217" t="s">
        <v>867</v>
      </c>
      <c r="D217" s="5">
        <v>45957</v>
      </c>
      <c r="E217" s="5">
        <v>45957</v>
      </c>
      <c r="F217" s="120" t="s">
        <v>870</v>
      </c>
      <c r="G217" s="1"/>
      <c r="H217" s="1" t="s">
        <v>433</v>
      </c>
      <c r="I217" s="1" t="s">
        <v>871</v>
      </c>
      <c r="J217" s="80"/>
      <c r="K217" s="80"/>
      <c r="L217" s="80"/>
      <c r="M217" s="80"/>
      <c r="N217" s="80"/>
      <c r="O217" s="80"/>
      <c r="P217" s="80"/>
      <c r="Q217" s="80"/>
    </row>
    <row r="218" spans="1:17" customFormat="1" ht="28.5">
      <c r="A218" t="s">
        <v>239</v>
      </c>
      <c r="B218" t="s">
        <v>240</v>
      </c>
      <c r="C218" t="s">
        <v>872</v>
      </c>
      <c r="D218" s="5">
        <v>45957</v>
      </c>
      <c r="E218" s="5">
        <v>45957</v>
      </c>
      <c r="F218" s="120" t="s">
        <v>873</v>
      </c>
      <c r="G218" s="1"/>
      <c r="H218" s="1" t="s">
        <v>261</v>
      </c>
      <c r="I218" s="1" t="s">
        <v>874</v>
      </c>
      <c r="J218" s="80"/>
      <c r="K218" s="80"/>
      <c r="L218" s="80"/>
      <c r="M218" s="80"/>
      <c r="N218" s="80"/>
      <c r="O218" s="80"/>
      <c r="P218" s="80"/>
      <c r="Q218" s="80"/>
    </row>
    <row r="219" spans="1:17" customFormat="1" ht="42.75">
      <c r="A219" t="s">
        <v>239</v>
      </c>
      <c r="B219" t="s">
        <v>240</v>
      </c>
      <c r="C219" t="s">
        <v>872</v>
      </c>
      <c r="D219" s="5">
        <v>45957</v>
      </c>
      <c r="E219" s="5">
        <v>45957</v>
      </c>
      <c r="F219" s="120" t="s">
        <v>875</v>
      </c>
      <c r="G219" s="1"/>
      <c r="H219" s="1" t="s">
        <v>876</v>
      </c>
      <c r="I219" s="1" t="s">
        <v>877</v>
      </c>
      <c r="J219" s="80"/>
      <c r="K219" s="80"/>
      <c r="L219" s="80"/>
      <c r="M219" s="80"/>
      <c r="N219" s="80"/>
      <c r="O219" s="80"/>
      <c r="P219" s="80"/>
      <c r="Q219" s="80"/>
    </row>
    <row r="220" spans="1:17" customFormat="1">
      <c r="A220" t="s">
        <v>239</v>
      </c>
      <c r="B220" t="s">
        <v>240</v>
      </c>
      <c r="C220" t="s">
        <v>878</v>
      </c>
      <c r="D220" s="5">
        <v>45958</v>
      </c>
      <c r="E220" s="5">
        <v>45958</v>
      </c>
      <c r="F220" s="120" t="s">
        <v>879</v>
      </c>
      <c r="G220" s="1" t="s">
        <v>833</v>
      </c>
      <c r="H220" s="1"/>
      <c r="I220" s="1" t="s">
        <v>880</v>
      </c>
      <c r="J220" s="80"/>
      <c r="K220" s="80"/>
      <c r="L220" s="80"/>
      <c r="M220" s="80"/>
      <c r="N220" s="80"/>
      <c r="O220" s="80"/>
      <c r="P220" s="80"/>
      <c r="Q220" s="80"/>
    </row>
    <row r="221" spans="1:17" customFormat="1">
      <c r="A221" t="s">
        <v>239</v>
      </c>
      <c r="B221" t="s">
        <v>240</v>
      </c>
      <c r="C221" t="s">
        <v>881</v>
      </c>
      <c r="D221" s="5">
        <v>45958</v>
      </c>
      <c r="E221" s="5">
        <v>45958</v>
      </c>
      <c r="F221" s="120" t="s">
        <v>882</v>
      </c>
      <c r="G221" s="1" t="s">
        <v>833</v>
      </c>
      <c r="H221" s="1"/>
      <c r="I221" s="1" t="s">
        <v>883</v>
      </c>
      <c r="J221" s="80"/>
      <c r="K221" s="80"/>
      <c r="L221" s="80"/>
      <c r="M221" s="80"/>
      <c r="N221" s="80"/>
      <c r="O221" s="80"/>
      <c r="P221" s="80"/>
      <c r="Q221" s="80"/>
    </row>
    <row r="222" spans="1:17" customFormat="1">
      <c r="A222" t="s">
        <v>239</v>
      </c>
      <c r="B222" t="s">
        <v>240</v>
      </c>
      <c r="C222" t="s">
        <v>884</v>
      </c>
      <c r="D222" s="5">
        <v>45958</v>
      </c>
      <c r="E222" s="5">
        <v>45958</v>
      </c>
      <c r="F222" s="120" t="s">
        <v>885</v>
      </c>
      <c r="G222" s="1" t="s">
        <v>374</v>
      </c>
      <c r="H222" s="1"/>
      <c r="I222" s="1" t="s">
        <v>886</v>
      </c>
      <c r="J222" s="80"/>
      <c r="K222" s="80"/>
      <c r="L222" s="80"/>
      <c r="M222" s="80"/>
      <c r="N222" s="80"/>
      <c r="O222" s="80"/>
      <c r="P222" s="80"/>
      <c r="Q222" s="80"/>
    </row>
    <row r="223" spans="1:17" customFormat="1" ht="28.5">
      <c r="A223" t="s">
        <v>239</v>
      </c>
      <c r="B223" t="s">
        <v>240</v>
      </c>
      <c r="C223" t="s">
        <v>887</v>
      </c>
      <c r="D223" s="5">
        <v>45958</v>
      </c>
      <c r="E223" s="5">
        <v>45958</v>
      </c>
      <c r="F223" s="120" t="s">
        <v>888</v>
      </c>
      <c r="G223" s="1"/>
      <c r="H223" s="1" t="s">
        <v>261</v>
      </c>
      <c r="I223" s="1" t="s">
        <v>889</v>
      </c>
      <c r="J223" s="80"/>
      <c r="K223" s="80"/>
      <c r="L223" s="80"/>
      <c r="M223" s="80"/>
      <c r="N223" s="80"/>
      <c r="O223" s="80"/>
      <c r="P223" s="80"/>
      <c r="Q223" s="80"/>
    </row>
    <row r="224" spans="1:17" customFormat="1" ht="28.5">
      <c r="A224" t="s">
        <v>239</v>
      </c>
      <c r="B224" t="s">
        <v>240</v>
      </c>
      <c r="C224" t="s">
        <v>887</v>
      </c>
      <c r="D224" s="5">
        <v>45958</v>
      </c>
      <c r="E224" s="5">
        <v>45958</v>
      </c>
      <c r="F224" s="120" t="s">
        <v>890</v>
      </c>
      <c r="G224" s="1"/>
      <c r="H224" s="1" t="s">
        <v>264</v>
      </c>
      <c r="I224" s="1" t="s">
        <v>891</v>
      </c>
      <c r="J224" s="80"/>
      <c r="K224" s="80"/>
      <c r="L224" s="80"/>
      <c r="M224" s="80"/>
      <c r="N224" s="80"/>
      <c r="O224" s="80"/>
      <c r="P224" s="80"/>
      <c r="Q224" s="80"/>
    </row>
    <row r="225" spans="1:17" customFormat="1" ht="28.5">
      <c r="A225" t="s">
        <v>239</v>
      </c>
      <c r="B225" t="s">
        <v>240</v>
      </c>
      <c r="C225" t="s">
        <v>892</v>
      </c>
      <c r="D225" s="5">
        <v>45958</v>
      </c>
      <c r="E225" s="5">
        <v>45958</v>
      </c>
      <c r="F225" s="120" t="s">
        <v>893</v>
      </c>
      <c r="G225" s="1" t="s">
        <v>427</v>
      </c>
      <c r="H225" s="1"/>
      <c r="I225" s="1" t="s">
        <v>894</v>
      </c>
      <c r="J225" s="80"/>
      <c r="K225" s="80"/>
      <c r="L225" s="80"/>
      <c r="M225" s="80"/>
      <c r="N225" s="80"/>
      <c r="O225" s="80"/>
      <c r="P225" s="80"/>
      <c r="Q225" s="80"/>
    </row>
    <row r="226" spans="1:17" customFormat="1" ht="28.5">
      <c r="A226" t="s">
        <v>239</v>
      </c>
      <c r="B226" t="s">
        <v>240</v>
      </c>
      <c r="C226" t="s">
        <v>895</v>
      </c>
      <c r="D226" s="5">
        <v>45958</v>
      </c>
      <c r="E226" s="5">
        <v>45958</v>
      </c>
      <c r="F226" s="120" t="s">
        <v>896</v>
      </c>
      <c r="G226" s="1" t="s">
        <v>897</v>
      </c>
      <c r="H226" s="1"/>
      <c r="I226" s="1" t="s">
        <v>898</v>
      </c>
      <c r="J226" s="80"/>
      <c r="K226" s="80"/>
      <c r="L226" s="80"/>
      <c r="M226" s="80"/>
      <c r="N226" s="80"/>
      <c r="O226" s="80"/>
      <c r="P226" s="80"/>
      <c r="Q226" s="80"/>
    </row>
    <row r="227" spans="1:17" customFormat="1" ht="28.5">
      <c r="A227" t="s">
        <v>239</v>
      </c>
      <c r="B227" t="s">
        <v>240</v>
      </c>
      <c r="C227" t="s">
        <v>899</v>
      </c>
      <c r="D227" s="5">
        <v>45958</v>
      </c>
      <c r="E227" s="5">
        <v>45958</v>
      </c>
      <c r="F227" s="120" t="s">
        <v>900</v>
      </c>
      <c r="G227" s="1"/>
      <c r="H227" s="1" t="s">
        <v>254</v>
      </c>
      <c r="I227" s="1" t="s">
        <v>901</v>
      </c>
      <c r="J227" s="80"/>
      <c r="K227" s="80"/>
      <c r="L227" s="80"/>
      <c r="M227" s="80"/>
      <c r="N227" s="80"/>
      <c r="O227" s="80"/>
      <c r="P227" s="80"/>
      <c r="Q227" s="80"/>
    </row>
    <row r="228" spans="1:17" customFormat="1" ht="28.5">
      <c r="A228" t="s">
        <v>239</v>
      </c>
      <c r="B228" t="s">
        <v>240</v>
      </c>
      <c r="C228" t="s">
        <v>899</v>
      </c>
      <c r="D228" s="5">
        <v>45958</v>
      </c>
      <c r="E228" s="5">
        <v>45958</v>
      </c>
      <c r="F228" s="120" t="s">
        <v>902</v>
      </c>
      <c r="G228" s="1"/>
      <c r="H228" s="1" t="s">
        <v>903</v>
      </c>
      <c r="I228" s="1" t="s">
        <v>904</v>
      </c>
      <c r="J228" s="80"/>
      <c r="K228" s="80"/>
      <c r="L228" s="80"/>
      <c r="M228" s="80"/>
      <c r="N228" s="80"/>
      <c r="O228" s="80"/>
      <c r="P228" s="80"/>
      <c r="Q228" s="80"/>
    </row>
    <row r="229" spans="1:17" customFormat="1" ht="28.5">
      <c r="A229" t="s">
        <v>239</v>
      </c>
      <c r="B229" t="s">
        <v>240</v>
      </c>
      <c r="C229" t="s">
        <v>905</v>
      </c>
      <c r="D229" s="5">
        <v>45958</v>
      </c>
      <c r="E229" s="5">
        <v>45958</v>
      </c>
      <c r="F229" s="120" t="s">
        <v>906</v>
      </c>
      <c r="G229" s="1"/>
      <c r="H229" s="1" t="s">
        <v>254</v>
      </c>
      <c r="I229" s="1" t="s">
        <v>907</v>
      </c>
      <c r="J229" s="80"/>
      <c r="K229" s="80"/>
      <c r="L229" s="80"/>
      <c r="M229" s="80"/>
      <c r="N229" s="80"/>
      <c r="O229" s="80"/>
      <c r="P229" s="80"/>
      <c r="Q229" s="80"/>
    </row>
    <row r="230" spans="1:17" customFormat="1" ht="28.5">
      <c r="A230" t="s">
        <v>239</v>
      </c>
      <c r="B230" t="s">
        <v>240</v>
      </c>
      <c r="C230" t="s">
        <v>905</v>
      </c>
      <c r="D230" s="5">
        <v>45958</v>
      </c>
      <c r="E230" s="5">
        <v>45958</v>
      </c>
      <c r="F230" s="120" t="s">
        <v>908</v>
      </c>
      <c r="G230" s="1"/>
      <c r="H230" s="1" t="s">
        <v>295</v>
      </c>
      <c r="I230" s="1" t="s">
        <v>909</v>
      </c>
      <c r="J230" s="80"/>
      <c r="K230" s="80"/>
      <c r="L230" s="80"/>
      <c r="M230" s="80"/>
      <c r="N230" s="80"/>
      <c r="O230" s="80"/>
      <c r="P230" s="80"/>
      <c r="Q230" s="80"/>
    </row>
    <row r="231" spans="1:17" customFormat="1" ht="28.5">
      <c r="A231" t="s">
        <v>239</v>
      </c>
      <c r="B231" t="s">
        <v>240</v>
      </c>
      <c r="C231" t="s">
        <v>910</v>
      </c>
      <c r="D231" s="5">
        <v>45958</v>
      </c>
      <c r="E231" s="5">
        <v>45958</v>
      </c>
      <c r="F231" s="120" t="s">
        <v>911</v>
      </c>
      <c r="G231" s="1"/>
      <c r="H231" s="1" t="s">
        <v>243</v>
      </c>
      <c r="I231" s="1" t="s">
        <v>912</v>
      </c>
      <c r="J231" s="80"/>
      <c r="K231" s="80"/>
      <c r="L231" s="80"/>
      <c r="M231" s="80"/>
      <c r="N231" s="80"/>
      <c r="O231" s="80"/>
      <c r="P231" s="80"/>
      <c r="Q231" s="80"/>
    </row>
    <row r="232" spans="1:17" customFormat="1" ht="42.75">
      <c r="A232" t="s">
        <v>239</v>
      </c>
      <c r="B232" t="s">
        <v>240</v>
      </c>
      <c r="C232" t="s">
        <v>910</v>
      </c>
      <c r="D232" s="5">
        <v>45958</v>
      </c>
      <c r="E232" s="5">
        <v>45958</v>
      </c>
      <c r="F232" s="120" t="s">
        <v>913</v>
      </c>
      <c r="G232" s="1"/>
      <c r="H232" s="1" t="s">
        <v>427</v>
      </c>
      <c r="I232" s="1" t="s">
        <v>914</v>
      </c>
      <c r="J232" s="80"/>
      <c r="K232" s="80"/>
      <c r="L232" s="80"/>
      <c r="M232" s="80"/>
      <c r="N232" s="80"/>
      <c r="O232" s="80"/>
      <c r="P232" s="80"/>
      <c r="Q232" s="80"/>
    </row>
    <row r="233" spans="1:17" customFormat="1" ht="28.5">
      <c r="A233" t="s">
        <v>239</v>
      </c>
      <c r="B233" t="s">
        <v>240</v>
      </c>
      <c r="C233" t="s">
        <v>915</v>
      </c>
      <c r="D233" s="5">
        <v>45959</v>
      </c>
      <c r="E233" s="5">
        <v>45959</v>
      </c>
      <c r="F233" s="120" t="s">
        <v>916</v>
      </c>
      <c r="G233" s="1"/>
      <c r="H233" s="1" t="s">
        <v>254</v>
      </c>
      <c r="I233" s="1" t="s">
        <v>917</v>
      </c>
      <c r="J233" s="80"/>
      <c r="K233" s="80"/>
      <c r="L233" s="80"/>
      <c r="M233" s="80"/>
      <c r="N233" s="80"/>
      <c r="O233" s="80"/>
      <c r="P233" s="80"/>
      <c r="Q233" s="80"/>
    </row>
    <row r="234" spans="1:17" customFormat="1" ht="28.5">
      <c r="A234" t="s">
        <v>239</v>
      </c>
      <c r="B234" t="s">
        <v>240</v>
      </c>
      <c r="C234" t="s">
        <v>915</v>
      </c>
      <c r="D234" s="5">
        <v>45959</v>
      </c>
      <c r="E234" s="5">
        <v>45959</v>
      </c>
      <c r="F234" s="120" t="s">
        <v>918</v>
      </c>
      <c r="G234" s="1"/>
      <c r="H234" s="1" t="s">
        <v>919</v>
      </c>
      <c r="I234" s="1" t="s">
        <v>920</v>
      </c>
      <c r="J234" s="80"/>
      <c r="K234" s="80"/>
      <c r="L234" s="80"/>
      <c r="M234" s="80"/>
      <c r="N234" s="80"/>
      <c r="O234" s="80"/>
      <c r="P234" s="80"/>
      <c r="Q234" s="80"/>
    </row>
    <row r="235" spans="1:17" customFormat="1" ht="28.5">
      <c r="A235" t="s">
        <v>239</v>
      </c>
      <c r="B235" t="s">
        <v>240</v>
      </c>
      <c r="C235" t="s">
        <v>921</v>
      </c>
      <c r="D235" s="5">
        <v>45959</v>
      </c>
      <c r="E235" s="5">
        <v>45959</v>
      </c>
      <c r="F235" s="120" t="s">
        <v>922</v>
      </c>
      <c r="G235" s="1"/>
      <c r="H235" s="1" t="s">
        <v>261</v>
      </c>
      <c r="I235" s="1" t="s">
        <v>923</v>
      </c>
      <c r="J235" s="80"/>
      <c r="K235" s="80"/>
      <c r="L235" s="80"/>
      <c r="M235" s="80"/>
      <c r="N235" s="80"/>
      <c r="O235" s="80"/>
      <c r="P235" s="80"/>
      <c r="Q235" s="80"/>
    </row>
    <row r="236" spans="1:17" customFormat="1" ht="42.75">
      <c r="A236" t="s">
        <v>239</v>
      </c>
      <c r="B236" t="s">
        <v>240</v>
      </c>
      <c r="C236" t="s">
        <v>921</v>
      </c>
      <c r="D236" s="5">
        <v>45959</v>
      </c>
      <c r="E236" s="5">
        <v>45959</v>
      </c>
      <c r="F236" s="120" t="s">
        <v>924</v>
      </c>
      <c r="G236" s="1"/>
      <c r="H236" s="1" t="s">
        <v>433</v>
      </c>
      <c r="I236" s="1" t="s">
        <v>925</v>
      </c>
      <c r="J236" s="80"/>
      <c r="K236" s="80"/>
      <c r="L236" s="80"/>
      <c r="M236" s="80"/>
      <c r="N236" s="80"/>
      <c r="O236" s="80"/>
      <c r="P236" s="80"/>
      <c r="Q236" s="80"/>
    </row>
    <row r="237" spans="1:17" customFormat="1" ht="28.5">
      <c r="A237" t="s">
        <v>239</v>
      </c>
      <c r="B237" t="s">
        <v>240</v>
      </c>
      <c r="C237" t="s">
        <v>926</v>
      </c>
      <c r="D237" s="5">
        <v>45959</v>
      </c>
      <c r="E237" s="5">
        <v>45959</v>
      </c>
      <c r="F237" s="120" t="s">
        <v>927</v>
      </c>
      <c r="G237" s="1"/>
      <c r="H237" s="1" t="s">
        <v>261</v>
      </c>
      <c r="I237" s="1" t="s">
        <v>928</v>
      </c>
      <c r="J237" s="80"/>
      <c r="K237" s="80"/>
      <c r="L237" s="80"/>
      <c r="M237" s="80"/>
      <c r="N237" s="80"/>
      <c r="O237" s="80"/>
      <c r="P237" s="80"/>
      <c r="Q237" s="80"/>
    </row>
    <row r="238" spans="1:17" customFormat="1" ht="42.75">
      <c r="A238" t="s">
        <v>239</v>
      </c>
      <c r="B238" t="s">
        <v>240</v>
      </c>
      <c r="C238" t="s">
        <v>926</v>
      </c>
      <c r="D238" s="5">
        <v>45959</v>
      </c>
      <c r="E238" s="5">
        <v>45959</v>
      </c>
      <c r="F238" s="120" t="s">
        <v>929</v>
      </c>
      <c r="G238" s="1"/>
      <c r="H238" s="1" t="s">
        <v>467</v>
      </c>
      <c r="I238" s="1" t="s">
        <v>930</v>
      </c>
      <c r="J238" s="80"/>
      <c r="K238" s="80"/>
      <c r="L238" s="80"/>
      <c r="M238" s="80"/>
      <c r="N238" s="80"/>
      <c r="O238" s="80"/>
      <c r="P238" s="80"/>
      <c r="Q238" s="80"/>
    </row>
    <row r="239" spans="1:17" customFormat="1" ht="28.5">
      <c r="A239" t="s">
        <v>239</v>
      </c>
      <c r="B239" t="s">
        <v>240</v>
      </c>
      <c r="C239" t="s">
        <v>931</v>
      </c>
      <c r="D239" s="5">
        <v>45959</v>
      </c>
      <c r="E239" s="5">
        <v>45959</v>
      </c>
      <c r="F239" s="120" t="s">
        <v>932</v>
      </c>
      <c r="G239" s="1"/>
      <c r="H239" s="1" t="s">
        <v>254</v>
      </c>
      <c r="I239" s="1" t="s">
        <v>933</v>
      </c>
      <c r="J239" s="80"/>
      <c r="K239" s="80"/>
      <c r="L239" s="80"/>
      <c r="M239" s="80"/>
      <c r="N239" s="80"/>
      <c r="O239" s="80"/>
      <c r="P239" s="80"/>
      <c r="Q239" s="80"/>
    </row>
    <row r="240" spans="1:17" customFormat="1" ht="42.75">
      <c r="A240" t="s">
        <v>239</v>
      </c>
      <c r="B240" t="s">
        <v>240</v>
      </c>
      <c r="C240" t="s">
        <v>931</v>
      </c>
      <c r="D240" s="5">
        <v>45959</v>
      </c>
      <c r="E240" s="5">
        <v>45959</v>
      </c>
      <c r="F240" s="120" t="s">
        <v>934</v>
      </c>
      <c r="G240" s="1"/>
      <c r="H240" s="1" t="s">
        <v>295</v>
      </c>
      <c r="I240" s="1" t="s">
        <v>935</v>
      </c>
      <c r="J240" s="80"/>
      <c r="K240" s="80"/>
      <c r="L240" s="80"/>
      <c r="M240" s="80"/>
      <c r="N240" s="80"/>
      <c r="O240" s="80"/>
      <c r="P240" s="80"/>
      <c r="Q240" s="80"/>
    </row>
    <row r="241" spans="1:17" customFormat="1" ht="42.75">
      <c r="A241" t="s">
        <v>239</v>
      </c>
      <c r="B241" t="s">
        <v>240</v>
      </c>
      <c r="C241" t="s">
        <v>936</v>
      </c>
      <c r="D241" s="5">
        <v>45959</v>
      </c>
      <c r="E241" s="5">
        <v>45959</v>
      </c>
      <c r="F241" s="120" t="s">
        <v>937</v>
      </c>
      <c r="G241" s="1"/>
      <c r="H241" s="1" t="s">
        <v>261</v>
      </c>
      <c r="I241" s="1" t="s">
        <v>938</v>
      </c>
      <c r="J241" s="80"/>
      <c r="K241" s="80"/>
      <c r="L241" s="80"/>
      <c r="M241" s="80"/>
      <c r="N241" s="80"/>
      <c r="O241" s="80"/>
      <c r="P241" s="80"/>
      <c r="Q241" s="80"/>
    </row>
    <row r="242" spans="1:17" customFormat="1" ht="42.75">
      <c r="A242" t="s">
        <v>239</v>
      </c>
      <c r="B242" t="s">
        <v>240</v>
      </c>
      <c r="C242" t="s">
        <v>936</v>
      </c>
      <c r="D242" s="5">
        <v>45959</v>
      </c>
      <c r="E242" s="5">
        <v>45959</v>
      </c>
      <c r="F242" s="120" t="s">
        <v>939</v>
      </c>
      <c r="G242" s="1"/>
      <c r="H242" s="1" t="s">
        <v>940</v>
      </c>
      <c r="I242" s="1" t="s">
        <v>941</v>
      </c>
      <c r="J242" s="80"/>
      <c r="K242" s="80"/>
      <c r="L242" s="80"/>
      <c r="M242" s="80"/>
      <c r="N242" s="80"/>
      <c r="O242" s="80"/>
      <c r="P242" s="80"/>
      <c r="Q242" s="80"/>
    </row>
    <row r="243" spans="1:17" customFormat="1" ht="28.5">
      <c r="A243" t="s">
        <v>239</v>
      </c>
      <c r="B243" t="s">
        <v>240</v>
      </c>
      <c r="C243" t="s">
        <v>942</v>
      </c>
      <c r="D243" s="5">
        <v>45959</v>
      </c>
      <c r="E243" s="5">
        <v>45959</v>
      </c>
      <c r="F243" s="120" t="s">
        <v>943</v>
      </c>
      <c r="G243" s="1"/>
      <c r="H243" s="1" t="s">
        <v>254</v>
      </c>
      <c r="I243" s="1" t="s">
        <v>944</v>
      </c>
      <c r="J243" s="80"/>
      <c r="K243" s="80"/>
      <c r="L243" s="80"/>
      <c r="M243" s="80"/>
      <c r="N243" s="80"/>
      <c r="O243" s="80"/>
      <c r="P243" s="80"/>
      <c r="Q243" s="80"/>
    </row>
    <row r="244" spans="1:17" customFormat="1" ht="42.75">
      <c r="A244" t="s">
        <v>239</v>
      </c>
      <c r="B244" t="s">
        <v>240</v>
      </c>
      <c r="C244" t="s">
        <v>942</v>
      </c>
      <c r="D244" s="5">
        <v>45959</v>
      </c>
      <c r="E244" s="5">
        <v>45959</v>
      </c>
      <c r="F244" s="120" t="s">
        <v>945</v>
      </c>
      <c r="G244" s="1"/>
      <c r="H244" s="1" t="s">
        <v>295</v>
      </c>
      <c r="I244" s="1" t="s">
        <v>946</v>
      </c>
      <c r="J244" s="80"/>
      <c r="K244" s="80"/>
      <c r="L244" s="80"/>
      <c r="M244" s="80"/>
      <c r="N244" s="80"/>
      <c r="O244" s="80"/>
      <c r="P244" s="80"/>
      <c r="Q244" s="80"/>
    </row>
    <row r="245" spans="1:17" customFormat="1">
      <c r="A245" t="s">
        <v>239</v>
      </c>
      <c r="B245" t="s">
        <v>240</v>
      </c>
      <c r="C245" t="s">
        <v>947</v>
      </c>
      <c r="D245" s="5">
        <v>45961</v>
      </c>
      <c r="E245" s="5">
        <v>45961</v>
      </c>
      <c r="F245" s="120" t="s">
        <v>948</v>
      </c>
      <c r="G245" s="1"/>
      <c r="H245" s="1" t="s">
        <v>949</v>
      </c>
      <c r="I245" s="1" t="s">
        <v>950</v>
      </c>
      <c r="J245" s="80"/>
      <c r="K245" s="80"/>
      <c r="L245" s="80"/>
      <c r="M245" s="80"/>
      <c r="N245" s="80"/>
      <c r="O245" s="80"/>
      <c r="P245" s="80"/>
      <c r="Q245" s="80"/>
    </row>
    <row r="246" spans="1:17" customFormat="1" ht="28.5">
      <c r="A246" t="s">
        <v>239</v>
      </c>
      <c r="B246" t="s">
        <v>240</v>
      </c>
      <c r="C246" t="s">
        <v>951</v>
      </c>
      <c r="D246" s="5">
        <v>45961</v>
      </c>
      <c r="E246" s="5">
        <v>45961</v>
      </c>
      <c r="F246" s="120" t="s">
        <v>952</v>
      </c>
      <c r="G246" s="1" t="s">
        <v>953</v>
      </c>
      <c r="H246" s="1"/>
      <c r="I246" s="1" t="s">
        <v>954</v>
      </c>
      <c r="J246" s="80"/>
      <c r="K246" s="80"/>
      <c r="L246" s="80"/>
      <c r="M246" s="80"/>
      <c r="N246" s="80"/>
      <c r="O246" s="80"/>
      <c r="P246" s="80"/>
      <c r="Q246" s="80"/>
    </row>
    <row r="247" spans="1:17" customFormat="1">
      <c r="B247" t="s">
        <v>240</v>
      </c>
      <c r="C247" t="s">
        <v>955</v>
      </c>
      <c r="D247" s="5">
        <v>45961</v>
      </c>
      <c r="E247" s="5">
        <v>45961</v>
      </c>
      <c r="F247" s="120" t="s">
        <v>956</v>
      </c>
      <c r="G247" s="1"/>
      <c r="H247" s="1" t="s">
        <v>261</v>
      </c>
      <c r="I247" s="1" t="s">
        <v>957</v>
      </c>
      <c r="J247" s="80"/>
      <c r="K247" s="80"/>
      <c r="L247" s="80"/>
      <c r="M247" s="80"/>
      <c r="N247" s="80"/>
      <c r="O247" s="80"/>
      <c r="P247" s="80"/>
      <c r="Q247" s="80"/>
    </row>
    <row r="248" spans="1:17" customFormat="1">
      <c r="B248" t="s">
        <v>240</v>
      </c>
      <c r="C248" t="s">
        <v>955</v>
      </c>
      <c r="D248" s="5">
        <v>45961</v>
      </c>
      <c r="E248" s="5">
        <v>45961</v>
      </c>
      <c r="F248" s="120" t="s">
        <v>958</v>
      </c>
      <c r="G248" s="1"/>
      <c r="H248" s="1" t="s">
        <v>959</v>
      </c>
      <c r="I248" s="1" t="s">
        <v>960</v>
      </c>
      <c r="J248" s="80"/>
      <c r="K248" s="80"/>
      <c r="L248" s="80"/>
      <c r="M248" s="80"/>
      <c r="N248" s="80"/>
      <c r="O248" s="80"/>
      <c r="P248" s="80"/>
      <c r="Q248" s="80"/>
    </row>
    <row r="249" spans="1:17" customFormat="1" ht="28.5">
      <c r="A249" t="s">
        <v>239</v>
      </c>
      <c r="B249" t="s">
        <v>240</v>
      </c>
      <c r="C249" t="s">
        <v>961</v>
      </c>
      <c r="D249" s="5">
        <v>45964</v>
      </c>
      <c r="E249" s="5">
        <v>45964</v>
      </c>
      <c r="F249" s="120" t="s">
        <v>962</v>
      </c>
      <c r="G249" s="1"/>
      <c r="H249" s="1" t="s">
        <v>261</v>
      </c>
      <c r="I249" s="1" t="s">
        <v>963</v>
      </c>
      <c r="J249" s="80"/>
      <c r="K249" s="80"/>
      <c r="L249" s="80"/>
      <c r="M249" s="80"/>
      <c r="N249" s="80"/>
      <c r="O249" s="80"/>
      <c r="P249" s="80"/>
      <c r="Q249" s="80"/>
    </row>
    <row r="250" spans="1:17" customFormat="1" ht="42.75">
      <c r="A250" t="s">
        <v>239</v>
      </c>
      <c r="B250" t="s">
        <v>240</v>
      </c>
      <c r="C250" t="s">
        <v>961</v>
      </c>
      <c r="D250" s="5">
        <v>45964</v>
      </c>
      <c r="E250" s="5">
        <v>45964</v>
      </c>
      <c r="F250" s="120" t="s">
        <v>964</v>
      </c>
      <c r="G250" s="1"/>
      <c r="H250" s="1" t="s">
        <v>277</v>
      </c>
      <c r="I250" s="1" t="s">
        <v>965</v>
      </c>
      <c r="J250" s="80"/>
      <c r="K250" s="80"/>
      <c r="L250" s="80"/>
      <c r="M250" s="80"/>
      <c r="N250" s="80"/>
      <c r="O250" s="80"/>
      <c r="P250" s="80"/>
      <c r="Q250" s="80"/>
    </row>
    <row r="251" spans="1:17" customFormat="1" ht="28.5">
      <c r="A251" t="s">
        <v>239</v>
      </c>
      <c r="B251" t="s">
        <v>240</v>
      </c>
      <c r="C251" t="s">
        <v>966</v>
      </c>
      <c r="D251" s="5">
        <v>45964</v>
      </c>
      <c r="E251" s="5">
        <v>45964</v>
      </c>
      <c r="F251" s="120" t="s">
        <v>967</v>
      </c>
      <c r="G251" s="1"/>
      <c r="H251" s="1" t="s">
        <v>254</v>
      </c>
      <c r="I251" s="1" t="s">
        <v>968</v>
      </c>
      <c r="J251" s="80"/>
      <c r="K251" s="80"/>
      <c r="L251" s="80"/>
      <c r="M251" s="80"/>
      <c r="N251" s="80"/>
      <c r="O251" s="80"/>
      <c r="P251" s="80"/>
      <c r="Q251" s="80"/>
    </row>
    <row r="252" spans="1:17" customFormat="1" ht="42.75">
      <c r="A252" t="s">
        <v>239</v>
      </c>
      <c r="B252" t="s">
        <v>240</v>
      </c>
      <c r="C252" t="s">
        <v>966</v>
      </c>
      <c r="D252" s="5">
        <v>45964</v>
      </c>
      <c r="E252" s="5">
        <v>45964</v>
      </c>
      <c r="F252" s="120" t="s">
        <v>969</v>
      </c>
      <c r="G252" s="1"/>
      <c r="H252" s="1" t="s">
        <v>295</v>
      </c>
      <c r="I252" s="1" t="s">
        <v>970</v>
      </c>
      <c r="J252" s="80"/>
      <c r="K252" s="80"/>
      <c r="L252" s="80"/>
      <c r="M252" s="80"/>
      <c r="N252" s="80"/>
      <c r="O252" s="80"/>
      <c r="P252" s="80"/>
      <c r="Q252" s="80"/>
    </row>
    <row r="253" spans="1:17" customFormat="1">
      <c r="A253" t="s">
        <v>239</v>
      </c>
      <c r="B253" t="s">
        <v>240</v>
      </c>
      <c r="C253" t="s">
        <v>971</v>
      </c>
      <c r="D253" s="5">
        <v>45964</v>
      </c>
      <c r="E253" s="5">
        <v>45964</v>
      </c>
      <c r="F253" s="120" t="s">
        <v>972</v>
      </c>
      <c r="G253" s="1" t="s">
        <v>897</v>
      </c>
      <c r="H253" s="1"/>
      <c r="I253" s="1" t="s">
        <v>973</v>
      </c>
      <c r="J253" s="80"/>
      <c r="K253" s="80"/>
      <c r="L253" s="80"/>
      <c r="M253" s="80"/>
      <c r="N253" s="80"/>
      <c r="O253" s="80"/>
      <c r="P253" s="80"/>
      <c r="Q253" s="80"/>
    </row>
    <row r="254" spans="1:17" customFormat="1" ht="28.5">
      <c r="A254" t="s">
        <v>239</v>
      </c>
      <c r="B254" t="s">
        <v>240</v>
      </c>
      <c r="C254" t="s">
        <v>974</v>
      </c>
      <c r="D254" s="5">
        <v>45964</v>
      </c>
      <c r="E254" s="5">
        <v>45964</v>
      </c>
      <c r="F254" s="120" t="s">
        <v>975</v>
      </c>
      <c r="G254" s="1"/>
      <c r="H254" s="1" t="s">
        <v>261</v>
      </c>
      <c r="I254" s="1" t="s">
        <v>976</v>
      </c>
      <c r="J254" s="80"/>
      <c r="K254" s="80"/>
      <c r="L254" s="80"/>
      <c r="M254" s="80"/>
      <c r="N254" s="80"/>
      <c r="O254" s="80"/>
      <c r="P254" s="80"/>
      <c r="Q254" s="80"/>
    </row>
    <row r="255" spans="1:17" customFormat="1" ht="42.75">
      <c r="A255" t="s">
        <v>239</v>
      </c>
      <c r="B255" t="s">
        <v>240</v>
      </c>
      <c r="C255" t="s">
        <v>974</v>
      </c>
      <c r="D255" s="5">
        <v>45964</v>
      </c>
      <c r="E255" s="5">
        <v>45964</v>
      </c>
      <c r="F255" s="120" t="s">
        <v>977</v>
      </c>
      <c r="G255" s="1"/>
      <c r="H255" s="1" t="s">
        <v>978</v>
      </c>
      <c r="I255" s="1" t="s">
        <v>979</v>
      </c>
      <c r="J255" s="80"/>
      <c r="K255" s="80"/>
      <c r="L255" s="80"/>
      <c r="M255" s="80"/>
      <c r="N255" s="80"/>
      <c r="O255" s="80"/>
      <c r="P255" s="80"/>
      <c r="Q255" s="80"/>
    </row>
    <row r="256" spans="1:17" customFormat="1" ht="28.5">
      <c r="A256" t="s">
        <v>239</v>
      </c>
      <c r="B256" t="s">
        <v>240</v>
      </c>
      <c r="C256" t="s">
        <v>980</v>
      </c>
      <c r="D256" s="5">
        <v>45964</v>
      </c>
      <c r="E256" s="5">
        <v>45964</v>
      </c>
      <c r="F256" s="120" t="s">
        <v>981</v>
      </c>
      <c r="G256" s="1"/>
      <c r="H256" s="1" t="s">
        <v>254</v>
      </c>
      <c r="I256" s="1" t="s">
        <v>982</v>
      </c>
      <c r="J256" s="80"/>
      <c r="K256" s="80"/>
      <c r="L256" s="80"/>
      <c r="M256" s="80"/>
      <c r="N256" s="80"/>
      <c r="O256" s="80"/>
      <c r="P256" s="80"/>
      <c r="Q256" s="80"/>
    </row>
    <row r="257" spans="1:17" customFormat="1" ht="42.75">
      <c r="A257" t="s">
        <v>239</v>
      </c>
      <c r="B257" t="s">
        <v>240</v>
      </c>
      <c r="C257" t="s">
        <v>980</v>
      </c>
      <c r="D257" s="5">
        <v>45964</v>
      </c>
      <c r="E257" s="5">
        <v>45964</v>
      </c>
      <c r="F257" s="120" t="s">
        <v>983</v>
      </c>
      <c r="G257" s="1"/>
      <c r="H257" s="1" t="s">
        <v>984</v>
      </c>
      <c r="I257" s="1" t="s">
        <v>985</v>
      </c>
      <c r="J257" s="80"/>
      <c r="K257" s="80"/>
      <c r="L257" s="80"/>
      <c r="M257" s="80"/>
      <c r="N257" s="80"/>
      <c r="O257" s="80"/>
      <c r="P257" s="80"/>
      <c r="Q257" s="80"/>
    </row>
    <row r="258" spans="1:17" customFormat="1" ht="42.75">
      <c r="A258" t="s">
        <v>239</v>
      </c>
      <c r="B258" t="s">
        <v>240</v>
      </c>
      <c r="C258" t="s">
        <v>986</v>
      </c>
      <c r="D258" s="5">
        <v>45964</v>
      </c>
      <c r="E258" s="5">
        <v>45964</v>
      </c>
      <c r="F258" s="120" t="s">
        <v>987</v>
      </c>
      <c r="G258" s="1"/>
      <c r="H258" s="1" t="s">
        <v>261</v>
      </c>
      <c r="I258" s="1" t="s">
        <v>988</v>
      </c>
      <c r="J258" s="80"/>
      <c r="K258" s="80"/>
      <c r="L258" s="80"/>
      <c r="M258" s="80"/>
      <c r="N258" s="80"/>
      <c r="O258" s="80"/>
      <c r="P258" s="80"/>
      <c r="Q258" s="80"/>
    </row>
    <row r="259" spans="1:17" customFormat="1" ht="42.75">
      <c r="A259" t="s">
        <v>239</v>
      </c>
      <c r="B259" t="s">
        <v>240</v>
      </c>
      <c r="C259" t="s">
        <v>986</v>
      </c>
      <c r="D259" s="5">
        <v>45964</v>
      </c>
      <c r="E259" s="5">
        <v>45964</v>
      </c>
      <c r="F259" s="120" t="s">
        <v>989</v>
      </c>
      <c r="G259" s="1"/>
      <c r="H259" s="1" t="s">
        <v>264</v>
      </c>
      <c r="I259" s="1" t="s">
        <v>990</v>
      </c>
      <c r="J259" s="80"/>
      <c r="K259" s="80"/>
      <c r="L259" s="80"/>
      <c r="M259" s="80"/>
      <c r="N259" s="80"/>
      <c r="O259" s="80"/>
      <c r="P259" s="80"/>
      <c r="Q259" s="80"/>
    </row>
    <row r="260" spans="1:17" customFormat="1" ht="28.5">
      <c r="A260" t="s">
        <v>239</v>
      </c>
      <c r="B260" t="s">
        <v>240</v>
      </c>
      <c r="C260" t="s">
        <v>991</v>
      </c>
      <c r="D260" s="5">
        <v>45964</v>
      </c>
      <c r="E260" s="5">
        <v>45964</v>
      </c>
      <c r="F260" s="120" t="s">
        <v>992</v>
      </c>
      <c r="G260" s="1"/>
      <c r="H260" s="1" t="s">
        <v>261</v>
      </c>
      <c r="I260" s="1" t="s">
        <v>993</v>
      </c>
      <c r="J260" s="80"/>
      <c r="K260" s="80"/>
      <c r="L260" s="80"/>
      <c r="M260" s="80"/>
      <c r="N260" s="80"/>
      <c r="O260" s="80"/>
      <c r="P260" s="80"/>
      <c r="Q260" s="80"/>
    </row>
    <row r="261" spans="1:17" customFormat="1" ht="42.75">
      <c r="A261" t="s">
        <v>239</v>
      </c>
      <c r="B261" t="s">
        <v>240</v>
      </c>
      <c r="C261" t="s">
        <v>991</v>
      </c>
      <c r="D261" s="5">
        <v>45964</v>
      </c>
      <c r="E261" s="5">
        <v>45964</v>
      </c>
      <c r="F261" s="120" t="s">
        <v>994</v>
      </c>
      <c r="G261" s="1"/>
      <c r="H261" s="1" t="s">
        <v>630</v>
      </c>
      <c r="I261" s="1" t="s">
        <v>995</v>
      </c>
      <c r="J261" s="80"/>
      <c r="K261" s="80"/>
      <c r="L261" s="80"/>
      <c r="M261" s="80"/>
      <c r="N261" s="80"/>
      <c r="O261" s="80"/>
      <c r="P261" s="80"/>
      <c r="Q261" s="80"/>
    </row>
    <row r="262" spans="1:17" customFormat="1" ht="28.5">
      <c r="A262" t="s">
        <v>239</v>
      </c>
      <c r="B262" t="s">
        <v>240</v>
      </c>
      <c r="C262" t="s">
        <v>996</v>
      </c>
      <c r="D262" s="5">
        <v>45964</v>
      </c>
      <c r="E262" s="5">
        <v>45964</v>
      </c>
      <c r="F262" s="120" t="s">
        <v>997</v>
      </c>
      <c r="G262" s="1"/>
      <c r="H262" s="1" t="s">
        <v>261</v>
      </c>
      <c r="I262" s="1" t="s">
        <v>998</v>
      </c>
      <c r="J262" s="80"/>
      <c r="K262" s="80"/>
      <c r="L262" s="80"/>
      <c r="M262" s="80"/>
      <c r="N262" s="80"/>
      <c r="O262" s="80"/>
      <c r="P262" s="80"/>
      <c r="Q262" s="80"/>
    </row>
    <row r="263" spans="1:17" customFormat="1" ht="42.75">
      <c r="A263" t="s">
        <v>239</v>
      </c>
      <c r="B263" t="s">
        <v>240</v>
      </c>
      <c r="C263" t="s">
        <v>996</v>
      </c>
      <c r="D263" s="5">
        <v>45964</v>
      </c>
      <c r="E263" s="5">
        <v>45964</v>
      </c>
      <c r="F263" s="120" t="s">
        <v>999</v>
      </c>
      <c r="G263" s="1"/>
      <c r="H263" s="1" t="s">
        <v>1000</v>
      </c>
      <c r="I263" s="1" t="s">
        <v>1001</v>
      </c>
      <c r="J263" s="80"/>
      <c r="K263" s="80"/>
      <c r="L263" s="80"/>
      <c r="M263" s="80"/>
      <c r="N263" s="80"/>
      <c r="O263" s="80"/>
      <c r="P263" s="80"/>
      <c r="Q263" s="80"/>
    </row>
    <row r="264" spans="1:17" customFormat="1">
      <c r="A264" t="s">
        <v>239</v>
      </c>
      <c r="B264" t="s">
        <v>240</v>
      </c>
      <c r="C264" t="s">
        <v>1002</v>
      </c>
      <c r="D264" s="5">
        <v>45964</v>
      </c>
      <c r="E264" s="5">
        <v>45964</v>
      </c>
      <c r="F264" s="120" t="s">
        <v>1003</v>
      </c>
      <c r="G264" s="1" t="s">
        <v>1004</v>
      </c>
      <c r="H264" s="1"/>
      <c r="I264" s="1" t="s">
        <v>1005</v>
      </c>
      <c r="J264" s="80"/>
      <c r="K264" s="80"/>
      <c r="L264" s="80"/>
      <c r="M264" s="80"/>
      <c r="N264" s="80"/>
      <c r="O264" s="80"/>
      <c r="P264" s="80"/>
      <c r="Q264" s="80"/>
    </row>
    <row r="265" spans="1:17" customFormat="1" ht="28.5">
      <c r="A265" t="s">
        <v>239</v>
      </c>
      <c r="B265" t="s">
        <v>240</v>
      </c>
      <c r="C265" t="s">
        <v>1006</v>
      </c>
      <c r="D265" s="5">
        <v>45964</v>
      </c>
      <c r="E265" s="5">
        <v>45964</v>
      </c>
      <c r="F265" s="120" t="s">
        <v>1007</v>
      </c>
      <c r="G265" s="1"/>
      <c r="H265" s="1" t="s">
        <v>243</v>
      </c>
      <c r="I265" s="1" t="s">
        <v>1008</v>
      </c>
      <c r="J265" s="80"/>
      <c r="K265" s="80"/>
      <c r="L265" s="80"/>
      <c r="M265" s="80"/>
      <c r="N265" s="80"/>
      <c r="O265" s="80"/>
      <c r="P265" s="80"/>
      <c r="Q265" s="80"/>
    </row>
    <row r="266" spans="1:17" customFormat="1" ht="28.5">
      <c r="A266" t="s">
        <v>239</v>
      </c>
      <c r="B266" t="s">
        <v>240</v>
      </c>
      <c r="C266" t="s">
        <v>1006</v>
      </c>
      <c r="D266" s="5">
        <v>45964</v>
      </c>
      <c r="E266" s="5">
        <v>45964</v>
      </c>
      <c r="F266" s="120" t="s">
        <v>1009</v>
      </c>
      <c r="G266" s="1"/>
      <c r="H266" s="1" t="s">
        <v>1010</v>
      </c>
      <c r="I266" s="1" t="s">
        <v>1011</v>
      </c>
      <c r="J266" s="80"/>
      <c r="K266" s="80"/>
      <c r="L266" s="80"/>
      <c r="M266" s="80"/>
      <c r="N266" s="80"/>
      <c r="O266" s="80"/>
      <c r="P266" s="80"/>
      <c r="Q266" s="80"/>
    </row>
    <row r="267" spans="1:17" customFormat="1" ht="28.5">
      <c r="A267" t="s">
        <v>239</v>
      </c>
      <c r="B267" t="s">
        <v>240</v>
      </c>
      <c r="C267" t="s">
        <v>1012</v>
      </c>
      <c r="D267" s="5">
        <v>45964</v>
      </c>
      <c r="E267" s="5">
        <v>45964</v>
      </c>
      <c r="F267" s="120" t="s">
        <v>1013</v>
      </c>
      <c r="G267" s="1"/>
      <c r="H267" s="1" t="s">
        <v>254</v>
      </c>
      <c r="I267" s="1" t="s">
        <v>1014</v>
      </c>
      <c r="J267" s="80"/>
      <c r="K267" s="80"/>
      <c r="L267" s="80"/>
      <c r="M267" s="80"/>
      <c r="N267" s="80"/>
      <c r="O267" s="80"/>
      <c r="P267" s="80"/>
      <c r="Q267" s="80"/>
    </row>
    <row r="268" spans="1:17" customFormat="1" ht="42.75">
      <c r="A268" t="s">
        <v>239</v>
      </c>
      <c r="B268" t="s">
        <v>240</v>
      </c>
      <c r="C268" t="s">
        <v>1012</v>
      </c>
      <c r="D268" s="5">
        <v>45964</v>
      </c>
      <c r="E268" s="5">
        <v>45964</v>
      </c>
      <c r="F268" s="120" t="s">
        <v>1015</v>
      </c>
      <c r="G268" s="1"/>
      <c r="H268" s="1" t="s">
        <v>756</v>
      </c>
      <c r="I268" s="1" t="s">
        <v>1016</v>
      </c>
      <c r="J268" s="80"/>
      <c r="K268" s="80"/>
      <c r="L268" s="80"/>
      <c r="M268" s="80"/>
      <c r="N268" s="80"/>
      <c r="O268" s="80"/>
      <c r="P268" s="80"/>
      <c r="Q268" s="80"/>
    </row>
    <row r="269" spans="1:17" customFormat="1" ht="28.5">
      <c r="A269" t="s">
        <v>239</v>
      </c>
      <c r="B269" t="s">
        <v>240</v>
      </c>
      <c r="C269" t="s">
        <v>1017</v>
      </c>
      <c r="D269" s="5">
        <v>45964</v>
      </c>
      <c r="E269" s="5">
        <v>45964</v>
      </c>
      <c r="F269" s="120" t="s">
        <v>1018</v>
      </c>
      <c r="G269" s="1"/>
      <c r="H269" s="1" t="s">
        <v>261</v>
      </c>
      <c r="I269" s="1" t="s">
        <v>1019</v>
      </c>
      <c r="J269" s="80"/>
      <c r="K269" s="80"/>
      <c r="L269" s="80"/>
      <c r="M269" s="80"/>
      <c r="N269" s="80"/>
      <c r="O269" s="80"/>
      <c r="P269" s="80"/>
      <c r="Q269" s="80"/>
    </row>
    <row r="270" spans="1:17" customFormat="1" ht="42.75">
      <c r="A270" t="s">
        <v>239</v>
      </c>
      <c r="B270" t="s">
        <v>240</v>
      </c>
      <c r="C270" t="s">
        <v>1017</v>
      </c>
      <c r="D270" s="5">
        <v>45964</v>
      </c>
      <c r="E270" s="5">
        <v>45964</v>
      </c>
      <c r="F270" s="120" t="s">
        <v>1020</v>
      </c>
      <c r="G270" s="1"/>
      <c r="H270" s="1" t="s">
        <v>1021</v>
      </c>
      <c r="I270" s="1" t="s">
        <v>1022</v>
      </c>
      <c r="J270" s="80"/>
      <c r="K270" s="80"/>
      <c r="L270" s="80"/>
      <c r="M270" s="80"/>
      <c r="N270" s="80"/>
      <c r="O270" s="80"/>
      <c r="P270" s="80"/>
      <c r="Q270" s="80"/>
    </row>
    <row r="271" spans="1:17" customFormat="1" ht="28.5">
      <c r="A271" t="s">
        <v>239</v>
      </c>
      <c r="B271" t="s">
        <v>240</v>
      </c>
      <c r="C271" t="s">
        <v>1023</v>
      </c>
      <c r="D271" s="5">
        <v>45964</v>
      </c>
      <c r="E271" s="5">
        <v>45964</v>
      </c>
      <c r="F271" s="120" t="s">
        <v>1024</v>
      </c>
      <c r="G271" s="1"/>
      <c r="H271" s="1" t="s">
        <v>261</v>
      </c>
      <c r="I271" s="1" t="s">
        <v>1025</v>
      </c>
      <c r="J271" s="80"/>
      <c r="K271" s="80"/>
      <c r="L271" s="80"/>
      <c r="M271" s="80"/>
      <c r="N271" s="80"/>
      <c r="O271" s="80"/>
      <c r="P271" s="80"/>
      <c r="Q271" s="80"/>
    </row>
    <row r="272" spans="1:17" customFormat="1" ht="42.75">
      <c r="A272" t="s">
        <v>239</v>
      </c>
      <c r="B272" t="s">
        <v>240</v>
      </c>
      <c r="C272" t="s">
        <v>1023</v>
      </c>
      <c r="D272" s="5">
        <v>45964</v>
      </c>
      <c r="E272" s="5">
        <v>45964</v>
      </c>
      <c r="F272" s="120" t="s">
        <v>1026</v>
      </c>
      <c r="G272" s="1"/>
      <c r="H272" s="1" t="s">
        <v>642</v>
      </c>
      <c r="I272" s="1" t="s">
        <v>1027</v>
      </c>
      <c r="J272" s="80"/>
      <c r="K272" s="80"/>
      <c r="L272" s="80"/>
      <c r="M272" s="80"/>
      <c r="N272" s="80"/>
      <c r="O272" s="80"/>
      <c r="P272" s="80"/>
      <c r="Q272" s="80"/>
    </row>
    <row r="273" spans="1:17" customFormat="1" ht="28.5">
      <c r="A273" t="s">
        <v>239</v>
      </c>
      <c r="B273" t="s">
        <v>240</v>
      </c>
      <c r="C273" t="s">
        <v>1028</v>
      </c>
      <c r="D273" s="5">
        <v>45964</v>
      </c>
      <c r="E273" s="5">
        <v>45964</v>
      </c>
      <c r="F273" s="120" t="s">
        <v>1029</v>
      </c>
      <c r="G273" s="1"/>
      <c r="H273" s="1" t="s">
        <v>254</v>
      </c>
      <c r="I273" s="1" t="s">
        <v>1030</v>
      </c>
      <c r="J273" s="80"/>
      <c r="K273" s="80"/>
      <c r="L273" s="80"/>
      <c r="M273" s="80"/>
      <c r="N273" s="80"/>
      <c r="O273" s="80"/>
      <c r="P273" s="80"/>
      <c r="Q273" s="80"/>
    </row>
    <row r="274" spans="1:17" customFormat="1" ht="28.5">
      <c r="A274" t="s">
        <v>239</v>
      </c>
      <c r="B274" t="s">
        <v>240</v>
      </c>
      <c r="C274" t="s">
        <v>1028</v>
      </c>
      <c r="D274" s="5">
        <v>45964</v>
      </c>
      <c r="E274" s="5">
        <v>45964</v>
      </c>
      <c r="F274" s="120" t="s">
        <v>1031</v>
      </c>
      <c r="G274" s="1"/>
      <c r="H274" s="1" t="s">
        <v>1032</v>
      </c>
      <c r="I274" s="1" t="s">
        <v>1033</v>
      </c>
      <c r="J274" s="80"/>
      <c r="K274" s="80"/>
      <c r="L274" s="80"/>
      <c r="M274" s="80"/>
      <c r="N274" s="80"/>
      <c r="O274" s="80"/>
      <c r="P274" s="80"/>
      <c r="Q274" s="80"/>
    </row>
    <row r="275" spans="1:17" customFormat="1" ht="42.75">
      <c r="A275" t="s">
        <v>239</v>
      </c>
      <c r="B275" t="s">
        <v>240</v>
      </c>
      <c r="C275" t="s">
        <v>1034</v>
      </c>
      <c r="D275" s="5">
        <v>45964</v>
      </c>
      <c r="E275" s="5">
        <v>45964</v>
      </c>
      <c r="F275" s="120" t="s">
        <v>1035</v>
      </c>
      <c r="G275" s="1"/>
      <c r="H275" s="1" t="s">
        <v>254</v>
      </c>
      <c r="I275" s="1" t="s">
        <v>1036</v>
      </c>
      <c r="J275" s="80"/>
      <c r="K275" s="80"/>
      <c r="L275" s="80"/>
      <c r="M275" s="80"/>
      <c r="N275" s="80"/>
      <c r="O275" s="80"/>
      <c r="P275" s="80"/>
      <c r="Q275" s="80"/>
    </row>
    <row r="276" spans="1:17" customFormat="1" ht="42.75">
      <c r="A276" t="s">
        <v>239</v>
      </c>
      <c r="B276" t="s">
        <v>240</v>
      </c>
      <c r="C276" t="s">
        <v>1034</v>
      </c>
      <c r="D276" s="5">
        <v>45964</v>
      </c>
      <c r="E276" s="5">
        <v>45964</v>
      </c>
      <c r="F276" s="120" t="s">
        <v>1037</v>
      </c>
      <c r="G276" s="1"/>
      <c r="H276" s="1" t="s">
        <v>833</v>
      </c>
      <c r="I276" s="1" t="s">
        <v>1038</v>
      </c>
      <c r="J276" s="80"/>
      <c r="K276" s="80"/>
      <c r="L276" s="80"/>
      <c r="M276" s="80"/>
      <c r="N276" s="80"/>
      <c r="O276" s="80"/>
      <c r="P276" s="80"/>
      <c r="Q276" s="80"/>
    </row>
    <row r="277" spans="1:17" customFormat="1">
      <c r="A277" t="s">
        <v>239</v>
      </c>
      <c r="B277" t="s">
        <v>240</v>
      </c>
      <c r="C277" t="s">
        <v>1039</v>
      </c>
      <c r="D277" s="5">
        <v>45964</v>
      </c>
      <c r="E277" s="5">
        <v>45964</v>
      </c>
      <c r="F277" s="120" t="s">
        <v>1040</v>
      </c>
      <c r="G277" s="1" t="s">
        <v>1004</v>
      </c>
      <c r="H277" s="1"/>
      <c r="I277" s="1" t="s">
        <v>1041</v>
      </c>
      <c r="J277" s="80"/>
      <c r="K277" s="80"/>
      <c r="L277" s="80"/>
      <c r="M277" s="80"/>
      <c r="N277" s="80"/>
      <c r="O277" s="80"/>
      <c r="P277" s="80"/>
      <c r="Q277" s="80"/>
    </row>
    <row r="278" spans="1:17" customFormat="1" ht="28.5">
      <c r="A278" t="s">
        <v>239</v>
      </c>
      <c r="B278" t="s">
        <v>240</v>
      </c>
      <c r="C278" t="s">
        <v>1042</v>
      </c>
      <c r="D278" s="5">
        <v>45964</v>
      </c>
      <c r="E278" s="5">
        <v>45964</v>
      </c>
      <c r="F278" s="120" t="s">
        <v>1043</v>
      </c>
      <c r="G278" s="1" t="s">
        <v>1044</v>
      </c>
      <c r="H278" s="1"/>
      <c r="I278" s="1" t="s">
        <v>1045</v>
      </c>
      <c r="J278" s="80"/>
      <c r="K278" s="80"/>
      <c r="L278" s="80"/>
      <c r="M278" s="80"/>
      <c r="N278" s="80"/>
      <c r="O278" s="80"/>
      <c r="P278" s="80"/>
      <c r="Q278" s="80"/>
    </row>
    <row r="279" spans="1:17" customFormat="1" ht="28.5">
      <c r="A279" t="s">
        <v>239</v>
      </c>
      <c r="B279" t="s">
        <v>240</v>
      </c>
      <c r="C279" t="s">
        <v>1046</v>
      </c>
      <c r="D279" s="5">
        <v>45965</v>
      </c>
      <c r="E279" s="5">
        <v>45965</v>
      </c>
      <c r="F279" s="120" t="s">
        <v>1047</v>
      </c>
      <c r="G279" s="1" t="s">
        <v>1048</v>
      </c>
      <c r="H279" s="1"/>
      <c r="I279" s="1" t="s">
        <v>1049</v>
      </c>
      <c r="J279" s="80"/>
      <c r="K279" s="80"/>
      <c r="L279" s="80"/>
      <c r="M279" s="80"/>
      <c r="N279" s="80"/>
      <c r="O279" s="80"/>
      <c r="P279" s="80"/>
      <c r="Q279" s="80"/>
    </row>
    <row r="280" spans="1:17" customFormat="1" ht="28.5">
      <c r="A280" t="s">
        <v>1050</v>
      </c>
      <c r="B280" t="s">
        <v>240</v>
      </c>
      <c r="C280" t="s">
        <v>1051</v>
      </c>
      <c r="D280" s="5">
        <v>45965</v>
      </c>
      <c r="E280" s="5">
        <v>45965</v>
      </c>
      <c r="F280" s="120" t="s">
        <v>1052</v>
      </c>
      <c r="G280" s="1" t="s">
        <v>1053</v>
      </c>
      <c r="H280" s="1"/>
      <c r="I280" s="1" t="s">
        <v>1054</v>
      </c>
      <c r="J280" s="80"/>
      <c r="K280" s="80"/>
      <c r="L280" s="80"/>
      <c r="M280" s="80"/>
      <c r="N280" s="80"/>
      <c r="O280" s="80"/>
      <c r="P280" s="80"/>
      <c r="Q280" s="80"/>
    </row>
    <row r="281" spans="1:17" customFormat="1" ht="28.5">
      <c r="A281" t="s">
        <v>239</v>
      </c>
      <c r="B281" t="s">
        <v>240</v>
      </c>
      <c r="C281" t="s">
        <v>1055</v>
      </c>
      <c r="D281" s="5">
        <v>45965</v>
      </c>
      <c r="E281" s="5">
        <v>45965</v>
      </c>
      <c r="F281" s="120" t="s">
        <v>1056</v>
      </c>
      <c r="G281" s="1"/>
      <c r="H281" s="1" t="s">
        <v>261</v>
      </c>
      <c r="I281" s="1" t="s">
        <v>1057</v>
      </c>
      <c r="J281" s="80"/>
      <c r="K281" s="80"/>
      <c r="L281" s="80"/>
      <c r="M281" s="80"/>
      <c r="N281" s="80"/>
      <c r="O281" s="80"/>
      <c r="P281" s="80"/>
      <c r="Q281" s="80"/>
    </row>
    <row r="282" spans="1:17" customFormat="1" ht="42.75">
      <c r="A282" t="s">
        <v>239</v>
      </c>
      <c r="B282" t="s">
        <v>240</v>
      </c>
      <c r="C282" t="s">
        <v>1055</v>
      </c>
      <c r="D282" s="5">
        <v>45965</v>
      </c>
      <c r="E282" s="5">
        <v>45965</v>
      </c>
      <c r="F282" s="120" t="s">
        <v>1058</v>
      </c>
      <c r="G282" s="1"/>
      <c r="H282" s="1" t="s">
        <v>277</v>
      </c>
      <c r="I282" s="1" t="s">
        <v>1059</v>
      </c>
      <c r="J282" s="80"/>
      <c r="K282" s="80"/>
      <c r="L282" s="80"/>
      <c r="M282" s="80"/>
      <c r="N282" s="80"/>
      <c r="O282" s="80"/>
      <c r="P282" s="80"/>
      <c r="Q282" s="80"/>
    </row>
    <row r="283" spans="1:17" customFormat="1" ht="42.75">
      <c r="A283" t="s">
        <v>239</v>
      </c>
      <c r="B283" t="s">
        <v>240</v>
      </c>
      <c r="C283" t="s">
        <v>1060</v>
      </c>
      <c r="D283" s="5">
        <v>45966</v>
      </c>
      <c r="E283" s="5">
        <v>45966</v>
      </c>
      <c r="F283" s="120" t="s">
        <v>1061</v>
      </c>
      <c r="G283" s="1"/>
      <c r="H283" s="1" t="s">
        <v>277</v>
      </c>
      <c r="I283" s="1" t="s">
        <v>1062</v>
      </c>
      <c r="J283" s="80"/>
      <c r="K283" s="80"/>
      <c r="L283" s="80"/>
      <c r="M283" s="80"/>
      <c r="N283" s="80"/>
      <c r="O283" s="80"/>
      <c r="P283" s="80"/>
      <c r="Q283" s="80"/>
    </row>
    <row r="284" spans="1:17" customFormat="1" ht="28.5">
      <c r="A284" t="s">
        <v>239</v>
      </c>
      <c r="B284" t="s">
        <v>240</v>
      </c>
      <c r="C284" t="s">
        <v>1063</v>
      </c>
      <c r="D284" s="5">
        <v>45966</v>
      </c>
      <c r="E284" s="5">
        <v>45966</v>
      </c>
      <c r="F284" s="120" t="s">
        <v>1064</v>
      </c>
      <c r="G284" s="1"/>
      <c r="H284" s="1" t="s">
        <v>1065</v>
      </c>
      <c r="I284" s="1" t="s">
        <v>1066</v>
      </c>
      <c r="J284" s="80"/>
      <c r="K284" s="80"/>
      <c r="L284" s="80"/>
      <c r="M284" s="80"/>
      <c r="N284" s="80"/>
      <c r="O284" s="80"/>
      <c r="P284" s="80"/>
      <c r="Q284" s="80"/>
    </row>
    <row r="285" spans="1:17" customFormat="1" ht="42.75">
      <c r="A285" t="s">
        <v>239</v>
      </c>
      <c r="B285" t="s">
        <v>240</v>
      </c>
      <c r="C285" t="s">
        <v>1067</v>
      </c>
      <c r="D285" s="5">
        <v>45966</v>
      </c>
      <c r="E285" s="5">
        <v>45966</v>
      </c>
      <c r="F285" s="120" t="s">
        <v>1068</v>
      </c>
      <c r="G285" s="1"/>
      <c r="H285" s="1" t="s">
        <v>261</v>
      </c>
      <c r="I285" s="1" t="s">
        <v>1069</v>
      </c>
      <c r="J285" s="80"/>
      <c r="K285" s="80"/>
      <c r="L285" s="80"/>
      <c r="M285" s="80"/>
      <c r="N285" s="80"/>
      <c r="O285" s="80"/>
      <c r="P285" s="80"/>
      <c r="Q285" s="80"/>
    </row>
    <row r="286" spans="1:17" customFormat="1" ht="42.75">
      <c r="A286" t="s">
        <v>239</v>
      </c>
      <c r="B286" t="s">
        <v>240</v>
      </c>
      <c r="C286" t="s">
        <v>1067</v>
      </c>
      <c r="D286" s="5">
        <v>45966</v>
      </c>
      <c r="E286" s="5">
        <v>45966</v>
      </c>
      <c r="F286" s="120" t="s">
        <v>1070</v>
      </c>
      <c r="G286" s="1"/>
      <c r="H286" s="1" t="s">
        <v>313</v>
      </c>
      <c r="I286" s="1" t="s">
        <v>1071</v>
      </c>
      <c r="J286" s="80"/>
      <c r="K286" s="80"/>
      <c r="L286" s="80"/>
      <c r="M286" s="80"/>
      <c r="N286" s="80"/>
      <c r="O286" s="80"/>
      <c r="P286" s="80"/>
      <c r="Q286" s="80"/>
    </row>
    <row r="287" spans="1:17" customFormat="1" ht="42.75">
      <c r="A287" t="s">
        <v>239</v>
      </c>
      <c r="B287" t="s">
        <v>240</v>
      </c>
      <c r="C287" t="s">
        <v>1072</v>
      </c>
      <c r="D287" s="5">
        <v>45966</v>
      </c>
      <c r="E287" s="5">
        <v>45966</v>
      </c>
      <c r="F287" s="120" t="s">
        <v>1073</v>
      </c>
      <c r="G287" s="1"/>
      <c r="H287" s="1" t="s">
        <v>261</v>
      </c>
      <c r="I287" s="1" t="s">
        <v>1074</v>
      </c>
      <c r="J287" s="80"/>
      <c r="K287" s="80"/>
      <c r="L287" s="80"/>
      <c r="M287" s="80"/>
      <c r="N287" s="80"/>
      <c r="O287" s="80"/>
      <c r="P287" s="80"/>
      <c r="Q287" s="80"/>
    </row>
    <row r="288" spans="1:17" customFormat="1" ht="42.75">
      <c r="A288" t="s">
        <v>239</v>
      </c>
      <c r="B288" t="s">
        <v>240</v>
      </c>
      <c r="C288" t="s">
        <v>1072</v>
      </c>
      <c r="D288" s="5">
        <v>45966</v>
      </c>
      <c r="E288" s="5">
        <v>45966</v>
      </c>
      <c r="F288" s="120" t="s">
        <v>1075</v>
      </c>
      <c r="G288" s="1"/>
      <c r="H288" s="1" t="s">
        <v>368</v>
      </c>
      <c r="I288" s="1" t="s">
        <v>1076</v>
      </c>
      <c r="J288" s="80"/>
      <c r="K288" s="80"/>
      <c r="L288" s="80"/>
      <c r="M288" s="80"/>
      <c r="N288" s="80"/>
      <c r="O288" s="80"/>
      <c r="P288" s="80"/>
      <c r="Q288" s="80"/>
    </row>
    <row r="289" spans="1:17" customFormat="1">
      <c r="A289" t="s">
        <v>239</v>
      </c>
      <c r="B289" t="s">
        <v>240</v>
      </c>
      <c r="C289" t="s">
        <v>1077</v>
      </c>
      <c r="D289" s="5">
        <v>45966</v>
      </c>
      <c r="E289" s="5">
        <v>45966</v>
      </c>
      <c r="F289" s="120" t="s">
        <v>1078</v>
      </c>
      <c r="G289" s="1" t="s">
        <v>1004</v>
      </c>
      <c r="H289" s="1"/>
      <c r="I289" s="1" t="s">
        <v>1079</v>
      </c>
      <c r="J289" s="80"/>
      <c r="K289" s="80"/>
      <c r="L289" s="80"/>
      <c r="M289" s="80"/>
      <c r="N289" s="80"/>
      <c r="O289" s="80"/>
      <c r="P289" s="80"/>
      <c r="Q289" s="80"/>
    </row>
    <row r="290" spans="1:17" customFormat="1" ht="28.5">
      <c r="A290" t="s">
        <v>239</v>
      </c>
      <c r="B290" t="s">
        <v>240</v>
      </c>
      <c r="C290" t="s">
        <v>1080</v>
      </c>
      <c r="D290" s="5">
        <v>45966</v>
      </c>
      <c r="E290" s="5">
        <v>45966</v>
      </c>
      <c r="F290" s="120" t="s">
        <v>1081</v>
      </c>
      <c r="G290" s="1"/>
      <c r="H290" s="1" t="s">
        <v>254</v>
      </c>
      <c r="I290" s="1" t="s">
        <v>1082</v>
      </c>
      <c r="J290" s="80"/>
      <c r="K290" s="80"/>
      <c r="L290" s="80"/>
      <c r="M290" s="80"/>
      <c r="N290" s="80"/>
      <c r="O290" s="80"/>
      <c r="P290" s="80"/>
      <c r="Q290" s="80"/>
    </row>
    <row r="291" spans="1:17" customFormat="1" ht="42.75">
      <c r="A291" t="s">
        <v>239</v>
      </c>
      <c r="B291" t="s">
        <v>240</v>
      </c>
      <c r="C291" t="s">
        <v>1080</v>
      </c>
      <c r="D291" s="5">
        <v>45966</v>
      </c>
      <c r="E291" s="5">
        <v>45966</v>
      </c>
      <c r="F291" s="120" t="s">
        <v>1083</v>
      </c>
      <c r="G291" s="1"/>
      <c r="H291" s="1" t="s">
        <v>250</v>
      </c>
      <c r="I291" s="1" t="s">
        <v>1084</v>
      </c>
      <c r="J291" s="80"/>
      <c r="K291" s="80"/>
      <c r="L291" s="80"/>
      <c r="M291" s="80"/>
      <c r="N291" s="80"/>
      <c r="O291" s="80"/>
      <c r="P291" s="80"/>
      <c r="Q291" s="80"/>
    </row>
    <row r="292" spans="1:17" customFormat="1">
      <c r="A292" t="s">
        <v>239</v>
      </c>
      <c r="B292" t="s">
        <v>240</v>
      </c>
      <c r="C292" t="s">
        <v>1085</v>
      </c>
      <c r="D292" s="5">
        <v>45967</v>
      </c>
      <c r="E292" s="5">
        <v>45967</v>
      </c>
      <c r="F292" s="120" t="s">
        <v>1086</v>
      </c>
      <c r="G292" s="1" t="s">
        <v>1048</v>
      </c>
      <c r="H292" s="1"/>
      <c r="I292" s="1" t="s">
        <v>1087</v>
      </c>
      <c r="J292" s="80"/>
      <c r="K292" s="80"/>
      <c r="L292" s="80"/>
      <c r="M292" s="80"/>
      <c r="N292" s="80"/>
      <c r="O292" s="80"/>
      <c r="P292" s="80"/>
      <c r="Q292" s="80"/>
    </row>
    <row r="293" spans="1:17" customFormat="1" ht="28.5">
      <c r="A293" t="s">
        <v>239</v>
      </c>
      <c r="B293" t="s">
        <v>240</v>
      </c>
      <c r="C293" t="s">
        <v>1088</v>
      </c>
      <c r="D293" s="5">
        <v>45967</v>
      </c>
      <c r="E293" s="5">
        <v>45967</v>
      </c>
      <c r="F293" s="120" t="s">
        <v>1089</v>
      </c>
      <c r="G293" s="1"/>
      <c r="H293" s="1" t="s">
        <v>261</v>
      </c>
      <c r="I293" s="1" t="s">
        <v>1090</v>
      </c>
      <c r="J293" s="80"/>
      <c r="K293" s="80"/>
      <c r="L293" s="80"/>
      <c r="M293" s="80"/>
      <c r="N293" s="80"/>
      <c r="O293" s="80"/>
      <c r="P293" s="80"/>
      <c r="Q293" s="80"/>
    </row>
    <row r="294" spans="1:17" customFormat="1" ht="28.5">
      <c r="A294" t="s">
        <v>239</v>
      </c>
      <c r="B294" t="s">
        <v>240</v>
      </c>
      <c r="C294" t="s">
        <v>1088</v>
      </c>
      <c r="D294" s="5">
        <v>45967</v>
      </c>
      <c r="E294" s="5">
        <v>45967</v>
      </c>
      <c r="F294" s="120" t="s">
        <v>1091</v>
      </c>
      <c r="G294" s="1"/>
      <c r="H294" s="1" t="s">
        <v>467</v>
      </c>
      <c r="I294" s="1" t="s">
        <v>1092</v>
      </c>
      <c r="J294" s="80"/>
      <c r="K294" s="80"/>
      <c r="L294" s="80"/>
      <c r="M294" s="80"/>
      <c r="N294" s="80"/>
      <c r="O294" s="80"/>
      <c r="P294" s="80"/>
      <c r="Q294" s="80"/>
    </row>
    <row r="295" spans="1:17" customFormat="1" ht="28.5">
      <c r="A295" t="s">
        <v>239</v>
      </c>
      <c r="B295" t="s">
        <v>240</v>
      </c>
      <c r="C295" t="s">
        <v>1093</v>
      </c>
      <c r="D295" s="5">
        <v>45967</v>
      </c>
      <c r="E295" s="5">
        <v>45967</v>
      </c>
      <c r="F295" s="120" t="s">
        <v>1094</v>
      </c>
      <c r="G295" s="1"/>
      <c r="H295" s="1" t="s">
        <v>261</v>
      </c>
      <c r="I295" s="1" t="s">
        <v>1095</v>
      </c>
      <c r="J295" s="80"/>
      <c r="K295" s="80"/>
      <c r="L295" s="80"/>
      <c r="M295" s="80"/>
      <c r="N295" s="80"/>
      <c r="O295" s="80"/>
      <c r="P295" s="80"/>
      <c r="Q295" s="80"/>
    </row>
    <row r="296" spans="1:17" customFormat="1" ht="28.5">
      <c r="A296" t="s">
        <v>239</v>
      </c>
      <c r="B296" t="s">
        <v>240</v>
      </c>
      <c r="C296" t="s">
        <v>1093</v>
      </c>
      <c r="D296" s="5">
        <v>45967</v>
      </c>
      <c r="E296" s="5">
        <v>45967</v>
      </c>
      <c r="F296" s="120" t="s">
        <v>1096</v>
      </c>
      <c r="G296" s="1"/>
      <c r="H296" s="1" t="s">
        <v>1097</v>
      </c>
      <c r="I296" s="1" t="s">
        <v>1098</v>
      </c>
      <c r="J296" s="80"/>
      <c r="K296" s="80"/>
      <c r="L296" s="80"/>
      <c r="M296" s="80"/>
      <c r="N296" s="80"/>
      <c r="O296" s="80"/>
      <c r="P296" s="80"/>
      <c r="Q296" s="80"/>
    </row>
    <row r="297" spans="1:17" customFormat="1" ht="28.5">
      <c r="A297" t="s">
        <v>239</v>
      </c>
      <c r="B297" t="s">
        <v>240</v>
      </c>
      <c r="C297" t="s">
        <v>1099</v>
      </c>
      <c r="D297" s="5">
        <v>45968</v>
      </c>
      <c r="E297" s="5">
        <v>45968</v>
      </c>
      <c r="F297" s="120" t="s">
        <v>1100</v>
      </c>
      <c r="G297" s="1"/>
      <c r="H297" s="1" t="s">
        <v>261</v>
      </c>
      <c r="I297" s="1" t="s">
        <v>1101</v>
      </c>
      <c r="J297" s="80"/>
      <c r="K297" s="80"/>
      <c r="L297" s="80"/>
      <c r="M297" s="80"/>
      <c r="N297" s="80"/>
      <c r="O297" s="80"/>
      <c r="P297" s="80"/>
      <c r="Q297" s="80"/>
    </row>
    <row r="298" spans="1:17" customFormat="1" ht="28.5">
      <c r="A298" t="s">
        <v>239</v>
      </c>
      <c r="B298" t="s">
        <v>240</v>
      </c>
      <c r="C298" t="s">
        <v>1099</v>
      </c>
      <c r="D298" s="5">
        <v>45968</v>
      </c>
      <c r="E298" s="5">
        <v>45968</v>
      </c>
      <c r="F298" s="120" t="s">
        <v>1102</v>
      </c>
      <c r="G298" s="1"/>
      <c r="H298" s="1" t="s">
        <v>1103</v>
      </c>
      <c r="I298" s="1" t="s">
        <v>1104</v>
      </c>
      <c r="J298" s="80"/>
      <c r="K298" s="80"/>
      <c r="L298" s="80"/>
      <c r="M298" s="80"/>
      <c r="N298" s="80"/>
      <c r="O298" s="80"/>
      <c r="P298" s="80"/>
      <c r="Q298" s="80"/>
    </row>
    <row r="299" spans="1:17" customFormat="1" ht="42.75">
      <c r="A299" t="s">
        <v>239</v>
      </c>
      <c r="B299" t="s">
        <v>240</v>
      </c>
      <c r="C299" t="s">
        <v>1105</v>
      </c>
      <c r="D299" s="5">
        <v>45968</v>
      </c>
      <c r="E299" s="5">
        <v>45968</v>
      </c>
      <c r="F299" s="120" t="s">
        <v>1106</v>
      </c>
      <c r="G299" s="1"/>
      <c r="H299" s="1" t="s">
        <v>1107</v>
      </c>
      <c r="I299" s="1" t="s">
        <v>1108</v>
      </c>
      <c r="J299" s="80"/>
      <c r="K299" s="80"/>
      <c r="L299" s="80"/>
      <c r="M299" s="80"/>
      <c r="N299" s="80"/>
      <c r="O299" s="80"/>
      <c r="P299" s="80"/>
      <c r="Q299" s="80"/>
    </row>
    <row r="300" spans="1:17" customFormat="1">
      <c r="B300" t="s">
        <v>240</v>
      </c>
      <c r="C300" t="s">
        <v>1109</v>
      </c>
      <c r="D300" s="5">
        <v>45968</v>
      </c>
      <c r="E300" s="5">
        <v>45968</v>
      </c>
      <c r="F300" s="120" t="s">
        <v>1110</v>
      </c>
      <c r="G300" s="1"/>
      <c r="H300" s="1" t="s">
        <v>261</v>
      </c>
      <c r="I300" s="1" t="s">
        <v>1111</v>
      </c>
      <c r="J300" s="80"/>
      <c r="K300" s="80"/>
      <c r="L300" s="80"/>
      <c r="M300" s="80"/>
      <c r="N300" s="80"/>
      <c r="O300" s="80"/>
      <c r="P300" s="80"/>
      <c r="Q300" s="80"/>
    </row>
    <row r="301" spans="1:17" customFormat="1">
      <c r="B301" t="s">
        <v>240</v>
      </c>
      <c r="C301" t="s">
        <v>1109</v>
      </c>
      <c r="D301" s="5">
        <v>45968</v>
      </c>
      <c r="E301" s="5">
        <v>45968</v>
      </c>
      <c r="F301" s="120" t="s">
        <v>1112</v>
      </c>
      <c r="G301" s="1"/>
      <c r="H301" s="1" t="s">
        <v>368</v>
      </c>
      <c r="I301" s="1" t="s">
        <v>1113</v>
      </c>
      <c r="J301" s="80"/>
      <c r="K301" s="80"/>
      <c r="L301" s="80"/>
      <c r="M301" s="80"/>
      <c r="N301" s="80"/>
      <c r="O301" s="80"/>
      <c r="P301" s="80"/>
      <c r="Q301" s="80"/>
    </row>
    <row r="302" spans="1:17" customFormat="1">
      <c r="B302" t="s">
        <v>240</v>
      </c>
      <c r="C302" t="s">
        <v>1114</v>
      </c>
      <c r="D302" s="5">
        <v>45971</v>
      </c>
      <c r="E302" s="5">
        <v>45971</v>
      </c>
      <c r="F302" s="120" t="s">
        <v>1115</v>
      </c>
      <c r="G302" s="1"/>
      <c r="H302" s="1" t="s">
        <v>254</v>
      </c>
      <c r="I302" s="1" t="s">
        <v>1116</v>
      </c>
      <c r="J302" s="80"/>
      <c r="K302" s="80"/>
      <c r="L302" s="80"/>
      <c r="M302" s="80"/>
      <c r="N302" s="80"/>
      <c r="O302" s="80"/>
      <c r="P302" s="80"/>
      <c r="Q302" s="80"/>
    </row>
    <row r="303" spans="1:17" customFormat="1">
      <c r="B303" t="s">
        <v>240</v>
      </c>
      <c r="C303" t="s">
        <v>1114</v>
      </c>
      <c r="D303" s="5">
        <v>45971</v>
      </c>
      <c r="E303" s="5">
        <v>45971</v>
      </c>
      <c r="F303" s="120" t="s">
        <v>1117</v>
      </c>
      <c r="G303" s="1"/>
      <c r="H303" s="1" t="s">
        <v>1118</v>
      </c>
      <c r="I303" s="1" t="s">
        <v>1119</v>
      </c>
      <c r="J303" s="80"/>
      <c r="K303" s="80"/>
      <c r="L303" s="80"/>
      <c r="M303" s="80"/>
      <c r="N303" s="80"/>
      <c r="O303" s="80"/>
      <c r="P303" s="80"/>
      <c r="Q303" s="80"/>
    </row>
    <row r="304" spans="1:17" customFormat="1">
      <c r="B304" t="s">
        <v>240</v>
      </c>
      <c r="C304" t="s">
        <v>1120</v>
      </c>
      <c r="D304" s="5">
        <v>45971</v>
      </c>
      <c r="E304" s="5">
        <v>45971</v>
      </c>
      <c r="F304" s="120" t="s">
        <v>1121</v>
      </c>
      <c r="G304" s="1"/>
      <c r="H304" s="1" t="s">
        <v>261</v>
      </c>
      <c r="I304" s="1" t="s">
        <v>1122</v>
      </c>
      <c r="J304" s="80"/>
      <c r="K304" s="80"/>
      <c r="L304" s="80"/>
      <c r="M304" s="80"/>
      <c r="N304" s="80"/>
      <c r="O304" s="80"/>
      <c r="P304" s="80"/>
      <c r="Q304" s="80"/>
    </row>
    <row r="305" spans="2:17" customFormat="1">
      <c r="B305" t="s">
        <v>240</v>
      </c>
      <c r="C305" t="s">
        <v>1120</v>
      </c>
      <c r="D305" s="5">
        <v>45971</v>
      </c>
      <c r="E305" s="5">
        <v>45971</v>
      </c>
      <c r="F305" s="120" t="s">
        <v>1123</v>
      </c>
      <c r="G305" s="1"/>
      <c r="H305" s="1" t="s">
        <v>1097</v>
      </c>
      <c r="I305" s="1" t="s">
        <v>1124</v>
      </c>
      <c r="J305" s="80"/>
      <c r="K305" s="80"/>
      <c r="L305" s="80"/>
      <c r="M305" s="80"/>
      <c r="N305" s="80"/>
      <c r="O305" s="80"/>
      <c r="P305" s="80"/>
      <c r="Q305" s="80"/>
    </row>
    <row r="306" spans="2:17" customFormat="1">
      <c r="B306" t="s">
        <v>240</v>
      </c>
      <c r="C306" t="s">
        <v>1125</v>
      </c>
      <c r="D306" s="5">
        <v>45971</v>
      </c>
      <c r="E306" s="5">
        <v>45971</v>
      </c>
      <c r="F306" s="120" t="s">
        <v>1126</v>
      </c>
      <c r="G306" s="1"/>
      <c r="H306" s="1" t="s">
        <v>254</v>
      </c>
      <c r="I306" s="1" t="s">
        <v>1127</v>
      </c>
      <c r="J306" s="80"/>
      <c r="K306" s="80"/>
      <c r="L306" s="80"/>
      <c r="M306" s="80"/>
      <c r="N306" s="80"/>
      <c r="O306" s="80"/>
      <c r="P306" s="80"/>
      <c r="Q306" s="80"/>
    </row>
    <row r="307" spans="2:17" customFormat="1">
      <c r="B307" t="s">
        <v>240</v>
      </c>
      <c r="C307" t="s">
        <v>1125</v>
      </c>
      <c r="D307" s="5">
        <v>45971</v>
      </c>
      <c r="E307" s="5">
        <v>45971</v>
      </c>
      <c r="F307" s="120" t="s">
        <v>1128</v>
      </c>
      <c r="G307" s="1"/>
      <c r="H307" s="1" t="s">
        <v>295</v>
      </c>
      <c r="I307" s="1" t="s">
        <v>1129</v>
      </c>
      <c r="J307" s="80"/>
      <c r="K307" s="80"/>
      <c r="L307" s="80"/>
      <c r="M307" s="80"/>
      <c r="N307" s="80"/>
      <c r="O307" s="80"/>
      <c r="P307" s="80"/>
      <c r="Q307" s="80"/>
    </row>
    <row r="308" spans="2:17" customFormat="1">
      <c r="B308" t="s">
        <v>240</v>
      </c>
      <c r="C308" t="s">
        <v>1130</v>
      </c>
      <c r="D308" s="5">
        <v>45971</v>
      </c>
      <c r="E308" s="5">
        <v>45971</v>
      </c>
      <c r="F308" s="120" t="s">
        <v>1131</v>
      </c>
      <c r="G308" s="1"/>
      <c r="H308" s="1" t="s">
        <v>261</v>
      </c>
      <c r="I308" s="1" t="s">
        <v>1132</v>
      </c>
      <c r="J308" s="80"/>
      <c r="K308" s="80"/>
      <c r="L308" s="80"/>
      <c r="M308" s="80"/>
      <c r="N308" s="80"/>
      <c r="O308" s="80"/>
      <c r="P308" s="80"/>
      <c r="Q308" s="80"/>
    </row>
    <row r="309" spans="2:17" customFormat="1">
      <c r="B309" t="s">
        <v>240</v>
      </c>
      <c r="C309" t="s">
        <v>1130</v>
      </c>
      <c r="D309" s="5">
        <v>45971</v>
      </c>
      <c r="E309" s="5">
        <v>45971</v>
      </c>
      <c r="F309" s="120" t="s">
        <v>1133</v>
      </c>
      <c r="G309" s="1"/>
      <c r="H309" s="1" t="s">
        <v>433</v>
      </c>
      <c r="I309" s="1" t="s">
        <v>1134</v>
      </c>
      <c r="J309" s="80"/>
      <c r="K309" s="80"/>
      <c r="L309" s="80"/>
      <c r="M309" s="80"/>
      <c r="N309" s="80"/>
      <c r="O309" s="80"/>
      <c r="P309" s="80"/>
      <c r="Q309" s="80"/>
    </row>
    <row r="310" spans="2:17" customFormat="1">
      <c r="B310" t="s">
        <v>240</v>
      </c>
      <c r="C310" t="s">
        <v>1135</v>
      </c>
      <c r="D310" s="5">
        <v>45971</v>
      </c>
      <c r="E310" s="5">
        <v>45971</v>
      </c>
      <c r="F310" s="120" t="s">
        <v>1136</v>
      </c>
      <c r="G310" s="1"/>
      <c r="H310" s="1" t="s">
        <v>254</v>
      </c>
      <c r="I310" s="1" t="s">
        <v>1137</v>
      </c>
      <c r="J310" s="80"/>
      <c r="K310" s="80"/>
      <c r="L310" s="80"/>
      <c r="M310" s="80"/>
      <c r="N310" s="80"/>
      <c r="O310" s="80"/>
      <c r="P310" s="80"/>
      <c r="Q310" s="80"/>
    </row>
    <row r="311" spans="2:17" customFormat="1">
      <c r="B311" t="s">
        <v>240</v>
      </c>
      <c r="C311" t="s">
        <v>1135</v>
      </c>
      <c r="D311" s="5">
        <v>45971</v>
      </c>
      <c r="E311" s="5">
        <v>45971</v>
      </c>
      <c r="F311" s="120" t="s">
        <v>1138</v>
      </c>
      <c r="G311" s="1"/>
      <c r="H311" s="1" t="s">
        <v>984</v>
      </c>
      <c r="I311" s="1" t="s">
        <v>1139</v>
      </c>
      <c r="J311" s="80"/>
      <c r="K311" s="80"/>
      <c r="L311" s="80"/>
      <c r="M311" s="80"/>
      <c r="N311" s="80"/>
      <c r="O311" s="80"/>
      <c r="P311" s="80"/>
      <c r="Q311" s="80"/>
    </row>
    <row r="312" spans="2:17" customFormat="1">
      <c r="B312" t="s">
        <v>240</v>
      </c>
      <c r="C312" t="s">
        <v>1140</v>
      </c>
      <c r="D312" s="5">
        <v>45971</v>
      </c>
      <c r="E312" s="5">
        <v>45971</v>
      </c>
      <c r="F312" s="120" t="s">
        <v>1141</v>
      </c>
      <c r="G312" s="1"/>
      <c r="H312" s="1" t="s">
        <v>261</v>
      </c>
      <c r="I312" s="1" t="s">
        <v>1142</v>
      </c>
      <c r="J312" s="80"/>
      <c r="K312" s="80"/>
      <c r="L312" s="80"/>
      <c r="M312" s="80"/>
      <c r="N312" s="80"/>
      <c r="O312" s="80"/>
      <c r="P312" s="80"/>
      <c r="Q312" s="80"/>
    </row>
    <row r="313" spans="2:17" customFormat="1">
      <c r="B313" t="s">
        <v>240</v>
      </c>
      <c r="C313" t="s">
        <v>1140</v>
      </c>
      <c r="D313" s="5">
        <v>45971</v>
      </c>
      <c r="E313" s="5">
        <v>45971</v>
      </c>
      <c r="F313" s="120" t="s">
        <v>1143</v>
      </c>
      <c r="G313" s="1"/>
      <c r="H313" s="1" t="s">
        <v>1144</v>
      </c>
      <c r="I313" s="1" t="s">
        <v>1145</v>
      </c>
      <c r="J313" s="80"/>
      <c r="K313" s="80"/>
      <c r="L313" s="80"/>
      <c r="M313" s="80"/>
      <c r="N313" s="80"/>
      <c r="O313" s="80"/>
      <c r="P313" s="80"/>
      <c r="Q313" s="80"/>
    </row>
    <row r="314" spans="2:17" customFormat="1">
      <c r="B314" t="s">
        <v>240</v>
      </c>
      <c r="C314" t="s">
        <v>1146</v>
      </c>
      <c r="D314" s="5">
        <v>45971</v>
      </c>
      <c r="E314" s="5">
        <v>45971</v>
      </c>
      <c r="F314" s="120" t="s">
        <v>1147</v>
      </c>
      <c r="G314" s="1"/>
      <c r="H314" s="1" t="s">
        <v>261</v>
      </c>
      <c r="I314" s="1" t="s">
        <v>1148</v>
      </c>
      <c r="J314" s="80"/>
      <c r="K314" s="80"/>
      <c r="L314" s="80"/>
      <c r="M314" s="80"/>
      <c r="N314" s="80"/>
      <c r="O314" s="80"/>
      <c r="P314" s="80"/>
      <c r="Q314" s="80"/>
    </row>
    <row r="315" spans="2:17" customFormat="1">
      <c r="B315" t="s">
        <v>240</v>
      </c>
      <c r="C315" t="s">
        <v>1146</v>
      </c>
      <c r="D315" s="5">
        <v>45971</v>
      </c>
      <c r="E315" s="5">
        <v>45971</v>
      </c>
      <c r="F315" s="120" t="s">
        <v>1149</v>
      </c>
      <c r="G315" s="1"/>
      <c r="H315" s="1" t="s">
        <v>1150</v>
      </c>
      <c r="I315" s="1" t="s">
        <v>1151</v>
      </c>
      <c r="J315" s="80"/>
      <c r="K315" s="80"/>
      <c r="L315" s="80"/>
      <c r="M315" s="80"/>
      <c r="N315" s="80"/>
      <c r="O315" s="80"/>
      <c r="P315" s="80"/>
      <c r="Q315" s="80"/>
    </row>
    <row r="316" spans="2:17" customFormat="1">
      <c r="B316" t="s">
        <v>240</v>
      </c>
      <c r="C316" t="s">
        <v>1152</v>
      </c>
      <c r="D316" s="5">
        <v>45971</v>
      </c>
      <c r="E316" s="5">
        <v>45971</v>
      </c>
      <c r="F316" s="120" t="s">
        <v>1121</v>
      </c>
      <c r="G316" s="1"/>
      <c r="H316" s="1" t="s">
        <v>261</v>
      </c>
      <c r="I316" s="1" t="s">
        <v>1153</v>
      </c>
      <c r="J316" s="80"/>
      <c r="K316" s="80"/>
      <c r="L316" s="80"/>
      <c r="M316" s="80"/>
      <c r="N316" s="80"/>
      <c r="O316" s="80"/>
      <c r="P316" s="80"/>
      <c r="Q316" s="80"/>
    </row>
    <row r="317" spans="2:17" customFormat="1">
      <c r="B317" t="s">
        <v>240</v>
      </c>
      <c r="C317" t="s">
        <v>1152</v>
      </c>
      <c r="D317" s="5">
        <v>45971</v>
      </c>
      <c r="E317" s="5">
        <v>45971</v>
      </c>
      <c r="F317" s="120" t="s">
        <v>1123</v>
      </c>
      <c r="G317" s="1"/>
      <c r="H317" s="1" t="s">
        <v>1097</v>
      </c>
      <c r="I317" s="1" t="s">
        <v>1154</v>
      </c>
      <c r="J317" s="80"/>
      <c r="K317" s="80"/>
      <c r="L317" s="80"/>
      <c r="M317" s="80"/>
      <c r="N317" s="80"/>
      <c r="O317" s="80"/>
      <c r="P317" s="80"/>
      <c r="Q317" s="80"/>
    </row>
    <row r="318" spans="2:17" customFormat="1">
      <c r="B318" t="s">
        <v>240</v>
      </c>
      <c r="C318" t="s">
        <v>1155</v>
      </c>
      <c r="D318" s="5">
        <v>45971</v>
      </c>
      <c r="E318" s="5">
        <v>45971</v>
      </c>
      <c r="F318" s="120" t="s">
        <v>1156</v>
      </c>
      <c r="G318" s="1"/>
      <c r="H318" s="1" t="s">
        <v>254</v>
      </c>
      <c r="I318" s="1" t="s">
        <v>1157</v>
      </c>
      <c r="J318" s="80"/>
      <c r="K318" s="80"/>
      <c r="L318" s="80"/>
      <c r="M318" s="80"/>
      <c r="N318" s="80"/>
      <c r="O318" s="80"/>
      <c r="P318" s="80"/>
      <c r="Q318" s="80"/>
    </row>
    <row r="319" spans="2:17" customFormat="1">
      <c r="B319" t="s">
        <v>240</v>
      </c>
      <c r="C319" t="s">
        <v>1155</v>
      </c>
      <c r="D319" s="5">
        <v>45971</v>
      </c>
      <c r="E319" s="5">
        <v>45971</v>
      </c>
      <c r="F319" s="120" t="s">
        <v>1158</v>
      </c>
      <c r="G319" s="1"/>
      <c r="H319" s="1" t="s">
        <v>1159</v>
      </c>
      <c r="I319" s="1" t="s">
        <v>1160</v>
      </c>
      <c r="J319" s="80"/>
      <c r="K319" s="80"/>
      <c r="L319" s="80"/>
      <c r="M319" s="80"/>
      <c r="N319" s="80"/>
      <c r="O319" s="80"/>
      <c r="P319" s="80"/>
      <c r="Q319" s="80"/>
    </row>
    <row r="320" spans="2:17" customFormat="1">
      <c r="B320" t="s">
        <v>240</v>
      </c>
      <c r="C320" t="s">
        <v>1161</v>
      </c>
      <c r="D320" s="5">
        <v>45971</v>
      </c>
      <c r="E320" s="5">
        <v>45971</v>
      </c>
      <c r="F320" s="120" t="s">
        <v>1162</v>
      </c>
      <c r="G320" s="1" t="s">
        <v>374</v>
      </c>
      <c r="H320" s="1"/>
      <c r="I320" s="1" t="s">
        <v>1163</v>
      </c>
      <c r="J320" s="80"/>
      <c r="K320" s="80"/>
      <c r="L320" s="80"/>
      <c r="M320" s="80"/>
      <c r="N320" s="80"/>
      <c r="O320" s="80"/>
      <c r="P320" s="80"/>
      <c r="Q320" s="80"/>
    </row>
    <row r="321" spans="1:17" customFormat="1">
      <c r="A321" t="s">
        <v>239</v>
      </c>
      <c r="B321" t="s">
        <v>240</v>
      </c>
      <c r="C321" t="s">
        <v>1164</v>
      </c>
      <c r="D321" s="5">
        <v>45972</v>
      </c>
      <c r="E321" s="5">
        <v>45972</v>
      </c>
      <c r="F321" s="120" t="s">
        <v>1165</v>
      </c>
      <c r="G321" s="1" t="s">
        <v>1166</v>
      </c>
      <c r="H321" s="1"/>
      <c r="I321" s="1" t="s">
        <v>1167</v>
      </c>
      <c r="J321" s="80"/>
      <c r="K321" s="80"/>
      <c r="L321" s="80"/>
      <c r="M321" s="80"/>
      <c r="N321" s="80"/>
      <c r="O321" s="80"/>
      <c r="P321" s="80"/>
      <c r="Q321" s="80"/>
    </row>
    <row r="322" spans="1:17" customFormat="1">
      <c r="B322" t="s">
        <v>240</v>
      </c>
      <c r="C322" t="s">
        <v>1168</v>
      </c>
      <c r="D322" s="5">
        <v>45972</v>
      </c>
      <c r="E322" s="5">
        <v>45972</v>
      </c>
      <c r="F322" s="120" t="s">
        <v>1169</v>
      </c>
      <c r="G322" s="1"/>
      <c r="H322" s="1" t="s">
        <v>1170</v>
      </c>
      <c r="I322" s="1" t="s">
        <v>1171</v>
      </c>
      <c r="J322" s="80"/>
      <c r="K322" s="80"/>
      <c r="L322" s="80"/>
      <c r="M322" s="80"/>
      <c r="N322" s="80"/>
      <c r="O322" s="80"/>
      <c r="P322" s="80"/>
      <c r="Q322" s="80"/>
    </row>
    <row r="323" spans="1:17" customFormat="1" ht="28.5">
      <c r="A323" t="s">
        <v>239</v>
      </c>
      <c r="B323" t="s">
        <v>240</v>
      </c>
      <c r="C323" t="s">
        <v>1172</v>
      </c>
      <c r="D323" s="5">
        <v>45972</v>
      </c>
      <c r="E323" s="5">
        <v>45972</v>
      </c>
      <c r="F323" s="120" t="s">
        <v>1173</v>
      </c>
      <c r="G323" s="1"/>
      <c r="H323" s="1" t="s">
        <v>261</v>
      </c>
      <c r="I323" s="1" t="s">
        <v>1174</v>
      </c>
      <c r="J323" s="80"/>
      <c r="K323" s="80"/>
      <c r="L323" s="80"/>
      <c r="M323" s="80"/>
      <c r="N323" s="80"/>
      <c r="O323" s="80"/>
      <c r="P323" s="80"/>
      <c r="Q323" s="80"/>
    </row>
    <row r="324" spans="1:17" customFormat="1" ht="42.75">
      <c r="A324" t="s">
        <v>239</v>
      </c>
      <c r="B324" t="s">
        <v>240</v>
      </c>
      <c r="C324" t="s">
        <v>1172</v>
      </c>
      <c r="D324" s="5">
        <v>45972</v>
      </c>
      <c r="E324" s="5">
        <v>45972</v>
      </c>
      <c r="F324" s="120" t="s">
        <v>1175</v>
      </c>
      <c r="G324" s="1"/>
      <c r="H324" s="1" t="s">
        <v>374</v>
      </c>
      <c r="I324" s="1" t="s">
        <v>1176</v>
      </c>
      <c r="J324" s="80"/>
      <c r="K324" s="80"/>
      <c r="L324" s="80"/>
      <c r="M324" s="80"/>
      <c r="N324" s="80"/>
      <c r="O324" s="80"/>
      <c r="P324" s="80"/>
      <c r="Q324" s="80"/>
    </row>
    <row r="325" spans="1:17" customFormat="1" ht="28.5">
      <c r="A325" t="s">
        <v>239</v>
      </c>
      <c r="B325" t="s">
        <v>240</v>
      </c>
      <c r="C325" t="s">
        <v>1177</v>
      </c>
      <c r="D325" s="5">
        <v>45973</v>
      </c>
      <c r="E325" s="5">
        <v>45973</v>
      </c>
      <c r="F325" s="120" t="s">
        <v>1178</v>
      </c>
      <c r="G325" s="1"/>
      <c r="H325" s="1" t="s">
        <v>261</v>
      </c>
      <c r="I325" s="1" t="s">
        <v>1179</v>
      </c>
      <c r="J325" s="80"/>
      <c r="K325" s="80"/>
      <c r="L325" s="80"/>
      <c r="M325" s="80"/>
      <c r="N325" s="80"/>
      <c r="O325" s="80"/>
      <c r="P325" s="80"/>
      <c r="Q325" s="80"/>
    </row>
    <row r="326" spans="1:17" customFormat="1" ht="42.75">
      <c r="A326" t="s">
        <v>239</v>
      </c>
      <c r="B326" t="s">
        <v>240</v>
      </c>
      <c r="C326" t="s">
        <v>1177</v>
      </c>
      <c r="D326" s="5">
        <v>45973</v>
      </c>
      <c r="E326" s="5">
        <v>45973</v>
      </c>
      <c r="F326" s="120" t="s">
        <v>1180</v>
      </c>
      <c r="G326" s="1"/>
      <c r="H326" s="1" t="s">
        <v>313</v>
      </c>
      <c r="I326" s="1" t="s">
        <v>1181</v>
      </c>
      <c r="J326" s="80"/>
      <c r="K326" s="80"/>
      <c r="L326" s="80"/>
      <c r="M326" s="80"/>
      <c r="N326" s="80"/>
      <c r="O326" s="80"/>
      <c r="P326" s="80"/>
      <c r="Q326" s="80"/>
    </row>
    <row r="327" spans="1:17" customFormat="1" ht="28.5">
      <c r="A327" t="s">
        <v>239</v>
      </c>
      <c r="B327" t="s">
        <v>240</v>
      </c>
      <c r="C327" t="s">
        <v>1182</v>
      </c>
      <c r="D327" s="5">
        <v>45973</v>
      </c>
      <c r="E327" s="5">
        <v>45973</v>
      </c>
      <c r="F327" s="120" t="s">
        <v>1183</v>
      </c>
      <c r="G327" s="1"/>
      <c r="H327" s="1" t="s">
        <v>261</v>
      </c>
      <c r="I327" s="1" t="s">
        <v>1184</v>
      </c>
      <c r="J327" s="80"/>
      <c r="K327" s="80"/>
      <c r="L327" s="80"/>
      <c r="M327" s="80"/>
      <c r="N327" s="80"/>
      <c r="O327" s="80"/>
      <c r="P327" s="80"/>
      <c r="Q327" s="80"/>
    </row>
    <row r="328" spans="1:17" customFormat="1" ht="28.5">
      <c r="A328" t="s">
        <v>239</v>
      </c>
      <c r="B328" t="s">
        <v>240</v>
      </c>
      <c r="C328" t="s">
        <v>1182</v>
      </c>
      <c r="D328" s="5">
        <v>45973</v>
      </c>
      <c r="E328" s="5">
        <v>45973</v>
      </c>
      <c r="F328" s="120" t="s">
        <v>1185</v>
      </c>
      <c r="G328" s="1"/>
      <c r="H328" s="1" t="s">
        <v>630</v>
      </c>
      <c r="I328" s="1" t="s">
        <v>1186</v>
      </c>
      <c r="J328" s="80"/>
      <c r="K328" s="80"/>
      <c r="L328" s="80"/>
      <c r="M328" s="80"/>
      <c r="N328" s="80"/>
      <c r="O328" s="80"/>
      <c r="P328" s="80"/>
      <c r="Q328" s="80"/>
    </row>
    <row r="329" spans="1:17" customFormat="1" ht="28.5">
      <c r="A329" t="s">
        <v>239</v>
      </c>
      <c r="B329" t="s">
        <v>240</v>
      </c>
      <c r="C329" t="s">
        <v>1187</v>
      </c>
      <c r="D329" s="5">
        <v>45973</v>
      </c>
      <c r="E329" s="5">
        <v>45973</v>
      </c>
      <c r="F329" s="120" t="s">
        <v>1188</v>
      </c>
      <c r="G329" s="1" t="s">
        <v>1189</v>
      </c>
      <c r="H329" s="1"/>
      <c r="I329" s="1" t="s">
        <v>1190</v>
      </c>
      <c r="J329" s="80"/>
      <c r="K329" s="80"/>
      <c r="L329" s="80"/>
      <c r="M329" s="80"/>
      <c r="N329" s="80"/>
      <c r="O329" s="80"/>
      <c r="P329" s="80"/>
      <c r="Q329" s="80"/>
    </row>
    <row r="330" spans="1:17" customFormat="1" ht="28.5">
      <c r="A330" t="s">
        <v>239</v>
      </c>
      <c r="B330" t="s">
        <v>240</v>
      </c>
      <c r="C330" t="s">
        <v>1191</v>
      </c>
      <c r="D330" s="5">
        <v>45973</v>
      </c>
      <c r="E330" s="5">
        <v>45973</v>
      </c>
      <c r="F330" s="120" t="s">
        <v>1192</v>
      </c>
      <c r="G330" s="1"/>
      <c r="H330" s="1" t="s">
        <v>261</v>
      </c>
      <c r="I330" s="1" t="s">
        <v>1193</v>
      </c>
      <c r="J330" s="80"/>
      <c r="K330" s="80"/>
      <c r="L330" s="80"/>
      <c r="M330" s="80"/>
      <c r="N330" s="80"/>
      <c r="O330" s="80"/>
      <c r="P330" s="80"/>
      <c r="Q330" s="80"/>
    </row>
    <row r="331" spans="1:17" customFormat="1" ht="42.75">
      <c r="A331" t="s">
        <v>239</v>
      </c>
      <c r="B331" t="s">
        <v>240</v>
      </c>
      <c r="C331" t="s">
        <v>1191</v>
      </c>
      <c r="D331" s="5">
        <v>45973</v>
      </c>
      <c r="E331" s="5">
        <v>45973</v>
      </c>
      <c r="F331" s="120" t="s">
        <v>1194</v>
      </c>
      <c r="G331" s="1"/>
      <c r="H331" s="1" t="s">
        <v>630</v>
      </c>
      <c r="I331" s="1" t="s">
        <v>1195</v>
      </c>
      <c r="J331" s="80"/>
      <c r="K331" s="80"/>
      <c r="L331" s="80"/>
      <c r="M331" s="80"/>
      <c r="N331" s="80"/>
      <c r="O331" s="80"/>
      <c r="P331" s="80"/>
      <c r="Q331" s="80"/>
    </row>
    <row r="332" spans="1:17" customFormat="1" ht="28.5">
      <c r="A332" t="s">
        <v>239</v>
      </c>
      <c r="B332" t="s">
        <v>240</v>
      </c>
      <c r="C332" t="s">
        <v>1196</v>
      </c>
      <c r="D332" s="5">
        <v>45974</v>
      </c>
      <c r="E332" s="5">
        <v>45974</v>
      </c>
      <c r="F332" s="120" t="s">
        <v>1197</v>
      </c>
      <c r="G332" s="1"/>
      <c r="H332" s="1" t="s">
        <v>254</v>
      </c>
      <c r="I332" s="1" t="s">
        <v>1198</v>
      </c>
      <c r="J332" s="80"/>
      <c r="K332" s="80"/>
      <c r="L332" s="80"/>
      <c r="M332" s="80"/>
      <c r="N332" s="80"/>
      <c r="O332" s="80"/>
      <c r="P332" s="80"/>
      <c r="Q332" s="80"/>
    </row>
    <row r="333" spans="1:17" customFormat="1" ht="28.5">
      <c r="A333" t="s">
        <v>239</v>
      </c>
      <c r="B333" t="s">
        <v>240</v>
      </c>
      <c r="C333" t="s">
        <v>1196</v>
      </c>
      <c r="D333" s="5">
        <v>45974</v>
      </c>
      <c r="E333" s="5">
        <v>45974</v>
      </c>
      <c r="F333" s="120" t="s">
        <v>1199</v>
      </c>
      <c r="G333" s="1"/>
      <c r="H333" s="1" t="s">
        <v>1200</v>
      </c>
      <c r="I333" s="1" t="s">
        <v>1201</v>
      </c>
      <c r="J333" s="80"/>
      <c r="K333" s="80"/>
      <c r="L333" s="80"/>
      <c r="M333" s="80"/>
      <c r="N333" s="80"/>
      <c r="O333" s="80"/>
      <c r="P333" s="80"/>
      <c r="Q333" s="80"/>
    </row>
    <row r="334" spans="1:17" customFormat="1" ht="28.5">
      <c r="A334" t="s">
        <v>239</v>
      </c>
      <c r="B334" t="s">
        <v>240</v>
      </c>
      <c r="C334" t="s">
        <v>1202</v>
      </c>
      <c r="D334" s="5">
        <v>45974</v>
      </c>
      <c r="E334" s="5">
        <v>45974</v>
      </c>
      <c r="F334" s="120" t="s">
        <v>1203</v>
      </c>
      <c r="G334" s="1"/>
      <c r="H334" s="1" t="s">
        <v>261</v>
      </c>
      <c r="I334" s="1" t="s">
        <v>1204</v>
      </c>
      <c r="J334" s="80"/>
      <c r="K334" s="80"/>
      <c r="L334" s="80"/>
      <c r="M334" s="80"/>
      <c r="N334" s="80"/>
      <c r="O334" s="80"/>
      <c r="P334" s="80"/>
      <c r="Q334" s="80"/>
    </row>
    <row r="335" spans="1:17" customFormat="1" ht="42.75">
      <c r="A335" t="s">
        <v>239</v>
      </c>
      <c r="B335" t="s">
        <v>240</v>
      </c>
      <c r="C335" t="s">
        <v>1202</v>
      </c>
      <c r="D335" s="5">
        <v>45974</v>
      </c>
      <c r="E335" s="5">
        <v>45974</v>
      </c>
      <c r="F335" s="120" t="s">
        <v>1205</v>
      </c>
      <c r="G335" s="1"/>
      <c r="H335" s="1" t="s">
        <v>1206</v>
      </c>
      <c r="I335" s="1" t="s">
        <v>1207</v>
      </c>
      <c r="J335" s="80"/>
      <c r="K335" s="80"/>
      <c r="L335" s="80"/>
      <c r="M335" s="80"/>
      <c r="N335" s="80"/>
      <c r="O335" s="80"/>
      <c r="P335" s="80"/>
      <c r="Q335" s="80"/>
    </row>
    <row r="336" spans="1:17" customFormat="1" ht="28.5">
      <c r="A336" t="s">
        <v>239</v>
      </c>
      <c r="B336" t="s">
        <v>240</v>
      </c>
      <c r="C336" t="s">
        <v>1208</v>
      </c>
      <c r="D336" s="5">
        <v>45975</v>
      </c>
      <c r="E336" s="5">
        <v>45975</v>
      </c>
      <c r="F336" s="120" t="s">
        <v>1209</v>
      </c>
      <c r="G336" s="1"/>
      <c r="H336" s="1" t="s">
        <v>261</v>
      </c>
      <c r="I336" s="1" t="s">
        <v>1210</v>
      </c>
      <c r="J336" s="80"/>
      <c r="K336" s="80"/>
      <c r="L336" s="80"/>
      <c r="M336" s="80"/>
      <c r="N336" s="80"/>
      <c r="O336" s="80"/>
      <c r="P336" s="80"/>
      <c r="Q336" s="80"/>
    </row>
    <row r="337" spans="1:17" customFormat="1" ht="42.75">
      <c r="A337" t="s">
        <v>239</v>
      </c>
      <c r="B337" t="s">
        <v>240</v>
      </c>
      <c r="C337" t="s">
        <v>1208</v>
      </c>
      <c r="D337" s="5">
        <v>45975</v>
      </c>
      <c r="E337" s="5">
        <v>45975</v>
      </c>
      <c r="F337" s="120" t="s">
        <v>1211</v>
      </c>
      <c r="G337" s="1"/>
      <c r="H337" s="1" t="s">
        <v>1212</v>
      </c>
      <c r="I337" s="1" t="s">
        <v>1213</v>
      </c>
      <c r="J337" s="80"/>
      <c r="K337" s="80"/>
      <c r="L337" s="80"/>
      <c r="M337" s="80"/>
      <c r="N337" s="80"/>
      <c r="O337" s="80"/>
      <c r="P337" s="80"/>
      <c r="Q337" s="80"/>
    </row>
    <row r="338" spans="1:17" customFormat="1" ht="28.5">
      <c r="A338" t="s">
        <v>239</v>
      </c>
      <c r="B338" t="s">
        <v>240</v>
      </c>
      <c r="C338" t="s">
        <v>1214</v>
      </c>
      <c r="D338" s="5">
        <v>45975</v>
      </c>
      <c r="E338" s="5">
        <v>45975</v>
      </c>
      <c r="F338" s="120" t="s">
        <v>1064</v>
      </c>
      <c r="G338" s="1"/>
      <c r="H338" s="1" t="s">
        <v>1215</v>
      </c>
      <c r="I338" s="1" t="s">
        <v>1216</v>
      </c>
      <c r="J338" s="80"/>
      <c r="K338" s="80"/>
      <c r="L338" s="80"/>
      <c r="M338" s="80"/>
      <c r="N338" s="80"/>
      <c r="O338" s="80"/>
      <c r="P338" s="80"/>
      <c r="Q338" s="80"/>
    </row>
    <row r="339" spans="1:17" customFormat="1" ht="28.5">
      <c r="A339" t="s">
        <v>239</v>
      </c>
      <c r="B339" t="s">
        <v>240</v>
      </c>
      <c r="C339" t="s">
        <v>1217</v>
      </c>
      <c r="D339" s="5">
        <v>45978</v>
      </c>
      <c r="E339" s="5">
        <v>45978</v>
      </c>
      <c r="F339" s="120" t="s">
        <v>1218</v>
      </c>
      <c r="G339" s="1"/>
      <c r="H339" s="1" t="s">
        <v>261</v>
      </c>
      <c r="I339" s="1" t="s">
        <v>1219</v>
      </c>
      <c r="J339" s="80"/>
      <c r="K339" s="80"/>
      <c r="L339" s="80"/>
      <c r="M339" s="80"/>
      <c r="N339" s="80"/>
      <c r="O339" s="80"/>
      <c r="P339" s="80"/>
      <c r="Q339" s="80"/>
    </row>
    <row r="340" spans="1:17" customFormat="1" ht="42.75">
      <c r="A340" t="s">
        <v>239</v>
      </c>
      <c r="B340" t="s">
        <v>240</v>
      </c>
      <c r="C340" t="s">
        <v>1217</v>
      </c>
      <c r="D340" s="5">
        <v>45978</v>
      </c>
      <c r="E340" s="5">
        <v>45978</v>
      </c>
      <c r="F340" s="120" t="s">
        <v>1220</v>
      </c>
      <c r="G340" s="1"/>
      <c r="H340" s="1" t="s">
        <v>433</v>
      </c>
      <c r="I340" s="1" t="s">
        <v>1221</v>
      </c>
      <c r="J340" s="80"/>
      <c r="K340" s="80"/>
      <c r="L340" s="80"/>
      <c r="M340" s="80"/>
      <c r="N340" s="80"/>
      <c r="O340" s="80"/>
      <c r="P340" s="80"/>
      <c r="Q340" s="80"/>
    </row>
    <row r="341" spans="1:17" customFormat="1" ht="28.5">
      <c r="A341" t="s">
        <v>239</v>
      </c>
      <c r="B341" t="s">
        <v>240</v>
      </c>
      <c r="C341" t="s">
        <v>1222</v>
      </c>
      <c r="D341" s="5">
        <v>45978</v>
      </c>
      <c r="E341" s="5">
        <v>45978</v>
      </c>
      <c r="F341" s="120" t="s">
        <v>1223</v>
      </c>
      <c r="G341" s="1"/>
      <c r="H341" s="1" t="s">
        <v>261</v>
      </c>
      <c r="I341" s="1" t="s">
        <v>1224</v>
      </c>
      <c r="J341" s="80"/>
      <c r="K341" s="80"/>
      <c r="L341" s="80"/>
      <c r="M341" s="80"/>
      <c r="N341" s="80"/>
      <c r="O341" s="80"/>
      <c r="P341" s="80"/>
      <c r="Q341" s="80"/>
    </row>
    <row r="342" spans="1:17" customFormat="1" ht="42.75">
      <c r="A342" t="s">
        <v>239</v>
      </c>
      <c r="B342" t="s">
        <v>240</v>
      </c>
      <c r="C342" t="s">
        <v>1222</v>
      </c>
      <c r="D342" s="5">
        <v>45978</v>
      </c>
      <c r="E342" s="5">
        <v>45978</v>
      </c>
      <c r="F342" s="120" t="s">
        <v>1225</v>
      </c>
      <c r="G342" s="1"/>
      <c r="H342" s="1" t="s">
        <v>374</v>
      </c>
      <c r="I342" s="1" t="s">
        <v>1226</v>
      </c>
      <c r="J342" s="80"/>
      <c r="K342" s="80"/>
      <c r="L342" s="80"/>
      <c r="M342" s="80"/>
      <c r="N342" s="80"/>
      <c r="O342" s="80"/>
      <c r="P342" s="80"/>
      <c r="Q342" s="80"/>
    </row>
    <row r="343" spans="1:17" customFormat="1" ht="28.5">
      <c r="A343" t="s">
        <v>239</v>
      </c>
      <c r="B343" t="s">
        <v>240</v>
      </c>
      <c r="C343" t="s">
        <v>1227</v>
      </c>
      <c r="D343" s="5">
        <v>45978</v>
      </c>
      <c r="E343" s="5">
        <v>45978</v>
      </c>
      <c r="F343" s="120" t="s">
        <v>1228</v>
      </c>
      <c r="G343" s="1" t="s">
        <v>1229</v>
      </c>
      <c r="H343" s="1"/>
      <c r="I343" s="1" t="s">
        <v>1230</v>
      </c>
      <c r="J343" s="80"/>
      <c r="K343" s="80"/>
      <c r="L343" s="80"/>
      <c r="M343" s="80"/>
      <c r="N343" s="80"/>
      <c r="O343" s="80"/>
      <c r="P343" s="80"/>
      <c r="Q343" s="80"/>
    </row>
    <row r="344" spans="1:17" customFormat="1" ht="28.5">
      <c r="A344" t="s">
        <v>239</v>
      </c>
      <c r="B344" t="s">
        <v>240</v>
      </c>
      <c r="C344" t="s">
        <v>1231</v>
      </c>
      <c r="D344" s="5">
        <v>45978</v>
      </c>
      <c r="E344" s="5">
        <v>45978</v>
      </c>
      <c r="F344" s="120" t="s">
        <v>1232</v>
      </c>
      <c r="G344" s="1"/>
      <c r="H344" s="1" t="s">
        <v>433</v>
      </c>
      <c r="I344" s="1" t="s">
        <v>1233</v>
      </c>
      <c r="J344" s="80"/>
      <c r="K344" s="80"/>
      <c r="L344" s="80"/>
      <c r="M344" s="80"/>
      <c r="N344" s="80"/>
      <c r="O344" s="80"/>
      <c r="P344" s="80"/>
      <c r="Q344" s="80"/>
    </row>
    <row r="345" spans="1:17" customFormat="1" ht="28.5">
      <c r="A345" t="s">
        <v>239</v>
      </c>
      <c r="B345" t="s">
        <v>240</v>
      </c>
      <c r="C345" t="s">
        <v>1234</v>
      </c>
      <c r="D345" s="5">
        <v>45978</v>
      </c>
      <c r="E345" s="5">
        <v>45978</v>
      </c>
      <c r="F345" s="120" t="s">
        <v>1235</v>
      </c>
      <c r="G345" s="1"/>
      <c r="H345" s="1" t="s">
        <v>261</v>
      </c>
      <c r="I345" s="1" t="s">
        <v>1236</v>
      </c>
      <c r="J345" s="80"/>
      <c r="K345" s="80"/>
      <c r="L345" s="80"/>
      <c r="M345" s="80"/>
      <c r="N345" s="80"/>
      <c r="O345" s="80"/>
      <c r="P345" s="80"/>
      <c r="Q345" s="80"/>
    </row>
    <row r="346" spans="1:17" customFormat="1" ht="42.75">
      <c r="A346" t="s">
        <v>239</v>
      </c>
      <c r="B346" t="s">
        <v>240</v>
      </c>
      <c r="C346" t="s">
        <v>1234</v>
      </c>
      <c r="D346" s="5">
        <v>45978</v>
      </c>
      <c r="E346" s="5">
        <v>45978</v>
      </c>
      <c r="F346" s="120" t="s">
        <v>1237</v>
      </c>
      <c r="G346" s="1"/>
      <c r="H346" s="1" t="s">
        <v>1238</v>
      </c>
      <c r="I346" s="1" t="s">
        <v>1239</v>
      </c>
      <c r="J346" s="80"/>
      <c r="K346" s="80"/>
      <c r="L346" s="80"/>
      <c r="M346" s="80"/>
      <c r="N346" s="80"/>
      <c r="O346" s="80"/>
      <c r="P346" s="80"/>
      <c r="Q346" s="80"/>
    </row>
    <row r="347" spans="1:17" customFormat="1" ht="28.5">
      <c r="A347" t="s">
        <v>239</v>
      </c>
      <c r="B347" t="s">
        <v>240</v>
      </c>
      <c r="C347" t="s">
        <v>1240</v>
      </c>
      <c r="D347" s="5">
        <v>45978</v>
      </c>
      <c r="E347" s="5">
        <v>45978</v>
      </c>
      <c r="F347" s="120" t="s">
        <v>1241</v>
      </c>
      <c r="G347" s="1"/>
      <c r="H347" s="1" t="s">
        <v>254</v>
      </c>
      <c r="I347" s="1" t="s">
        <v>1242</v>
      </c>
      <c r="J347" s="80"/>
      <c r="K347" s="80"/>
      <c r="L347" s="80"/>
      <c r="M347" s="80"/>
      <c r="N347" s="80"/>
      <c r="O347" s="80"/>
      <c r="P347" s="80"/>
      <c r="Q347" s="80"/>
    </row>
    <row r="348" spans="1:17" customFormat="1" ht="42.75">
      <c r="A348" t="s">
        <v>239</v>
      </c>
      <c r="B348" t="s">
        <v>240</v>
      </c>
      <c r="C348" t="s">
        <v>1240</v>
      </c>
      <c r="D348" s="5">
        <v>45978</v>
      </c>
      <c r="E348" s="5">
        <v>45978</v>
      </c>
      <c r="F348" s="120" t="s">
        <v>1243</v>
      </c>
      <c r="G348" s="1"/>
      <c r="H348" s="1" t="s">
        <v>250</v>
      </c>
      <c r="I348" s="1" t="s">
        <v>1244</v>
      </c>
      <c r="J348" s="80"/>
      <c r="K348" s="80"/>
      <c r="L348" s="80"/>
      <c r="M348" s="80"/>
      <c r="N348" s="80"/>
      <c r="O348" s="80"/>
      <c r="P348" s="80"/>
      <c r="Q348" s="80"/>
    </row>
    <row r="349" spans="1:17" customFormat="1" ht="28.5">
      <c r="A349" t="s">
        <v>239</v>
      </c>
      <c r="B349" t="s">
        <v>240</v>
      </c>
      <c r="C349" t="s">
        <v>1245</v>
      </c>
      <c r="D349" s="5">
        <v>45978</v>
      </c>
      <c r="E349" s="5">
        <v>45978</v>
      </c>
      <c r="F349" s="120" t="s">
        <v>1246</v>
      </c>
      <c r="G349" s="1"/>
      <c r="H349" s="1" t="s">
        <v>254</v>
      </c>
      <c r="I349" s="1" t="s">
        <v>1247</v>
      </c>
      <c r="J349" s="80"/>
      <c r="K349" s="80"/>
      <c r="L349" s="80"/>
      <c r="M349" s="80"/>
      <c r="N349" s="80"/>
      <c r="O349" s="80"/>
      <c r="P349" s="80"/>
      <c r="Q349" s="80"/>
    </row>
    <row r="350" spans="1:17" customFormat="1" ht="42.75">
      <c r="A350" t="s">
        <v>239</v>
      </c>
      <c r="B350" t="s">
        <v>240</v>
      </c>
      <c r="C350" t="s">
        <v>1245</v>
      </c>
      <c r="D350" s="5">
        <v>45978</v>
      </c>
      <c r="E350" s="5">
        <v>45978</v>
      </c>
      <c r="F350" s="120" t="s">
        <v>1248</v>
      </c>
      <c r="G350" s="1"/>
      <c r="H350" s="1" t="s">
        <v>295</v>
      </c>
      <c r="I350" s="1" t="s">
        <v>1249</v>
      </c>
      <c r="J350" s="80"/>
      <c r="K350" s="80"/>
      <c r="L350" s="80"/>
      <c r="M350" s="80"/>
      <c r="N350" s="80"/>
      <c r="O350" s="80"/>
      <c r="P350" s="80"/>
      <c r="Q350" s="80"/>
    </row>
    <row r="351" spans="1:17" customFormat="1" ht="28.5">
      <c r="A351" t="s">
        <v>239</v>
      </c>
      <c r="B351" t="s">
        <v>240</v>
      </c>
      <c r="C351" t="s">
        <v>1250</v>
      </c>
      <c r="D351" s="5">
        <v>45978</v>
      </c>
      <c r="E351" s="5">
        <v>45978</v>
      </c>
      <c r="F351" s="120" t="s">
        <v>1251</v>
      </c>
      <c r="G351" s="1"/>
      <c r="H351" s="1" t="s">
        <v>254</v>
      </c>
      <c r="I351" s="1" t="s">
        <v>1252</v>
      </c>
      <c r="J351" s="80"/>
      <c r="K351" s="80"/>
      <c r="L351" s="80"/>
      <c r="M351" s="80"/>
      <c r="N351" s="80"/>
      <c r="O351" s="80"/>
      <c r="P351" s="80"/>
      <c r="Q351" s="80"/>
    </row>
    <row r="352" spans="1:17" customFormat="1" ht="42.75">
      <c r="A352" t="s">
        <v>239</v>
      </c>
      <c r="B352" t="s">
        <v>240</v>
      </c>
      <c r="C352" t="s">
        <v>1250</v>
      </c>
      <c r="D352" s="5">
        <v>45978</v>
      </c>
      <c r="E352" s="5">
        <v>45978</v>
      </c>
      <c r="F352" s="120" t="s">
        <v>1253</v>
      </c>
      <c r="G352" s="1"/>
      <c r="H352" s="1" t="s">
        <v>1170</v>
      </c>
      <c r="I352" s="1" t="s">
        <v>1254</v>
      </c>
      <c r="J352" s="80"/>
      <c r="K352" s="80"/>
      <c r="L352" s="80"/>
      <c r="M352" s="80"/>
      <c r="N352" s="80"/>
      <c r="O352" s="80"/>
      <c r="P352" s="80"/>
      <c r="Q352" s="80"/>
    </row>
    <row r="353" spans="1:17" customFormat="1" ht="42.75">
      <c r="A353" t="s">
        <v>239</v>
      </c>
      <c r="B353" t="s">
        <v>240</v>
      </c>
      <c r="C353" t="s">
        <v>1255</v>
      </c>
      <c r="D353" s="5">
        <v>45978</v>
      </c>
      <c r="E353" s="5">
        <v>45978</v>
      </c>
      <c r="F353" s="120" t="s">
        <v>1256</v>
      </c>
      <c r="G353" s="1"/>
      <c r="H353" s="1" t="s">
        <v>264</v>
      </c>
      <c r="I353" s="1" t="s">
        <v>1257</v>
      </c>
      <c r="J353" s="80"/>
      <c r="K353" s="80"/>
      <c r="L353" s="80"/>
      <c r="M353" s="80"/>
      <c r="N353" s="80"/>
      <c r="O353" s="80"/>
      <c r="P353" s="80"/>
      <c r="Q353" s="80"/>
    </row>
    <row r="354" spans="1:17" customFormat="1" ht="28.5">
      <c r="A354" t="s">
        <v>239</v>
      </c>
      <c r="B354" t="s">
        <v>240</v>
      </c>
      <c r="C354" t="s">
        <v>1258</v>
      </c>
      <c r="D354" s="5">
        <v>45978</v>
      </c>
      <c r="E354" s="5">
        <v>45978</v>
      </c>
      <c r="F354" s="120" t="s">
        <v>1259</v>
      </c>
      <c r="G354" s="1"/>
      <c r="H354" s="1" t="s">
        <v>261</v>
      </c>
      <c r="I354" s="1" t="s">
        <v>1260</v>
      </c>
      <c r="J354" s="80"/>
      <c r="K354" s="80"/>
      <c r="L354" s="80"/>
      <c r="M354" s="80"/>
      <c r="N354" s="80"/>
      <c r="O354" s="80"/>
      <c r="P354" s="80"/>
      <c r="Q354" s="80"/>
    </row>
    <row r="355" spans="1:17" customFormat="1" ht="42.75">
      <c r="A355" t="s">
        <v>239</v>
      </c>
      <c r="B355" t="s">
        <v>240</v>
      </c>
      <c r="C355" t="s">
        <v>1258</v>
      </c>
      <c r="D355" s="5">
        <v>45978</v>
      </c>
      <c r="E355" s="5">
        <v>45978</v>
      </c>
      <c r="F355" s="120" t="s">
        <v>1261</v>
      </c>
      <c r="G355" s="1"/>
      <c r="H355" s="1" t="s">
        <v>368</v>
      </c>
      <c r="I355" s="1" t="s">
        <v>1262</v>
      </c>
      <c r="J355" s="80"/>
      <c r="K355" s="80"/>
      <c r="L355" s="80"/>
      <c r="M355" s="80"/>
      <c r="N355" s="80"/>
      <c r="O355" s="80"/>
      <c r="P355" s="80"/>
      <c r="Q355" s="80"/>
    </row>
    <row r="356" spans="1:17" customFormat="1" ht="42.75">
      <c r="A356" t="s">
        <v>239</v>
      </c>
      <c r="B356" t="s">
        <v>240</v>
      </c>
      <c r="C356" t="s">
        <v>1263</v>
      </c>
      <c r="D356" s="5">
        <v>45978</v>
      </c>
      <c r="E356" s="5">
        <v>45978</v>
      </c>
      <c r="F356" s="120" t="s">
        <v>797</v>
      </c>
      <c r="G356" s="1"/>
      <c r="H356" s="1" t="s">
        <v>313</v>
      </c>
      <c r="I356" s="1" t="s">
        <v>1264</v>
      </c>
      <c r="J356" s="80"/>
      <c r="K356" s="80"/>
      <c r="L356" s="80"/>
      <c r="M356" s="80"/>
      <c r="N356" s="80"/>
      <c r="O356" s="80"/>
      <c r="P356" s="80"/>
      <c r="Q356" s="80"/>
    </row>
    <row r="357" spans="1:17" customFormat="1" ht="42.75">
      <c r="A357" t="s">
        <v>239</v>
      </c>
      <c r="B357" t="s">
        <v>240</v>
      </c>
      <c r="C357" t="s">
        <v>1265</v>
      </c>
      <c r="D357" s="5">
        <v>45978</v>
      </c>
      <c r="E357" s="5">
        <v>45978</v>
      </c>
      <c r="F357" s="120" t="s">
        <v>1266</v>
      </c>
      <c r="G357" s="1"/>
      <c r="H357" s="1" t="s">
        <v>319</v>
      </c>
      <c r="I357" s="1" t="s">
        <v>1267</v>
      </c>
      <c r="J357" s="80"/>
      <c r="K357" s="80"/>
      <c r="L357" s="80"/>
      <c r="M357" s="80"/>
      <c r="N357" s="80"/>
      <c r="O357" s="80"/>
      <c r="P357" s="80"/>
      <c r="Q357" s="80"/>
    </row>
    <row r="358" spans="1:17" customFormat="1" ht="28.5">
      <c r="A358" t="s">
        <v>239</v>
      </c>
      <c r="B358" t="s">
        <v>240</v>
      </c>
      <c r="C358" t="s">
        <v>1268</v>
      </c>
      <c r="D358" s="5">
        <v>45978</v>
      </c>
      <c r="E358" s="5">
        <v>45978</v>
      </c>
      <c r="F358" s="120" t="s">
        <v>551</v>
      </c>
      <c r="G358" s="1"/>
      <c r="H358" s="1" t="s">
        <v>277</v>
      </c>
      <c r="I358" s="1" t="s">
        <v>1269</v>
      </c>
      <c r="J358" s="80"/>
      <c r="K358" s="80"/>
      <c r="L358" s="80"/>
      <c r="M358" s="80"/>
      <c r="N358" s="80"/>
      <c r="O358" s="80"/>
      <c r="P358" s="80"/>
      <c r="Q358" s="80"/>
    </row>
    <row r="359" spans="1:17" customFormat="1" ht="28.5">
      <c r="A359" t="s">
        <v>239</v>
      </c>
      <c r="B359" t="s">
        <v>240</v>
      </c>
      <c r="C359" t="s">
        <v>1270</v>
      </c>
      <c r="D359" s="5">
        <v>45978</v>
      </c>
      <c r="E359" s="5">
        <v>45978</v>
      </c>
      <c r="F359" s="120" t="s">
        <v>1271</v>
      </c>
      <c r="G359" s="1"/>
      <c r="H359" s="1" t="s">
        <v>254</v>
      </c>
      <c r="I359" s="1" t="s">
        <v>1272</v>
      </c>
      <c r="J359" s="80"/>
      <c r="K359" s="80"/>
      <c r="L359" s="80"/>
      <c r="M359" s="80"/>
      <c r="N359" s="80"/>
      <c r="O359" s="80"/>
      <c r="P359" s="80"/>
      <c r="Q359" s="80"/>
    </row>
    <row r="360" spans="1:17" customFormat="1" ht="42.75">
      <c r="A360" t="s">
        <v>239</v>
      </c>
      <c r="B360" t="s">
        <v>240</v>
      </c>
      <c r="C360" t="s">
        <v>1270</v>
      </c>
      <c r="D360" s="5">
        <v>45978</v>
      </c>
      <c r="E360" s="5">
        <v>45978</v>
      </c>
      <c r="F360" s="120" t="s">
        <v>1273</v>
      </c>
      <c r="G360" s="1"/>
      <c r="H360" s="1" t="s">
        <v>250</v>
      </c>
      <c r="I360" s="1" t="s">
        <v>1274</v>
      </c>
      <c r="J360" s="80"/>
      <c r="K360" s="80"/>
      <c r="L360" s="80"/>
      <c r="M360" s="80"/>
      <c r="N360" s="80"/>
      <c r="O360" s="80"/>
      <c r="P360" s="80"/>
      <c r="Q360" s="80"/>
    </row>
    <row r="361" spans="1:17" customFormat="1" ht="28.5">
      <c r="A361" t="s">
        <v>239</v>
      </c>
      <c r="B361" t="s">
        <v>240</v>
      </c>
      <c r="C361" t="s">
        <v>1275</v>
      </c>
      <c r="D361" s="5">
        <v>45978</v>
      </c>
      <c r="E361" s="5">
        <v>45978</v>
      </c>
      <c r="F361" s="120" t="s">
        <v>1276</v>
      </c>
      <c r="G361" s="1"/>
      <c r="H361" s="1" t="s">
        <v>261</v>
      </c>
      <c r="I361" s="1" t="s">
        <v>1277</v>
      </c>
      <c r="J361" s="80"/>
      <c r="K361" s="80"/>
      <c r="L361" s="80"/>
      <c r="M361" s="80"/>
      <c r="N361" s="80"/>
      <c r="O361" s="80"/>
      <c r="P361" s="80"/>
      <c r="Q361" s="80"/>
    </row>
    <row r="362" spans="1:17" customFormat="1" ht="42.75">
      <c r="A362" t="s">
        <v>239</v>
      </c>
      <c r="B362" t="s">
        <v>240</v>
      </c>
      <c r="C362" t="s">
        <v>1275</v>
      </c>
      <c r="D362" s="5">
        <v>45978</v>
      </c>
      <c r="E362" s="5">
        <v>45978</v>
      </c>
      <c r="F362" s="120" t="s">
        <v>1278</v>
      </c>
      <c r="G362" s="1"/>
      <c r="H362" s="1" t="s">
        <v>374</v>
      </c>
      <c r="I362" s="1" t="s">
        <v>1279</v>
      </c>
      <c r="J362" s="80"/>
      <c r="K362" s="80"/>
      <c r="L362" s="80"/>
      <c r="M362" s="80"/>
      <c r="N362" s="80"/>
      <c r="O362" s="80"/>
      <c r="P362" s="80"/>
      <c r="Q362" s="80"/>
    </row>
    <row r="363" spans="1:17" customFormat="1" ht="28.5">
      <c r="A363" t="s">
        <v>239</v>
      </c>
      <c r="B363" t="s">
        <v>240</v>
      </c>
      <c r="C363" t="s">
        <v>1280</v>
      </c>
      <c r="D363" s="5">
        <v>45978</v>
      </c>
      <c r="E363" s="5">
        <v>45978</v>
      </c>
      <c r="F363" s="120" t="s">
        <v>1281</v>
      </c>
      <c r="G363" s="1"/>
      <c r="H363" s="1" t="s">
        <v>254</v>
      </c>
      <c r="I363" s="1" t="s">
        <v>1282</v>
      </c>
      <c r="J363" s="80"/>
      <c r="K363" s="80"/>
      <c r="L363" s="80"/>
      <c r="M363" s="80"/>
      <c r="N363" s="80"/>
      <c r="O363" s="80"/>
      <c r="P363" s="80"/>
      <c r="Q363" s="80"/>
    </row>
    <row r="364" spans="1:17" customFormat="1" ht="42.75">
      <c r="A364" t="s">
        <v>239</v>
      </c>
      <c r="B364" t="s">
        <v>240</v>
      </c>
      <c r="C364" t="s">
        <v>1280</v>
      </c>
      <c r="D364" s="5">
        <v>45978</v>
      </c>
      <c r="E364" s="5">
        <v>45978</v>
      </c>
      <c r="F364" s="120" t="s">
        <v>1283</v>
      </c>
      <c r="G364" s="1"/>
      <c r="H364" s="1" t="s">
        <v>250</v>
      </c>
      <c r="I364" s="1" t="s">
        <v>1284</v>
      </c>
      <c r="J364" s="80"/>
      <c r="K364" s="80"/>
      <c r="L364" s="80"/>
      <c r="M364" s="80"/>
      <c r="N364" s="80"/>
      <c r="O364" s="80"/>
      <c r="P364" s="80"/>
      <c r="Q364" s="80"/>
    </row>
    <row r="365" spans="1:17" customFormat="1" ht="28.5">
      <c r="A365" t="s">
        <v>239</v>
      </c>
      <c r="B365" t="s">
        <v>240</v>
      </c>
      <c r="C365" t="s">
        <v>1285</v>
      </c>
      <c r="D365" s="5">
        <v>45979</v>
      </c>
      <c r="E365" s="5">
        <v>45979</v>
      </c>
      <c r="F365" s="120" t="s">
        <v>1286</v>
      </c>
      <c r="G365" s="1"/>
      <c r="H365" s="1" t="s">
        <v>254</v>
      </c>
      <c r="I365" s="1" t="s">
        <v>1287</v>
      </c>
      <c r="J365" s="80"/>
      <c r="K365" s="80"/>
      <c r="L365" s="80"/>
      <c r="M365" s="80"/>
      <c r="N365" s="80"/>
      <c r="O365" s="80"/>
      <c r="P365" s="80"/>
      <c r="Q365" s="80"/>
    </row>
    <row r="366" spans="1:17" customFormat="1" ht="42.75">
      <c r="A366" t="s">
        <v>239</v>
      </c>
      <c r="B366" t="s">
        <v>240</v>
      </c>
      <c r="C366" t="s">
        <v>1285</v>
      </c>
      <c r="D366" s="5">
        <v>45979</v>
      </c>
      <c r="E366" s="5">
        <v>45979</v>
      </c>
      <c r="F366" s="120" t="s">
        <v>1288</v>
      </c>
      <c r="G366" s="1"/>
      <c r="H366" s="1" t="s">
        <v>295</v>
      </c>
      <c r="I366" s="1" t="s">
        <v>1289</v>
      </c>
      <c r="J366" s="80"/>
      <c r="K366" s="80"/>
      <c r="L366" s="80"/>
      <c r="M366" s="80"/>
      <c r="N366" s="80"/>
      <c r="O366" s="80"/>
      <c r="P366" s="80"/>
      <c r="Q366" s="80"/>
    </row>
    <row r="367" spans="1:17" customFormat="1" ht="28.5">
      <c r="A367" t="s">
        <v>239</v>
      </c>
      <c r="B367" t="s">
        <v>240</v>
      </c>
      <c r="C367" t="s">
        <v>1290</v>
      </c>
      <c r="D367" s="5">
        <v>45979</v>
      </c>
      <c r="E367" s="5">
        <v>45979</v>
      </c>
      <c r="F367" s="120" t="s">
        <v>1291</v>
      </c>
      <c r="G367" s="1"/>
      <c r="H367" s="1" t="s">
        <v>261</v>
      </c>
      <c r="I367" s="1" t="s">
        <v>1292</v>
      </c>
      <c r="J367" s="80"/>
      <c r="K367" s="80"/>
      <c r="L367" s="80"/>
      <c r="M367" s="80"/>
      <c r="N367" s="80"/>
      <c r="O367" s="80"/>
      <c r="P367" s="80"/>
      <c r="Q367" s="80"/>
    </row>
    <row r="368" spans="1:17" customFormat="1" ht="28.5">
      <c r="A368" t="s">
        <v>239</v>
      </c>
      <c r="B368" t="s">
        <v>240</v>
      </c>
      <c r="C368" t="s">
        <v>1290</v>
      </c>
      <c r="D368" s="5">
        <v>45979</v>
      </c>
      <c r="E368" s="5">
        <v>45979</v>
      </c>
      <c r="F368" s="120" t="s">
        <v>1293</v>
      </c>
      <c r="G368" s="1"/>
      <c r="H368" s="1" t="s">
        <v>747</v>
      </c>
      <c r="I368" s="1" t="s">
        <v>1294</v>
      </c>
      <c r="J368" s="80"/>
      <c r="K368" s="80"/>
      <c r="L368" s="80"/>
      <c r="M368" s="80"/>
      <c r="N368" s="80"/>
      <c r="O368" s="80"/>
      <c r="P368" s="80"/>
      <c r="Q368" s="80"/>
    </row>
    <row r="369" spans="1:17" customFormat="1" ht="28.5">
      <c r="A369" t="s">
        <v>239</v>
      </c>
      <c r="B369" t="s">
        <v>240</v>
      </c>
      <c r="C369" t="s">
        <v>1295</v>
      </c>
      <c r="D369" s="5">
        <v>45980</v>
      </c>
      <c r="E369" s="5">
        <v>45980</v>
      </c>
      <c r="F369" s="120" t="s">
        <v>1296</v>
      </c>
      <c r="G369" s="1"/>
      <c r="H369" s="1" t="s">
        <v>254</v>
      </c>
      <c r="I369" s="1" t="s">
        <v>1297</v>
      </c>
      <c r="J369" s="80"/>
      <c r="K369" s="80"/>
      <c r="L369" s="80"/>
      <c r="M369" s="80"/>
      <c r="N369" s="80"/>
      <c r="O369" s="80"/>
      <c r="P369" s="80"/>
      <c r="Q369" s="80"/>
    </row>
    <row r="370" spans="1:17" customFormat="1" ht="28.5">
      <c r="A370" t="s">
        <v>239</v>
      </c>
      <c r="B370" t="s">
        <v>240</v>
      </c>
      <c r="C370" t="s">
        <v>1295</v>
      </c>
      <c r="D370" s="5">
        <v>45980</v>
      </c>
      <c r="E370" s="5">
        <v>45980</v>
      </c>
      <c r="F370" s="120" t="s">
        <v>1298</v>
      </c>
      <c r="G370" s="1"/>
      <c r="H370" s="1" t="s">
        <v>1299</v>
      </c>
      <c r="I370" s="1" t="s">
        <v>1300</v>
      </c>
      <c r="J370" s="80"/>
      <c r="K370" s="80"/>
      <c r="L370" s="80"/>
      <c r="M370" s="80"/>
      <c r="N370" s="80"/>
      <c r="O370" s="80"/>
      <c r="P370" s="80"/>
      <c r="Q370" s="80"/>
    </row>
    <row r="371" spans="1:17" customFormat="1">
      <c r="A371" t="s">
        <v>239</v>
      </c>
      <c r="B371" t="s">
        <v>240</v>
      </c>
      <c r="C371" t="s">
        <v>1301</v>
      </c>
      <c r="D371" s="5">
        <v>45980</v>
      </c>
      <c r="E371" s="5">
        <v>45980</v>
      </c>
      <c r="F371" s="120" t="s">
        <v>562</v>
      </c>
      <c r="G371" s="1" t="s">
        <v>1302</v>
      </c>
      <c r="H371" s="1"/>
      <c r="I371" s="1" t="s">
        <v>1303</v>
      </c>
      <c r="J371" s="80"/>
      <c r="K371" s="80"/>
      <c r="L371" s="80"/>
      <c r="M371" s="80"/>
      <c r="N371" s="80"/>
      <c r="O371" s="80"/>
      <c r="P371" s="80"/>
      <c r="Q371" s="80"/>
    </row>
    <row r="372" spans="1:17" customFormat="1">
      <c r="A372" t="s">
        <v>1304</v>
      </c>
      <c r="B372" t="s">
        <v>240</v>
      </c>
      <c r="C372" t="s">
        <v>1305</v>
      </c>
      <c r="D372" s="5">
        <v>45981</v>
      </c>
      <c r="E372" s="5">
        <v>45981</v>
      </c>
      <c r="F372" s="120" t="s">
        <v>1306</v>
      </c>
      <c r="G372" s="1" t="s">
        <v>1307</v>
      </c>
      <c r="H372" s="1"/>
      <c r="I372" s="1" t="s">
        <v>1308</v>
      </c>
      <c r="J372" s="80"/>
      <c r="K372" s="80"/>
      <c r="L372" s="80"/>
      <c r="M372" s="80"/>
      <c r="N372" s="80"/>
      <c r="O372" s="80"/>
      <c r="P372" s="80"/>
      <c r="Q372" s="80"/>
    </row>
    <row r="373" spans="1:17" customFormat="1">
      <c r="B373" t="s">
        <v>240</v>
      </c>
      <c r="C373" t="s">
        <v>1309</v>
      </c>
      <c r="D373" s="5">
        <v>45981</v>
      </c>
      <c r="E373" s="5">
        <v>45981</v>
      </c>
      <c r="F373" s="120" t="s">
        <v>1310</v>
      </c>
      <c r="G373" s="1"/>
      <c r="H373" s="1" t="s">
        <v>261</v>
      </c>
      <c r="I373" s="1" t="s">
        <v>1311</v>
      </c>
      <c r="J373" s="80"/>
      <c r="K373" s="80"/>
      <c r="L373" s="80"/>
      <c r="M373" s="80"/>
      <c r="N373" s="80"/>
      <c r="O373" s="80"/>
      <c r="P373" s="80"/>
      <c r="Q373" s="80"/>
    </row>
    <row r="374" spans="1:17" customFormat="1">
      <c r="B374" t="s">
        <v>240</v>
      </c>
      <c r="C374" t="s">
        <v>1309</v>
      </c>
      <c r="D374" s="5">
        <v>45981</v>
      </c>
      <c r="E374" s="5">
        <v>45981</v>
      </c>
      <c r="F374" s="120" t="s">
        <v>1312</v>
      </c>
      <c r="G374" s="1"/>
      <c r="H374" s="1" t="s">
        <v>1313</v>
      </c>
      <c r="I374" s="1" t="s">
        <v>1314</v>
      </c>
      <c r="J374" s="80"/>
      <c r="K374" s="80"/>
      <c r="L374" s="80"/>
      <c r="M374" s="80"/>
      <c r="N374" s="80"/>
      <c r="O374" s="80"/>
      <c r="P374" s="80"/>
      <c r="Q374" s="80"/>
    </row>
    <row r="375" spans="1:17" customFormat="1" ht="28.5">
      <c r="A375" t="s">
        <v>239</v>
      </c>
      <c r="B375" t="s">
        <v>240</v>
      </c>
      <c r="C375" t="s">
        <v>1315</v>
      </c>
      <c r="D375" s="5">
        <v>45982</v>
      </c>
      <c r="E375" s="5">
        <v>45982</v>
      </c>
      <c r="F375" s="120" t="s">
        <v>1316</v>
      </c>
      <c r="G375" s="1"/>
      <c r="H375" s="1" t="s">
        <v>254</v>
      </c>
      <c r="I375" s="1" t="s">
        <v>1317</v>
      </c>
      <c r="J375" s="80"/>
      <c r="K375" s="80"/>
      <c r="L375" s="80"/>
      <c r="M375" s="80"/>
      <c r="N375" s="80"/>
      <c r="O375" s="80"/>
      <c r="P375" s="80"/>
      <c r="Q375" s="80"/>
    </row>
    <row r="376" spans="1:17" customFormat="1" ht="42.75">
      <c r="A376" t="s">
        <v>239</v>
      </c>
      <c r="B376" t="s">
        <v>240</v>
      </c>
      <c r="C376" t="s">
        <v>1315</v>
      </c>
      <c r="D376" s="5">
        <v>45982</v>
      </c>
      <c r="E376" s="5">
        <v>45982</v>
      </c>
      <c r="F376" s="120" t="s">
        <v>1318</v>
      </c>
      <c r="G376" s="1"/>
      <c r="H376" s="1" t="s">
        <v>295</v>
      </c>
      <c r="I376" s="1" t="s">
        <v>1319</v>
      </c>
      <c r="J376" s="80"/>
      <c r="K376" s="80"/>
      <c r="L376" s="80"/>
      <c r="M376" s="80"/>
      <c r="N376" s="80"/>
      <c r="O376" s="80"/>
      <c r="P376" s="80"/>
      <c r="Q376" s="80"/>
    </row>
    <row r="377" spans="1:17" customFormat="1" ht="42.75">
      <c r="A377" t="s">
        <v>239</v>
      </c>
      <c r="B377" t="s">
        <v>240</v>
      </c>
      <c r="C377" t="s">
        <v>1320</v>
      </c>
      <c r="D377" s="5">
        <v>45982</v>
      </c>
      <c r="E377" s="5">
        <v>45982</v>
      </c>
      <c r="F377" s="120" t="s">
        <v>1321</v>
      </c>
      <c r="G377" s="1"/>
      <c r="H377" s="1" t="s">
        <v>254</v>
      </c>
      <c r="I377" s="1" t="s">
        <v>1322</v>
      </c>
      <c r="J377" s="80"/>
      <c r="K377" s="80"/>
      <c r="L377" s="80"/>
      <c r="M377" s="80"/>
      <c r="N377" s="80"/>
      <c r="O377" s="80"/>
      <c r="P377" s="80"/>
      <c r="Q377" s="80"/>
    </row>
    <row r="378" spans="1:17" customFormat="1" ht="42.75">
      <c r="A378" t="s">
        <v>239</v>
      </c>
      <c r="B378" t="s">
        <v>240</v>
      </c>
      <c r="C378" t="s">
        <v>1320</v>
      </c>
      <c r="D378" s="5">
        <v>45982</v>
      </c>
      <c r="E378" s="5">
        <v>45982</v>
      </c>
      <c r="F378" s="120" t="s">
        <v>1323</v>
      </c>
      <c r="G378" s="1"/>
      <c r="H378" s="1" t="s">
        <v>295</v>
      </c>
      <c r="I378" s="1" t="s">
        <v>1324</v>
      </c>
      <c r="J378" s="80"/>
      <c r="K378" s="80"/>
      <c r="L378" s="80"/>
      <c r="M378" s="80"/>
      <c r="N378" s="80"/>
      <c r="O378" s="80"/>
      <c r="P378" s="80"/>
      <c r="Q378" s="80"/>
    </row>
    <row r="379" spans="1:17" customFormat="1" ht="28.5">
      <c r="A379" t="s">
        <v>239</v>
      </c>
      <c r="B379" t="s">
        <v>240</v>
      </c>
      <c r="C379" t="s">
        <v>1325</v>
      </c>
      <c r="D379" s="5">
        <v>45982</v>
      </c>
      <c r="E379" s="5">
        <v>45982</v>
      </c>
      <c r="F379" s="120" t="s">
        <v>1326</v>
      </c>
      <c r="G379" s="1"/>
      <c r="H379" s="1" t="s">
        <v>261</v>
      </c>
      <c r="I379" s="1" t="s">
        <v>1327</v>
      </c>
      <c r="J379" s="80"/>
      <c r="K379" s="80"/>
      <c r="L379" s="80"/>
      <c r="M379" s="80"/>
      <c r="N379" s="80"/>
      <c r="O379" s="80"/>
      <c r="P379" s="80"/>
      <c r="Q379" s="80"/>
    </row>
    <row r="380" spans="1:17" customFormat="1" ht="42.75">
      <c r="A380" t="s">
        <v>239</v>
      </c>
      <c r="B380" t="s">
        <v>240</v>
      </c>
      <c r="C380" t="s">
        <v>1325</v>
      </c>
      <c r="D380" s="5">
        <v>45982</v>
      </c>
      <c r="E380" s="5">
        <v>45982</v>
      </c>
      <c r="F380" s="120" t="s">
        <v>1328</v>
      </c>
      <c r="G380" s="1"/>
      <c r="H380" s="1" t="s">
        <v>368</v>
      </c>
      <c r="I380" s="1" t="s">
        <v>1329</v>
      </c>
      <c r="J380" s="80"/>
      <c r="K380" s="80"/>
      <c r="L380" s="80"/>
      <c r="M380" s="80"/>
      <c r="N380" s="80"/>
      <c r="O380" s="80"/>
      <c r="P380" s="80"/>
      <c r="Q380" s="80"/>
    </row>
    <row r="381" spans="1:17" customFormat="1" ht="28.5">
      <c r="A381" t="s">
        <v>239</v>
      </c>
      <c r="B381" t="s">
        <v>240</v>
      </c>
      <c r="C381" t="s">
        <v>1330</v>
      </c>
      <c r="D381" s="5">
        <v>45985</v>
      </c>
      <c r="E381" s="5">
        <v>45985</v>
      </c>
      <c r="F381" s="120" t="s">
        <v>1331</v>
      </c>
      <c r="G381" s="1"/>
      <c r="H381" s="1" t="s">
        <v>261</v>
      </c>
      <c r="I381" s="1" t="s">
        <v>1332</v>
      </c>
      <c r="J381" s="80"/>
      <c r="K381" s="80"/>
      <c r="L381" s="80"/>
      <c r="M381" s="80"/>
      <c r="N381" s="80"/>
      <c r="O381" s="80"/>
      <c r="P381" s="80"/>
      <c r="Q381" s="80"/>
    </row>
    <row r="382" spans="1:17" customFormat="1" ht="42.75">
      <c r="A382" t="s">
        <v>239</v>
      </c>
      <c r="B382" t="s">
        <v>240</v>
      </c>
      <c r="C382" t="s">
        <v>1330</v>
      </c>
      <c r="D382" s="5">
        <v>45985</v>
      </c>
      <c r="E382" s="5">
        <v>45985</v>
      </c>
      <c r="F382" s="120" t="s">
        <v>1333</v>
      </c>
      <c r="G382" s="1"/>
      <c r="H382" s="1" t="s">
        <v>307</v>
      </c>
      <c r="I382" s="1" t="s">
        <v>1334</v>
      </c>
      <c r="J382" s="80"/>
      <c r="K382" s="80"/>
      <c r="L382" s="80"/>
      <c r="M382" s="80"/>
      <c r="N382" s="80"/>
      <c r="O382" s="80"/>
      <c r="P382" s="80"/>
      <c r="Q382" s="80"/>
    </row>
    <row r="383" spans="1:17" customFormat="1" ht="28.5">
      <c r="A383" t="s">
        <v>239</v>
      </c>
      <c r="B383" t="s">
        <v>240</v>
      </c>
      <c r="C383" t="s">
        <v>1335</v>
      </c>
      <c r="D383" s="5">
        <v>45985</v>
      </c>
      <c r="E383" s="5">
        <v>45985</v>
      </c>
      <c r="F383" s="120" t="s">
        <v>1336</v>
      </c>
      <c r="G383" s="1"/>
      <c r="H383" s="1" t="s">
        <v>254</v>
      </c>
      <c r="I383" s="1" t="s">
        <v>1337</v>
      </c>
      <c r="J383" s="80"/>
      <c r="K383" s="80"/>
      <c r="L383" s="80"/>
      <c r="M383" s="80"/>
      <c r="N383" s="80"/>
      <c r="O383" s="80"/>
      <c r="P383" s="80"/>
      <c r="Q383" s="80"/>
    </row>
    <row r="384" spans="1:17" customFormat="1" ht="42.75">
      <c r="A384" t="s">
        <v>239</v>
      </c>
      <c r="B384" t="s">
        <v>240</v>
      </c>
      <c r="C384" t="s">
        <v>1335</v>
      </c>
      <c r="D384" s="5">
        <v>45985</v>
      </c>
      <c r="E384" s="5">
        <v>45985</v>
      </c>
      <c r="F384" s="120" t="s">
        <v>1338</v>
      </c>
      <c r="G384" s="1"/>
      <c r="H384" s="1" t="s">
        <v>295</v>
      </c>
      <c r="I384" s="1" t="s">
        <v>1339</v>
      </c>
      <c r="J384" s="80"/>
      <c r="K384" s="80"/>
      <c r="L384" s="80"/>
      <c r="M384" s="80"/>
      <c r="N384" s="80"/>
      <c r="O384" s="80"/>
      <c r="P384" s="80"/>
      <c r="Q384" s="80"/>
    </row>
    <row r="385" spans="1:17" customFormat="1" ht="28.5">
      <c r="A385" t="s">
        <v>239</v>
      </c>
      <c r="B385" t="s">
        <v>240</v>
      </c>
      <c r="C385" t="s">
        <v>1340</v>
      </c>
      <c r="D385" s="5">
        <v>45985</v>
      </c>
      <c r="E385" s="5">
        <v>45985</v>
      </c>
      <c r="F385" s="120" t="s">
        <v>1341</v>
      </c>
      <c r="G385" s="1"/>
      <c r="H385" s="1" t="s">
        <v>254</v>
      </c>
      <c r="I385" s="1" t="s">
        <v>1342</v>
      </c>
      <c r="J385" s="80"/>
      <c r="K385" s="80"/>
      <c r="L385" s="80"/>
      <c r="M385" s="80"/>
      <c r="N385" s="80"/>
      <c r="O385" s="80"/>
      <c r="P385" s="80"/>
      <c r="Q385" s="80"/>
    </row>
    <row r="386" spans="1:17" customFormat="1" ht="28.5">
      <c r="A386" t="s">
        <v>239</v>
      </c>
      <c r="B386" t="s">
        <v>240</v>
      </c>
      <c r="C386" t="s">
        <v>1340</v>
      </c>
      <c r="D386" s="5">
        <v>45985</v>
      </c>
      <c r="E386" s="5">
        <v>45985</v>
      </c>
      <c r="F386" s="120" t="s">
        <v>1343</v>
      </c>
      <c r="G386" s="1"/>
      <c r="H386" s="1" t="s">
        <v>1344</v>
      </c>
      <c r="I386" s="1" t="s">
        <v>1345</v>
      </c>
      <c r="J386" s="80"/>
      <c r="K386" s="80"/>
      <c r="L386" s="80"/>
      <c r="M386" s="80"/>
      <c r="N386" s="80"/>
      <c r="O386" s="80"/>
      <c r="P386" s="80"/>
      <c r="Q386" s="80"/>
    </row>
    <row r="387" spans="1:17" customFormat="1" ht="42.75">
      <c r="A387" t="s">
        <v>239</v>
      </c>
      <c r="B387" t="s">
        <v>240</v>
      </c>
      <c r="C387" t="s">
        <v>1346</v>
      </c>
      <c r="D387" s="5">
        <v>45985</v>
      </c>
      <c r="E387" s="5">
        <v>45985</v>
      </c>
      <c r="F387" s="120" t="s">
        <v>1347</v>
      </c>
      <c r="G387" s="1" t="s">
        <v>897</v>
      </c>
      <c r="H387" s="1"/>
      <c r="I387" s="1" t="s">
        <v>1348</v>
      </c>
      <c r="J387" s="80"/>
      <c r="K387" s="80"/>
      <c r="L387" s="80"/>
      <c r="M387" s="80"/>
      <c r="N387" s="80"/>
      <c r="O387" s="80"/>
      <c r="P387" s="80"/>
      <c r="Q387" s="80"/>
    </row>
    <row r="388" spans="1:17" customFormat="1" ht="28.5">
      <c r="A388" t="s">
        <v>239</v>
      </c>
      <c r="B388" t="s">
        <v>240</v>
      </c>
      <c r="C388" t="s">
        <v>1349</v>
      </c>
      <c r="D388" s="5">
        <v>45985</v>
      </c>
      <c r="E388" s="5">
        <v>45985</v>
      </c>
      <c r="F388" s="120" t="s">
        <v>1350</v>
      </c>
      <c r="G388" s="1"/>
      <c r="H388" s="1" t="s">
        <v>261</v>
      </c>
      <c r="I388" s="1" t="s">
        <v>1351</v>
      </c>
      <c r="J388" s="80"/>
      <c r="K388" s="80"/>
      <c r="L388" s="80"/>
      <c r="M388" s="80"/>
      <c r="N388" s="80"/>
      <c r="O388" s="80"/>
      <c r="P388" s="80"/>
      <c r="Q388" s="80"/>
    </row>
    <row r="389" spans="1:17" customFormat="1" ht="28.5">
      <c r="A389" t="s">
        <v>239</v>
      </c>
      <c r="B389" t="s">
        <v>240</v>
      </c>
      <c r="C389" t="s">
        <v>1349</v>
      </c>
      <c r="D389" s="5">
        <v>45985</v>
      </c>
      <c r="E389" s="5">
        <v>45985</v>
      </c>
      <c r="F389" s="120" t="s">
        <v>1352</v>
      </c>
      <c r="G389" s="1"/>
      <c r="H389" s="1" t="s">
        <v>1353</v>
      </c>
      <c r="I389" s="1" t="s">
        <v>1354</v>
      </c>
      <c r="J389" s="80"/>
      <c r="K389" s="80"/>
      <c r="L389" s="80"/>
      <c r="M389" s="80"/>
      <c r="N389" s="80"/>
      <c r="O389" s="80"/>
      <c r="P389" s="80"/>
      <c r="Q389" s="80"/>
    </row>
    <row r="390" spans="1:17" customFormat="1" ht="28.5">
      <c r="A390" t="s">
        <v>239</v>
      </c>
      <c r="B390" t="s">
        <v>240</v>
      </c>
      <c r="C390" t="s">
        <v>1355</v>
      </c>
      <c r="D390" s="5">
        <v>45985</v>
      </c>
      <c r="E390" s="5">
        <v>45985</v>
      </c>
      <c r="F390" s="120" t="s">
        <v>551</v>
      </c>
      <c r="G390" s="1"/>
      <c r="H390" s="1" t="s">
        <v>277</v>
      </c>
      <c r="I390" s="1" t="s">
        <v>1356</v>
      </c>
      <c r="J390" s="80"/>
      <c r="K390" s="80"/>
      <c r="L390" s="80"/>
      <c r="M390" s="80"/>
      <c r="N390" s="80"/>
      <c r="O390" s="80"/>
      <c r="P390" s="80"/>
      <c r="Q390" s="80"/>
    </row>
    <row r="391" spans="1:17" customFormat="1" ht="28.5">
      <c r="A391" t="s">
        <v>239</v>
      </c>
      <c r="B391" t="s">
        <v>240</v>
      </c>
      <c r="C391" t="s">
        <v>1357</v>
      </c>
      <c r="D391" s="5">
        <v>45985</v>
      </c>
      <c r="E391" s="5">
        <v>45985</v>
      </c>
      <c r="F391" s="120" t="s">
        <v>1358</v>
      </c>
      <c r="G391" s="1" t="s">
        <v>368</v>
      </c>
      <c r="H391" s="1"/>
      <c r="I391" s="1" t="s">
        <v>1359</v>
      </c>
      <c r="J391" s="80"/>
      <c r="K391" s="80"/>
      <c r="L391" s="80"/>
      <c r="M391" s="80"/>
      <c r="N391" s="80"/>
      <c r="O391" s="80"/>
      <c r="P391" s="80"/>
      <c r="Q391" s="80"/>
    </row>
    <row r="392" spans="1:17" customFormat="1" ht="28.5">
      <c r="A392" t="s">
        <v>239</v>
      </c>
      <c r="B392" t="s">
        <v>240</v>
      </c>
      <c r="C392" t="s">
        <v>1360</v>
      </c>
      <c r="D392" s="5">
        <v>45985</v>
      </c>
      <c r="E392" s="5">
        <v>45985</v>
      </c>
      <c r="F392" s="120" t="s">
        <v>1361</v>
      </c>
      <c r="G392" s="1"/>
      <c r="H392" s="1" t="s">
        <v>261</v>
      </c>
      <c r="I392" s="1" t="s">
        <v>1362</v>
      </c>
      <c r="J392" s="80"/>
      <c r="K392" s="80"/>
      <c r="L392" s="80"/>
      <c r="M392" s="80"/>
      <c r="N392" s="80"/>
      <c r="O392" s="80"/>
      <c r="P392" s="80"/>
      <c r="Q392" s="80"/>
    </row>
    <row r="393" spans="1:17" customFormat="1" ht="42.75">
      <c r="A393" t="s">
        <v>239</v>
      </c>
      <c r="B393" t="s">
        <v>240</v>
      </c>
      <c r="C393" t="s">
        <v>1360</v>
      </c>
      <c r="D393" s="5">
        <v>45985</v>
      </c>
      <c r="E393" s="5">
        <v>45985</v>
      </c>
      <c r="F393" s="120" t="s">
        <v>1363</v>
      </c>
      <c r="G393" s="1"/>
      <c r="H393" s="1" t="s">
        <v>1364</v>
      </c>
      <c r="I393" s="1" t="s">
        <v>1365</v>
      </c>
      <c r="J393" s="80"/>
      <c r="K393" s="80"/>
      <c r="L393" s="80"/>
      <c r="M393" s="80"/>
      <c r="N393" s="80"/>
      <c r="O393" s="80"/>
      <c r="P393" s="80"/>
      <c r="Q393" s="80"/>
    </row>
    <row r="394" spans="1:17" customFormat="1" ht="42.75">
      <c r="A394" t="s">
        <v>239</v>
      </c>
      <c r="B394" t="s">
        <v>240</v>
      </c>
      <c r="C394" t="s">
        <v>1366</v>
      </c>
      <c r="D394" s="5">
        <v>45985</v>
      </c>
      <c r="E394" s="5">
        <v>45985</v>
      </c>
      <c r="F394" s="120" t="s">
        <v>1367</v>
      </c>
      <c r="G394" s="1"/>
      <c r="H394" s="1" t="s">
        <v>1368</v>
      </c>
      <c r="I394" s="1" t="s">
        <v>1369</v>
      </c>
      <c r="J394" s="80"/>
      <c r="K394" s="80"/>
      <c r="L394" s="80"/>
      <c r="M394" s="80"/>
      <c r="N394" s="80"/>
      <c r="O394" s="80"/>
      <c r="P394" s="80"/>
      <c r="Q394" s="80"/>
    </row>
    <row r="395" spans="1:17" customFormat="1" ht="42.75">
      <c r="A395" t="s">
        <v>239</v>
      </c>
      <c r="B395" t="s">
        <v>240</v>
      </c>
      <c r="C395" t="s">
        <v>1370</v>
      </c>
      <c r="D395" s="5">
        <v>45985</v>
      </c>
      <c r="E395" s="5">
        <v>45985</v>
      </c>
      <c r="F395" s="120" t="s">
        <v>1371</v>
      </c>
      <c r="G395" s="1"/>
      <c r="H395" s="1" t="s">
        <v>1372</v>
      </c>
      <c r="I395" s="1" t="s">
        <v>1373</v>
      </c>
      <c r="J395" s="80"/>
      <c r="K395" s="80"/>
      <c r="L395" s="80"/>
      <c r="M395" s="80"/>
      <c r="N395" s="80"/>
      <c r="O395" s="80"/>
      <c r="P395" s="80"/>
      <c r="Q395" s="80"/>
    </row>
    <row r="396" spans="1:17" customFormat="1" ht="28.5">
      <c r="A396" t="s">
        <v>239</v>
      </c>
      <c r="B396" t="s">
        <v>240</v>
      </c>
      <c r="C396" t="s">
        <v>1374</v>
      </c>
      <c r="D396" s="5">
        <v>45985</v>
      </c>
      <c r="E396" s="5">
        <v>45985</v>
      </c>
      <c r="F396" s="120" t="s">
        <v>1375</v>
      </c>
      <c r="G396" s="1"/>
      <c r="H396" s="1" t="s">
        <v>261</v>
      </c>
      <c r="I396" s="1" t="s">
        <v>1376</v>
      </c>
      <c r="J396" s="80"/>
      <c r="K396" s="80"/>
      <c r="L396" s="80"/>
      <c r="M396" s="80"/>
      <c r="N396" s="80"/>
      <c r="O396" s="80"/>
      <c r="P396" s="80"/>
      <c r="Q396" s="80"/>
    </row>
    <row r="397" spans="1:17" customFormat="1" ht="42.75">
      <c r="A397" t="s">
        <v>239</v>
      </c>
      <c r="B397" t="s">
        <v>240</v>
      </c>
      <c r="C397" t="s">
        <v>1374</v>
      </c>
      <c r="D397" s="5">
        <v>45985</v>
      </c>
      <c r="E397" s="5">
        <v>45985</v>
      </c>
      <c r="F397" s="120" t="s">
        <v>1377</v>
      </c>
      <c r="G397" s="1"/>
      <c r="H397" s="1" t="s">
        <v>313</v>
      </c>
      <c r="I397" s="1" t="s">
        <v>1378</v>
      </c>
      <c r="J397" s="80"/>
      <c r="K397" s="80"/>
      <c r="L397" s="80"/>
      <c r="M397" s="80"/>
      <c r="N397" s="80"/>
      <c r="O397" s="80"/>
      <c r="P397" s="80"/>
      <c r="Q397" s="80"/>
    </row>
    <row r="398" spans="1:17" customFormat="1" ht="28.5">
      <c r="A398" t="s">
        <v>239</v>
      </c>
      <c r="B398" t="s">
        <v>240</v>
      </c>
      <c r="C398" t="s">
        <v>1379</v>
      </c>
      <c r="D398" s="5">
        <v>45985</v>
      </c>
      <c r="E398" s="5">
        <v>45985</v>
      </c>
      <c r="F398" s="120" t="s">
        <v>1380</v>
      </c>
      <c r="G398" s="1" t="s">
        <v>1307</v>
      </c>
      <c r="H398" s="1"/>
      <c r="I398" s="1" t="s">
        <v>1381</v>
      </c>
      <c r="J398" s="80"/>
      <c r="K398" s="80"/>
      <c r="L398" s="80"/>
      <c r="M398" s="80"/>
      <c r="N398" s="80"/>
      <c r="O398" s="80"/>
      <c r="P398" s="80"/>
      <c r="Q398" s="80"/>
    </row>
    <row r="399" spans="1:17" customFormat="1" ht="28.5">
      <c r="A399" t="s">
        <v>239</v>
      </c>
      <c r="B399" t="s">
        <v>240</v>
      </c>
      <c r="C399" t="s">
        <v>1382</v>
      </c>
      <c r="D399" s="5">
        <v>45986</v>
      </c>
      <c r="E399" s="5">
        <v>45986</v>
      </c>
      <c r="F399" s="120" t="s">
        <v>1383</v>
      </c>
      <c r="G399" s="1"/>
      <c r="H399" s="1" t="s">
        <v>261</v>
      </c>
      <c r="I399" s="1" t="s">
        <v>1384</v>
      </c>
      <c r="J399" s="80"/>
      <c r="K399" s="80"/>
      <c r="L399" s="80"/>
      <c r="M399" s="80"/>
      <c r="N399" s="80"/>
      <c r="O399" s="80"/>
      <c r="P399" s="80"/>
      <c r="Q399" s="80"/>
    </row>
    <row r="400" spans="1:17" customFormat="1" ht="42.75">
      <c r="A400" t="s">
        <v>239</v>
      </c>
      <c r="B400" t="s">
        <v>240</v>
      </c>
      <c r="C400" t="s">
        <v>1382</v>
      </c>
      <c r="D400" s="5">
        <v>45986</v>
      </c>
      <c r="E400" s="5">
        <v>45986</v>
      </c>
      <c r="F400" s="120" t="s">
        <v>1385</v>
      </c>
      <c r="G400" s="1"/>
      <c r="H400" s="1" t="s">
        <v>480</v>
      </c>
      <c r="I400" s="1" t="s">
        <v>1386</v>
      </c>
      <c r="J400" s="80"/>
      <c r="K400" s="80"/>
      <c r="L400" s="80"/>
      <c r="M400" s="80"/>
      <c r="N400" s="80"/>
      <c r="O400" s="80"/>
      <c r="P400" s="80"/>
      <c r="Q400" s="80"/>
    </row>
    <row r="401" spans="1:17" customFormat="1" ht="42.75">
      <c r="A401" t="s">
        <v>239</v>
      </c>
      <c r="B401" t="s">
        <v>240</v>
      </c>
      <c r="C401" t="s">
        <v>1387</v>
      </c>
      <c r="D401" s="5">
        <v>45986</v>
      </c>
      <c r="E401" s="5">
        <v>45986</v>
      </c>
      <c r="F401" s="120" t="s">
        <v>1388</v>
      </c>
      <c r="G401" s="1" t="s">
        <v>1389</v>
      </c>
      <c r="H401" s="1"/>
      <c r="I401" s="1" t="s">
        <v>1390</v>
      </c>
      <c r="J401" s="80"/>
      <c r="K401" s="80"/>
      <c r="L401" s="80"/>
      <c r="M401" s="80"/>
      <c r="N401" s="80"/>
      <c r="O401" s="80"/>
      <c r="P401" s="80"/>
      <c r="Q401" s="80"/>
    </row>
    <row r="402" spans="1:17" customFormat="1" ht="28.5">
      <c r="A402" t="s">
        <v>239</v>
      </c>
      <c r="B402" t="s">
        <v>240</v>
      </c>
      <c r="C402" t="s">
        <v>1391</v>
      </c>
      <c r="D402" s="5">
        <v>45986</v>
      </c>
      <c r="E402" s="5">
        <v>45986</v>
      </c>
      <c r="F402" s="120" t="s">
        <v>1392</v>
      </c>
      <c r="G402" s="1"/>
      <c r="H402" s="1" t="s">
        <v>1393</v>
      </c>
      <c r="I402" s="1" t="s">
        <v>1394</v>
      </c>
      <c r="J402" s="80"/>
      <c r="K402" s="80"/>
      <c r="L402" s="80"/>
      <c r="M402" s="80"/>
      <c r="N402" s="80"/>
      <c r="O402" s="80"/>
      <c r="P402" s="80"/>
      <c r="Q402" s="80"/>
    </row>
    <row r="403" spans="1:17" customFormat="1" ht="28.5">
      <c r="A403" t="s">
        <v>239</v>
      </c>
      <c r="B403" t="s">
        <v>240</v>
      </c>
      <c r="C403" t="s">
        <v>1395</v>
      </c>
      <c r="D403" s="5">
        <v>45986</v>
      </c>
      <c r="E403" s="5">
        <v>45986</v>
      </c>
      <c r="F403" s="120" t="s">
        <v>1396</v>
      </c>
      <c r="G403" s="1"/>
      <c r="H403" s="1" t="s">
        <v>261</v>
      </c>
      <c r="I403" s="1" t="s">
        <v>1397</v>
      </c>
      <c r="J403" s="80"/>
      <c r="K403" s="80"/>
      <c r="L403" s="80"/>
      <c r="M403" s="80"/>
      <c r="N403" s="80"/>
      <c r="O403" s="80"/>
      <c r="P403" s="80"/>
      <c r="Q403" s="80"/>
    </row>
    <row r="404" spans="1:17" customFormat="1" ht="42.75">
      <c r="A404" t="s">
        <v>239</v>
      </c>
      <c r="B404" t="s">
        <v>240</v>
      </c>
      <c r="C404" t="s">
        <v>1395</v>
      </c>
      <c r="D404" s="5">
        <v>45986</v>
      </c>
      <c r="E404" s="5">
        <v>45986</v>
      </c>
      <c r="F404" s="120" t="s">
        <v>1398</v>
      </c>
      <c r="G404" s="1"/>
      <c r="H404" s="1" t="s">
        <v>630</v>
      </c>
      <c r="I404" s="1" t="s">
        <v>1399</v>
      </c>
      <c r="J404" s="80"/>
      <c r="K404" s="80"/>
      <c r="L404" s="80"/>
      <c r="M404" s="80"/>
      <c r="N404" s="80"/>
      <c r="O404" s="80"/>
      <c r="P404" s="80"/>
      <c r="Q404" s="80"/>
    </row>
    <row r="405" spans="1:17" customFormat="1" ht="28.5">
      <c r="A405" t="s">
        <v>239</v>
      </c>
      <c r="B405" t="s">
        <v>240</v>
      </c>
      <c r="C405" t="s">
        <v>1400</v>
      </c>
      <c r="D405" s="5">
        <v>45986</v>
      </c>
      <c r="E405" s="5">
        <v>45986</v>
      </c>
      <c r="F405" s="120" t="s">
        <v>1401</v>
      </c>
      <c r="G405" s="1"/>
      <c r="H405" s="1" t="s">
        <v>261</v>
      </c>
      <c r="I405" s="1" t="s">
        <v>1402</v>
      </c>
      <c r="J405" s="80"/>
      <c r="K405" s="80"/>
      <c r="L405" s="80"/>
      <c r="M405" s="80"/>
      <c r="N405" s="80"/>
      <c r="O405" s="80"/>
      <c r="P405" s="80"/>
      <c r="Q405" s="80"/>
    </row>
    <row r="406" spans="1:17" customFormat="1" ht="42.75">
      <c r="A406" t="s">
        <v>239</v>
      </c>
      <c r="B406" t="s">
        <v>240</v>
      </c>
      <c r="C406" t="s">
        <v>1400</v>
      </c>
      <c r="D406" s="5">
        <v>45986</v>
      </c>
      <c r="E406" s="5">
        <v>45986</v>
      </c>
      <c r="F406" s="120" t="s">
        <v>1403</v>
      </c>
      <c r="G406" s="1"/>
      <c r="H406" s="1" t="s">
        <v>480</v>
      </c>
      <c r="I406" s="1" t="s">
        <v>1404</v>
      </c>
      <c r="J406" s="80"/>
      <c r="K406" s="80"/>
      <c r="L406" s="80"/>
      <c r="M406" s="80"/>
      <c r="N406" s="80"/>
      <c r="O406" s="80"/>
      <c r="P406" s="80"/>
      <c r="Q406" s="80"/>
    </row>
    <row r="407" spans="1:17" customFormat="1" ht="28.5">
      <c r="A407" t="s">
        <v>239</v>
      </c>
      <c r="B407" t="s">
        <v>240</v>
      </c>
      <c r="C407" t="s">
        <v>1405</v>
      </c>
      <c r="D407" s="5">
        <v>45987</v>
      </c>
      <c r="E407" s="5">
        <v>45987</v>
      </c>
      <c r="F407" s="120" t="s">
        <v>859</v>
      </c>
      <c r="G407" s="1"/>
      <c r="H407" s="1" t="s">
        <v>254</v>
      </c>
      <c r="I407" s="1" t="s">
        <v>1406</v>
      </c>
      <c r="J407" s="80"/>
      <c r="K407" s="80"/>
      <c r="L407" s="80"/>
      <c r="M407" s="80"/>
      <c r="N407" s="80"/>
      <c r="O407" s="80"/>
      <c r="P407" s="80"/>
      <c r="Q407" s="80"/>
    </row>
    <row r="408" spans="1:17" customFormat="1" ht="42.75">
      <c r="A408" t="s">
        <v>239</v>
      </c>
      <c r="B408" t="s">
        <v>240</v>
      </c>
      <c r="C408" t="s">
        <v>1405</v>
      </c>
      <c r="D408" s="5">
        <v>45987</v>
      </c>
      <c r="E408" s="5">
        <v>45987</v>
      </c>
      <c r="F408" s="120" t="s">
        <v>861</v>
      </c>
      <c r="G408" s="1"/>
      <c r="H408" s="1" t="s">
        <v>756</v>
      </c>
      <c r="I408" s="1" t="s">
        <v>1407</v>
      </c>
      <c r="J408" s="80"/>
      <c r="K408" s="80"/>
      <c r="L408" s="80"/>
      <c r="M408" s="80"/>
      <c r="N408" s="80"/>
      <c r="O408" s="80"/>
      <c r="P408" s="80"/>
      <c r="Q408" s="80"/>
    </row>
    <row r="409" spans="1:17" customFormat="1">
      <c r="A409" t="s">
        <v>239</v>
      </c>
      <c r="B409" t="s">
        <v>240</v>
      </c>
      <c r="C409" t="s">
        <v>1408</v>
      </c>
      <c r="D409" s="5">
        <v>45988</v>
      </c>
      <c r="E409" s="5">
        <v>45988</v>
      </c>
      <c r="F409" s="120" t="s">
        <v>1165</v>
      </c>
      <c r="G409" s="1" t="s">
        <v>1409</v>
      </c>
      <c r="H409" s="1"/>
      <c r="I409" s="1" t="s">
        <v>1410</v>
      </c>
      <c r="J409" s="80"/>
      <c r="K409" s="80"/>
      <c r="L409" s="80"/>
      <c r="M409" s="80"/>
      <c r="N409" s="80"/>
      <c r="O409" s="80"/>
      <c r="P409" s="80"/>
      <c r="Q409" s="80"/>
    </row>
    <row r="410" spans="1:17" customFormat="1" ht="28.5">
      <c r="A410" t="s">
        <v>239</v>
      </c>
      <c r="B410" t="s">
        <v>240</v>
      </c>
      <c r="C410" t="s">
        <v>1411</v>
      </c>
      <c r="D410" s="5">
        <v>45988</v>
      </c>
      <c r="E410" s="5">
        <v>45988</v>
      </c>
      <c r="F410" s="120" t="s">
        <v>1412</v>
      </c>
      <c r="G410" s="1"/>
      <c r="H410" s="1" t="s">
        <v>261</v>
      </c>
      <c r="I410" s="1" t="s">
        <v>1413</v>
      </c>
      <c r="J410" s="80"/>
      <c r="K410" s="80"/>
      <c r="L410" s="80"/>
      <c r="M410" s="80"/>
      <c r="N410" s="80"/>
      <c r="O410" s="80"/>
      <c r="P410" s="80"/>
      <c r="Q410" s="80"/>
    </row>
    <row r="411" spans="1:17" customFormat="1" ht="42.75">
      <c r="A411" t="s">
        <v>239</v>
      </c>
      <c r="B411" t="s">
        <v>240</v>
      </c>
      <c r="C411" t="s">
        <v>1411</v>
      </c>
      <c r="D411" s="5">
        <v>45988</v>
      </c>
      <c r="E411" s="5">
        <v>45988</v>
      </c>
      <c r="F411" s="120" t="s">
        <v>1414</v>
      </c>
      <c r="G411" s="1"/>
      <c r="H411" s="1" t="s">
        <v>1415</v>
      </c>
      <c r="I411" s="1" t="s">
        <v>1416</v>
      </c>
      <c r="J411" s="80"/>
      <c r="K411" s="80"/>
      <c r="L411" s="80"/>
      <c r="M411" s="80"/>
      <c r="N411" s="80"/>
      <c r="O411" s="80"/>
      <c r="P411" s="80"/>
      <c r="Q411" s="80"/>
    </row>
    <row r="412" spans="1:17" customFormat="1" ht="28.5">
      <c r="A412" t="s">
        <v>239</v>
      </c>
      <c r="B412" t="s">
        <v>240</v>
      </c>
      <c r="C412" t="s">
        <v>1417</v>
      </c>
      <c r="D412" s="5">
        <v>45988</v>
      </c>
      <c r="E412" s="5">
        <v>45988</v>
      </c>
      <c r="F412" s="120" t="s">
        <v>1418</v>
      </c>
      <c r="G412" s="1"/>
      <c r="H412" s="1" t="s">
        <v>261</v>
      </c>
      <c r="I412" s="1" t="s">
        <v>1419</v>
      </c>
      <c r="J412" s="80"/>
      <c r="K412" s="80"/>
      <c r="L412" s="80"/>
      <c r="M412" s="80"/>
      <c r="N412" s="80"/>
      <c r="O412" s="80"/>
      <c r="P412" s="80"/>
      <c r="Q412" s="80"/>
    </row>
    <row r="413" spans="1:17" customFormat="1" ht="42.75">
      <c r="A413" t="s">
        <v>239</v>
      </c>
      <c r="B413" t="s">
        <v>240</v>
      </c>
      <c r="C413" t="s">
        <v>1417</v>
      </c>
      <c r="D413" s="5">
        <v>45988</v>
      </c>
      <c r="E413" s="5">
        <v>45988</v>
      </c>
      <c r="F413" s="120" t="s">
        <v>1420</v>
      </c>
      <c r="G413" s="1"/>
      <c r="H413" s="1" t="s">
        <v>264</v>
      </c>
      <c r="I413" s="1" t="s">
        <v>1421</v>
      </c>
      <c r="J413" s="80"/>
      <c r="K413" s="80"/>
      <c r="L413" s="80"/>
      <c r="M413" s="80"/>
      <c r="N413" s="80"/>
      <c r="O413" s="80"/>
      <c r="P413" s="80"/>
      <c r="Q413" s="80"/>
    </row>
    <row r="414" spans="1:17" customFormat="1" ht="28.5">
      <c r="A414" t="s">
        <v>239</v>
      </c>
      <c r="B414" t="s">
        <v>240</v>
      </c>
      <c r="C414" t="s">
        <v>1422</v>
      </c>
      <c r="D414" s="5">
        <v>45989</v>
      </c>
      <c r="E414" s="5">
        <v>45989</v>
      </c>
      <c r="F414" s="120" t="s">
        <v>1423</v>
      </c>
      <c r="G414" s="1"/>
      <c r="H414" s="1" t="s">
        <v>261</v>
      </c>
      <c r="I414" s="1" t="s">
        <v>1424</v>
      </c>
      <c r="J414" s="80"/>
      <c r="K414" s="80"/>
      <c r="L414" s="80"/>
      <c r="M414" s="80"/>
      <c r="N414" s="80"/>
      <c r="O414" s="80"/>
      <c r="P414" s="80"/>
      <c r="Q414" s="80"/>
    </row>
    <row r="415" spans="1:17" customFormat="1" ht="42.75">
      <c r="A415" t="s">
        <v>239</v>
      </c>
      <c r="B415" t="s">
        <v>240</v>
      </c>
      <c r="C415" t="s">
        <v>1422</v>
      </c>
      <c r="D415" s="5">
        <v>45989</v>
      </c>
      <c r="E415" s="5">
        <v>45989</v>
      </c>
      <c r="F415" s="120" t="s">
        <v>1425</v>
      </c>
      <c r="G415" s="1"/>
      <c r="H415" s="1" t="s">
        <v>307</v>
      </c>
      <c r="I415" s="1" t="s">
        <v>1426</v>
      </c>
      <c r="J415" s="80"/>
      <c r="K415" s="80"/>
      <c r="L415" s="80"/>
      <c r="M415" s="80"/>
      <c r="N415" s="80"/>
      <c r="O415" s="80"/>
      <c r="P415" s="80"/>
      <c r="Q415" s="80"/>
    </row>
    <row r="416" spans="1:17" customFormat="1" ht="28.5">
      <c r="A416" t="s">
        <v>239</v>
      </c>
      <c r="B416" t="s">
        <v>240</v>
      </c>
      <c r="C416" t="s">
        <v>1427</v>
      </c>
      <c r="D416" s="5">
        <v>45989</v>
      </c>
      <c r="E416" s="5">
        <v>45989</v>
      </c>
      <c r="F416" s="120" t="s">
        <v>1428</v>
      </c>
      <c r="G416" s="1" t="s">
        <v>1429</v>
      </c>
      <c r="H416" s="1"/>
      <c r="I416" s="1" t="s">
        <v>1430</v>
      </c>
      <c r="J416" s="80"/>
      <c r="K416" s="80"/>
      <c r="L416" s="80"/>
      <c r="M416" s="80"/>
      <c r="N416" s="80"/>
      <c r="O416" s="80"/>
      <c r="P416" s="80"/>
      <c r="Q416" s="80"/>
    </row>
    <row r="417" spans="1:17" customFormat="1">
      <c r="B417" t="s">
        <v>240</v>
      </c>
      <c r="C417" t="s">
        <v>1431</v>
      </c>
      <c r="D417" s="5">
        <v>45989</v>
      </c>
      <c r="E417" s="5">
        <v>45991</v>
      </c>
      <c r="F417" s="120" t="s">
        <v>1432</v>
      </c>
      <c r="G417" s="1"/>
      <c r="H417" s="1" t="s">
        <v>1433</v>
      </c>
      <c r="I417" s="1" t="s">
        <v>1434</v>
      </c>
      <c r="J417" s="80"/>
      <c r="K417" s="80"/>
      <c r="L417" s="80"/>
      <c r="M417" s="80"/>
      <c r="N417" s="80"/>
      <c r="O417" s="80"/>
      <c r="P417" s="80"/>
      <c r="Q417" s="80"/>
    </row>
    <row r="418" spans="1:17" customFormat="1">
      <c r="B418" t="s">
        <v>240</v>
      </c>
      <c r="C418" t="s">
        <v>1435</v>
      </c>
      <c r="D418" s="5">
        <v>45992</v>
      </c>
      <c r="E418" s="5">
        <v>45992</v>
      </c>
      <c r="F418" s="120" t="s">
        <v>1436</v>
      </c>
      <c r="G418" s="1"/>
      <c r="H418" s="1" t="s">
        <v>277</v>
      </c>
      <c r="I418" s="1" t="s">
        <v>1437</v>
      </c>
      <c r="J418" s="80"/>
      <c r="K418" s="80"/>
      <c r="L418" s="80"/>
      <c r="M418" s="80"/>
      <c r="N418" s="80"/>
      <c r="O418" s="80"/>
      <c r="P418" s="80"/>
      <c r="Q418" s="80"/>
    </row>
    <row r="419" spans="1:17" customFormat="1" ht="28.5">
      <c r="A419" t="s">
        <v>239</v>
      </c>
      <c r="B419" t="s">
        <v>240</v>
      </c>
      <c r="C419" t="s">
        <v>1438</v>
      </c>
      <c r="D419" s="5">
        <v>45992</v>
      </c>
      <c r="E419" s="5">
        <v>45992</v>
      </c>
      <c r="F419" s="120" t="s">
        <v>1439</v>
      </c>
      <c r="G419" s="1"/>
      <c r="H419" s="1" t="s">
        <v>261</v>
      </c>
      <c r="I419" s="1" t="s">
        <v>1440</v>
      </c>
      <c r="J419" s="80"/>
      <c r="K419" s="80"/>
      <c r="L419" s="80"/>
      <c r="M419" s="80"/>
      <c r="N419" s="80"/>
      <c r="O419" s="80"/>
      <c r="P419" s="80"/>
      <c r="Q419" s="80"/>
    </row>
    <row r="420" spans="1:17" customFormat="1" ht="28.5">
      <c r="A420" t="s">
        <v>239</v>
      </c>
      <c r="B420" t="s">
        <v>240</v>
      </c>
      <c r="C420" t="s">
        <v>1438</v>
      </c>
      <c r="D420" s="5">
        <v>45992</v>
      </c>
      <c r="E420" s="5">
        <v>45992</v>
      </c>
      <c r="F420" s="120" t="s">
        <v>1441</v>
      </c>
      <c r="G420" s="1"/>
      <c r="H420" s="1" t="s">
        <v>630</v>
      </c>
      <c r="I420" s="1" t="s">
        <v>1442</v>
      </c>
      <c r="J420" s="80"/>
      <c r="K420" s="80"/>
      <c r="L420" s="80"/>
      <c r="M420" s="80"/>
      <c r="N420" s="80"/>
      <c r="O420" s="80"/>
      <c r="P420" s="80"/>
      <c r="Q420" s="80"/>
    </row>
    <row r="421" spans="1:17" customFormat="1" ht="28.5">
      <c r="A421" t="s">
        <v>239</v>
      </c>
      <c r="B421" t="s">
        <v>240</v>
      </c>
      <c r="C421" t="s">
        <v>1443</v>
      </c>
      <c r="D421" s="5">
        <v>45992</v>
      </c>
      <c r="E421" s="5">
        <v>45992</v>
      </c>
      <c r="F421" s="120" t="s">
        <v>1444</v>
      </c>
      <c r="G421" s="1" t="s">
        <v>1445</v>
      </c>
      <c r="H421" s="1"/>
      <c r="I421" s="1" t="s">
        <v>1446</v>
      </c>
      <c r="J421" s="80"/>
      <c r="K421" s="80"/>
      <c r="L421" s="80"/>
      <c r="M421" s="80"/>
      <c r="N421" s="80"/>
      <c r="O421" s="80"/>
      <c r="P421" s="80"/>
      <c r="Q421" s="80"/>
    </row>
    <row r="422" spans="1:17" customFormat="1" ht="28.5">
      <c r="A422" t="s">
        <v>239</v>
      </c>
      <c r="B422" t="s">
        <v>240</v>
      </c>
      <c r="C422" t="s">
        <v>1447</v>
      </c>
      <c r="D422" s="5">
        <v>45992</v>
      </c>
      <c r="E422" s="5">
        <v>45992</v>
      </c>
      <c r="F422" s="120" t="s">
        <v>1448</v>
      </c>
      <c r="G422" s="1"/>
      <c r="H422" s="1" t="s">
        <v>261</v>
      </c>
      <c r="I422" s="1" t="s">
        <v>1449</v>
      </c>
      <c r="J422" s="80"/>
      <c r="K422" s="80"/>
      <c r="L422" s="80"/>
      <c r="M422" s="80"/>
      <c r="N422" s="80"/>
      <c r="O422" s="80"/>
      <c r="P422" s="80"/>
      <c r="Q422" s="80"/>
    </row>
    <row r="423" spans="1:17" customFormat="1" ht="28.5">
      <c r="A423" t="s">
        <v>239</v>
      </c>
      <c r="B423" t="s">
        <v>240</v>
      </c>
      <c r="C423" t="s">
        <v>1447</v>
      </c>
      <c r="D423" s="5">
        <v>45992</v>
      </c>
      <c r="E423" s="5">
        <v>45992</v>
      </c>
      <c r="F423" s="120" t="s">
        <v>1450</v>
      </c>
      <c r="G423" s="1"/>
      <c r="H423" s="1" t="s">
        <v>630</v>
      </c>
      <c r="I423" s="1" t="s">
        <v>1451</v>
      </c>
      <c r="J423" s="80"/>
      <c r="K423" s="80"/>
      <c r="L423" s="80"/>
      <c r="M423" s="80"/>
      <c r="N423" s="80"/>
      <c r="O423" s="80"/>
      <c r="P423" s="80"/>
      <c r="Q423" s="80"/>
    </row>
    <row r="424" spans="1:17" customFormat="1" ht="42.75">
      <c r="A424" t="s">
        <v>239</v>
      </c>
      <c r="B424" t="s">
        <v>240</v>
      </c>
      <c r="C424" t="s">
        <v>1452</v>
      </c>
      <c r="D424" s="5">
        <v>45992</v>
      </c>
      <c r="E424" s="5">
        <v>45992</v>
      </c>
      <c r="F424" s="120" t="s">
        <v>1453</v>
      </c>
      <c r="G424" s="1"/>
      <c r="H424" s="1" t="s">
        <v>533</v>
      </c>
      <c r="I424" s="1" t="s">
        <v>1454</v>
      </c>
      <c r="J424" s="80"/>
      <c r="K424" s="80"/>
      <c r="L424" s="80"/>
      <c r="M424" s="80"/>
      <c r="N424" s="80"/>
      <c r="O424" s="80"/>
      <c r="P424" s="80"/>
      <c r="Q424" s="80"/>
    </row>
    <row r="425" spans="1:17" customFormat="1" ht="28.5">
      <c r="A425" t="s">
        <v>239</v>
      </c>
      <c r="B425" t="s">
        <v>240</v>
      </c>
      <c r="C425" t="s">
        <v>1455</v>
      </c>
      <c r="D425" s="5">
        <v>45992</v>
      </c>
      <c r="E425" s="5">
        <v>45992</v>
      </c>
      <c r="F425" s="120" t="s">
        <v>1456</v>
      </c>
      <c r="G425" s="1"/>
      <c r="H425" s="1" t="s">
        <v>261</v>
      </c>
      <c r="I425" s="1" t="s">
        <v>1457</v>
      </c>
      <c r="J425" s="80"/>
      <c r="K425" s="80"/>
      <c r="L425" s="80"/>
      <c r="M425" s="80"/>
      <c r="N425" s="80"/>
      <c r="O425" s="80"/>
      <c r="P425" s="80"/>
      <c r="Q425" s="80"/>
    </row>
    <row r="426" spans="1:17" customFormat="1" ht="42.75">
      <c r="A426" t="s">
        <v>239</v>
      </c>
      <c r="B426" t="s">
        <v>240</v>
      </c>
      <c r="C426" t="s">
        <v>1455</v>
      </c>
      <c r="D426" s="5">
        <v>45992</v>
      </c>
      <c r="E426" s="5">
        <v>45992</v>
      </c>
      <c r="F426" s="120" t="s">
        <v>1458</v>
      </c>
      <c r="G426" s="1"/>
      <c r="H426" s="1" t="s">
        <v>374</v>
      </c>
      <c r="I426" s="1" t="s">
        <v>1459</v>
      </c>
      <c r="J426" s="80"/>
      <c r="K426" s="80"/>
      <c r="L426" s="80"/>
      <c r="M426" s="80"/>
      <c r="N426" s="80"/>
      <c r="O426" s="80"/>
      <c r="P426" s="80"/>
      <c r="Q426" s="80"/>
    </row>
    <row r="427" spans="1:17" customFormat="1" ht="28.5">
      <c r="A427" t="s">
        <v>239</v>
      </c>
      <c r="B427" t="s">
        <v>240</v>
      </c>
      <c r="C427" t="s">
        <v>1460</v>
      </c>
      <c r="D427" s="5">
        <v>45992</v>
      </c>
      <c r="E427" s="5">
        <v>45992</v>
      </c>
      <c r="F427" s="120" t="s">
        <v>1461</v>
      </c>
      <c r="G427" s="1"/>
      <c r="H427" s="1" t="s">
        <v>261</v>
      </c>
      <c r="I427" s="1" t="s">
        <v>1462</v>
      </c>
      <c r="J427" s="80"/>
      <c r="K427" s="80"/>
      <c r="L427" s="80"/>
      <c r="M427" s="80"/>
      <c r="N427" s="80"/>
      <c r="O427" s="80"/>
      <c r="P427" s="80"/>
      <c r="Q427" s="80"/>
    </row>
    <row r="428" spans="1:17" customFormat="1" ht="42.75">
      <c r="A428" t="s">
        <v>239</v>
      </c>
      <c r="B428" t="s">
        <v>240</v>
      </c>
      <c r="C428" t="s">
        <v>1460</v>
      </c>
      <c r="D428" s="5">
        <v>45992</v>
      </c>
      <c r="E428" s="5">
        <v>45992</v>
      </c>
      <c r="F428" s="120" t="s">
        <v>1463</v>
      </c>
      <c r="G428" s="1"/>
      <c r="H428" s="1" t="s">
        <v>1000</v>
      </c>
      <c r="I428" s="1" t="s">
        <v>1464</v>
      </c>
      <c r="J428" s="80"/>
      <c r="K428" s="80"/>
      <c r="L428" s="80"/>
      <c r="M428" s="80"/>
      <c r="N428" s="80"/>
      <c r="O428" s="80"/>
      <c r="P428" s="80"/>
      <c r="Q428" s="80"/>
    </row>
    <row r="429" spans="1:17" customFormat="1" ht="28.5">
      <c r="A429" t="s">
        <v>239</v>
      </c>
      <c r="B429" t="s">
        <v>240</v>
      </c>
      <c r="C429" t="s">
        <v>1465</v>
      </c>
      <c r="D429" s="5">
        <v>45992</v>
      </c>
      <c r="E429" s="5">
        <v>45992</v>
      </c>
      <c r="F429" s="120" t="s">
        <v>1466</v>
      </c>
      <c r="G429" s="1" t="s">
        <v>671</v>
      </c>
      <c r="H429" s="1"/>
      <c r="I429" s="1" t="s">
        <v>1467</v>
      </c>
      <c r="J429" s="80"/>
      <c r="K429" s="80"/>
      <c r="L429" s="80"/>
      <c r="M429" s="80"/>
      <c r="N429" s="80"/>
      <c r="O429" s="80"/>
      <c r="P429" s="80"/>
      <c r="Q429" s="80"/>
    </row>
    <row r="430" spans="1:17" customFormat="1" ht="28.5">
      <c r="A430" t="s">
        <v>239</v>
      </c>
      <c r="B430" t="s">
        <v>240</v>
      </c>
      <c r="C430" t="s">
        <v>1468</v>
      </c>
      <c r="D430" s="5">
        <v>45993</v>
      </c>
      <c r="E430" s="5">
        <v>45993</v>
      </c>
      <c r="F430" s="120" t="s">
        <v>1469</v>
      </c>
      <c r="G430" s="1"/>
      <c r="H430" s="1" t="s">
        <v>243</v>
      </c>
      <c r="I430" s="1" t="s">
        <v>1470</v>
      </c>
      <c r="J430" s="80"/>
      <c r="K430" s="80"/>
      <c r="L430" s="80"/>
      <c r="M430" s="80"/>
      <c r="N430" s="80"/>
      <c r="O430" s="80"/>
      <c r="P430" s="80"/>
      <c r="Q430" s="80"/>
    </row>
    <row r="431" spans="1:17" customFormat="1" ht="28.5">
      <c r="A431" t="s">
        <v>239</v>
      </c>
      <c r="B431" t="s">
        <v>240</v>
      </c>
      <c r="C431" t="s">
        <v>1468</v>
      </c>
      <c r="D431" s="5">
        <v>45993</v>
      </c>
      <c r="E431" s="5">
        <v>45993</v>
      </c>
      <c r="F431" s="120" t="s">
        <v>1471</v>
      </c>
      <c r="G431" s="1"/>
      <c r="H431" s="1" t="s">
        <v>1472</v>
      </c>
      <c r="I431" s="1" t="s">
        <v>1473</v>
      </c>
      <c r="J431" s="80"/>
      <c r="K431" s="80"/>
      <c r="L431" s="80"/>
      <c r="M431" s="80"/>
      <c r="N431" s="80"/>
      <c r="O431" s="80"/>
      <c r="P431" s="80"/>
      <c r="Q431" s="80"/>
    </row>
    <row r="432" spans="1:17" customFormat="1" ht="28.5">
      <c r="A432" t="s">
        <v>239</v>
      </c>
      <c r="B432" t="s">
        <v>240</v>
      </c>
      <c r="C432" t="s">
        <v>1474</v>
      </c>
      <c r="D432" s="5">
        <v>45993</v>
      </c>
      <c r="E432" s="5">
        <v>45993</v>
      </c>
      <c r="F432" s="120" t="s">
        <v>1475</v>
      </c>
      <c r="G432" s="1" t="s">
        <v>1476</v>
      </c>
      <c r="H432" s="1"/>
      <c r="I432" s="1" t="s">
        <v>1477</v>
      </c>
      <c r="J432" s="80"/>
      <c r="K432" s="80"/>
      <c r="L432" s="80"/>
      <c r="M432" s="80"/>
      <c r="N432" s="80"/>
      <c r="O432" s="80"/>
      <c r="P432" s="80"/>
      <c r="Q432" s="80"/>
    </row>
    <row r="433" spans="1:17" customFormat="1" ht="28.5">
      <c r="A433" t="s">
        <v>239</v>
      </c>
      <c r="B433" t="s">
        <v>240</v>
      </c>
      <c r="C433" t="s">
        <v>1478</v>
      </c>
      <c r="D433" s="5">
        <v>45994</v>
      </c>
      <c r="E433" s="5">
        <v>45994</v>
      </c>
      <c r="F433" s="120" t="s">
        <v>1479</v>
      </c>
      <c r="G433" s="1"/>
      <c r="H433" s="1" t="s">
        <v>254</v>
      </c>
      <c r="I433" s="1" t="s">
        <v>1480</v>
      </c>
      <c r="J433" s="80"/>
      <c r="K433" s="80"/>
      <c r="L433" s="80"/>
      <c r="M433" s="80"/>
      <c r="N433" s="80"/>
      <c r="O433" s="80"/>
      <c r="P433" s="80"/>
      <c r="Q433" s="80"/>
    </row>
    <row r="434" spans="1:17" customFormat="1" ht="28.5">
      <c r="A434" t="s">
        <v>239</v>
      </c>
      <c r="B434" t="s">
        <v>240</v>
      </c>
      <c r="C434" t="s">
        <v>1478</v>
      </c>
      <c r="D434" s="5">
        <v>45994</v>
      </c>
      <c r="E434" s="5">
        <v>45994</v>
      </c>
      <c r="F434" s="120" t="s">
        <v>1481</v>
      </c>
      <c r="G434" s="1"/>
      <c r="H434" s="1" t="s">
        <v>250</v>
      </c>
      <c r="I434" s="1" t="s">
        <v>1482</v>
      </c>
      <c r="J434" s="80"/>
      <c r="K434" s="80"/>
      <c r="L434" s="80"/>
      <c r="M434" s="80"/>
      <c r="N434" s="80"/>
      <c r="O434" s="80"/>
      <c r="P434" s="80"/>
      <c r="Q434" s="80"/>
    </row>
    <row r="435" spans="1:17" customFormat="1" ht="28.5">
      <c r="A435" t="s">
        <v>239</v>
      </c>
      <c r="B435" t="s">
        <v>240</v>
      </c>
      <c r="C435" t="s">
        <v>1483</v>
      </c>
      <c r="D435" s="5">
        <v>45994</v>
      </c>
      <c r="E435" s="5">
        <v>45994</v>
      </c>
      <c r="F435" s="120" t="s">
        <v>1484</v>
      </c>
      <c r="G435" s="1"/>
      <c r="H435" s="1" t="s">
        <v>261</v>
      </c>
      <c r="I435" s="1" t="s">
        <v>1485</v>
      </c>
      <c r="J435" s="80"/>
      <c r="K435" s="80"/>
      <c r="L435" s="80"/>
      <c r="M435" s="80"/>
      <c r="N435" s="80"/>
      <c r="O435" s="80"/>
      <c r="P435" s="80"/>
      <c r="Q435" s="80"/>
    </row>
    <row r="436" spans="1:17" customFormat="1" ht="42.75">
      <c r="A436" t="s">
        <v>239</v>
      </c>
      <c r="B436" t="s">
        <v>240</v>
      </c>
      <c r="C436" t="s">
        <v>1483</v>
      </c>
      <c r="D436" s="5">
        <v>45994</v>
      </c>
      <c r="E436" s="5">
        <v>45994</v>
      </c>
      <c r="F436" s="120" t="s">
        <v>1486</v>
      </c>
      <c r="G436" s="1"/>
      <c r="H436" s="1" t="s">
        <v>368</v>
      </c>
      <c r="I436" s="1" t="s">
        <v>1487</v>
      </c>
      <c r="J436" s="80"/>
      <c r="K436" s="80"/>
      <c r="L436" s="80"/>
      <c r="M436" s="80"/>
      <c r="N436" s="80"/>
      <c r="O436" s="80"/>
      <c r="P436" s="80"/>
      <c r="Q436" s="80"/>
    </row>
    <row r="437" spans="1:17" customFormat="1" ht="28.5">
      <c r="A437" t="s">
        <v>239</v>
      </c>
      <c r="B437" t="s">
        <v>240</v>
      </c>
      <c r="C437" t="s">
        <v>1488</v>
      </c>
      <c r="D437" s="5">
        <v>45994</v>
      </c>
      <c r="E437" s="5">
        <v>45994</v>
      </c>
      <c r="F437" s="120" t="s">
        <v>1489</v>
      </c>
      <c r="G437" s="1"/>
      <c r="H437" s="1" t="s">
        <v>254</v>
      </c>
      <c r="I437" s="1" t="s">
        <v>1490</v>
      </c>
      <c r="J437" s="80"/>
      <c r="K437" s="80"/>
      <c r="L437" s="80"/>
      <c r="M437" s="80"/>
      <c r="N437" s="80"/>
      <c r="O437" s="80"/>
      <c r="P437" s="80"/>
      <c r="Q437" s="80"/>
    </row>
    <row r="438" spans="1:17" customFormat="1" ht="28.5">
      <c r="A438" t="s">
        <v>239</v>
      </c>
      <c r="B438" t="s">
        <v>240</v>
      </c>
      <c r="C438" t="s">
        <v>1488</v>
      </c>
      <c r="D438" s="5">
        <v>45994</v>
      </c>
      <c r="E438" s="5">
        <v>45994</v>
      </c>
      <c r="F438" s="120" t="s">
        <v>1491</v>
      </c>
      <c r="G438" s="1"/>
      <c r="H438" s="1" t="s">
        <v>295</v>
      </c>
      <c r="I438" s="1" t="s">
        <v>1492</v>
      </c>
      <c r="J438" s="80"/>
      <c r="K438" s="80"/>
      <c r="L438" s="80"/>
      <c r="M438" s="80"/>
      <c r="N438" s="80"/>
      <c r="O438" s="80"/>
      <c r="P438" s="80"/>
      <c r="Q438" s="80"/>
    </row>
    <row r="439" spans="1:17" customFormat="1" ht="28.5">
      <c r="A439" t="s">
        <v>239</v>
      </c>
      <c r="B439" t="s">
        <v>240</v>
      </c>
      <c r="C439" t="s">
        <v>1493</v>
      </c>
      <c r="D439" s="5">
        <v>45994</v>
      </c>
      <c r="E439" s="5">
        <v>45994</v>
      </c>
      <c r="F439" s="120" t="s">
        <v>1494</v>
      </c>
      <c r="G439" s="1"/>
      <c r="H439" s="1" t="s">
        <v>261</v>
      </c>
      <c r="I439" s="1" t="s">
        <v>1495</v>
      </c>
      <c r="J439" s="80"/>
      <c r="K439" s="80"/>
      <c r="L439" s="80"/>
      <c r="M439" s="80"/>
      <c r="N439" s="80"/>
      <c r="O439" s="80"/>
      <c r="P439" s="80"/>
      <c r="Q439" s="80"/>
    </row>
    <row r="440" spans="1:17" customFormat="1" ht="42.75">
      <c r="A440" t="s">
        <v>239</v>
      </c>
      <c r="B440" t="s">
        <v>240</v>
      </c>
      <c r="C440" t="s">
        <v>1493</v>
      </c>
      <c r="D440" s="5">
        <v>45994</v>
      </c>
      <c r="E440" s="5">
        <v>45994</v>
      </c>
      <c r="F440" s="120" t="s">
        <v>1496</v>
      </c>
      <c r="G440" s="1"/>
      <c r="H440" s="1" t="s">
        <v>533</v>
      </c>
      <c r="I440" s="1" t="s">
        <v>1497</v>
      </c>
      <c r="J440" s="80"/>
      <c r="K440" s="80"/>
      <c r="L440" s="80"/>
      <c r="M440" s="80"/>
      <c r="N440" s="80"/>
      <c r="O440" s="80"/>
      <c r="P440" s="80"/>
      <c r="Q440" s="80"/>
    </row>
    <row r="441" spans="1:17" customFormat="1">
      <c r="B441" t="s">
        <v>240</v>
      </c>
      <c r="C441" t="s">
        <v>1498</v>
      </c>
      <c r="D441" s="5">
        <v>45994</v>
      </c>
      <c r="E441" s="5">
        <v>45994</v>
      </c>
      <c r="F441" s="120" t="s">
        <v>1499</v>
      </c>
      <c r="G441" s="1" t="s">
        <v>588</v>
      </c>
      <c r="H441" s="1"/>
      <c r="I441" s="1" t="s">
        <v>1500</v>
      </c>
      <c r="J441" s="80"/>
      <c r="K441" s="80"/>
      <c r="L441" s="80"/>
      <c r="M441" s="80"/>
      <c r="N441" s="80"/>
      <c r="O441" s="80"/>
      <c r="P441" s="80"/>
      <c r="Q441" s="80"/>
    </row>
    <row r="442" spans="1:17" customFormat="1" ht="42.75">
      <c r="A442" t="s">
        <v>239</v>
      </c>
      <c r="B442" t="s">
        <v>240</v>
      </c>
      <c r="C442" t="s">
        <v>1501</v>
      </c>
      <c r="D442" s="5">
        <v>45994</v>
      </c>
      <c r="E442" s="5">
        <v>45994</v>
      </c>
      <c r="F442" s="120" t="s">
        <v>1502</v>
      </c>
      <c r="G442" s="1"/>
      <c r="H442" s="1" t="s">
        <v>313</v>
      </c>
      <c r="I442" s="1" t="s">
        <v>1503</v>
      </c>
      <c r="J442" s="80"/>
      <c r="K442" s="80"/>
      <c r="L442" s="80"/>
      <c r="M442" s="80"/>
      <c r="N442" s="80"/>
      <c r="O442" s="80"/>
      <c r="P442" s="80"/>
      <c r="Q442" s="80"/>
    </row>
    <row r="443" spans="1:17" customFormat="1" ht="28.5">
      <c r="A443" t="s">
        <v>239</v>
      </c>
      <c r="B443" t="s">
        <v>240</v>
      </c>
      <c r="C443" t="s">
        <v>1504</v>
      </c>
      <c r="D443" s="5">
        <v>45995</v>
      </c>
      <c r="E443" s="5">
        <v>45995</v>
      </c>
      <c r="F443" s="120" t="s">
        <v>1064</v>
      </c>
      <c r="G443" s="1"/>
      <c r="H443" s="1" t="s">
        <v>1505</v>
      </c>
      <c r="I443" s="1" t="s">
        <v>1506</v>
      </c>
      <c r="J443" s="80"/>
      <c r="K443" s="80"/>
      <c r="L443" s="80"/>
      <c r="M443" s="80"/>
      <c r="N443" s="80"/>
      <c r="O443" s="80"/>
      <c r="P443" s="80"/>
      <c r="Q443" s="80"/>
    </row>
    <row r="444" spans="1:17" customFormat="1" ht="42.75">
      <c r="A444" t="s">
        <v>239</v>
      </c>
      <c r="B444" t="s">
        <v>240</v>
      </c>
      <c r="C444" t="s">
        <v>1507</v>
      </c>
      <c r="D444" s="5">
        <v>45995</v>
      </c>
      <c r="E444" s="5">
        <v>45995</v>
      </c>
      <c r="F444" s="120" t="s">
        <v>276</v>
      </c>
      <c r="G444" s="1"/>
      <c r="H444" s="1" t="s">
        <v>630</v>
      </c>
      <c r="I444" s="1" t="s">
        <v>1508</v>
      </c>
      <c r="J444" s="80"/>
      <c r="K444" s="80"/>
      <c r="L444" s="80"/>
      <c r="M444" s="80"/>
      <c r="N444" s="80"/>
      <c r="O444" s="80"/>
      <c r="P444" s="80"/>
      <c r="Q444" s="80"/>
    </row>
    <row r="445" spans="1:17" customFormat="1">
      <c r="B445" t="s">
        <v>240</v>
      </c>
      <c r="C445" t="s">
        <v>1509</v>
      </c>
      <c r="D445" s="5">
        <v>45995</v>
      </c>
      <c r="E445" s="5">
        <v>45995</v>
      </c>
      <c r="F445" s="120" t="s">
        <v>1169</v>
      </c>
      <c r="G445" s="1"/>
      <c r="H445" s="1" t="s">
        <v>1032</v>
      </c>
      <c r="I445" s="1" t="s">
        <v>1510</v>
      </c>
      <c r="J445" s="80"/>
      <c r="K445" s="80"/>
      <c r="L445" s="80"/>
      <c r="M445" s="80"/>
      <c r="N445" s="80"/>
      <c r="O445" s="80"/>
      <c r="P445" s="80"/>
      <c r="Q445" s="80"/>
    </row>
    <row r="446" spans="1:17" customFormat="1" ht="42.75">
      <c r="A446" t="s">
        <v>239</v>
      </c>
      <c r="B446" t="s">
        <v>240</v>
      </c>
      <c r="C446" t="s">
        <v>1511</v>
      </c>
      <c r="D446" s="5">
        <v>45995</v>
      </c>
      <c r="E446" s="5">
        <v>45995</v>
      </c>
      <c r="F446" s="120" t="s">
        <v>1512</v>
      </c>
      <c r="G446" s="1"/>
      <c r="H446" s="1" t="s">
        <v>1513</v>
      </c>
      <c r="I446" s="1" t="s">
        <v>1514</v>
      </c>
      <c r="J446" s="80"/>
      <c r="K446" s="80"/>
      <c r="L446" s="80"/>
      <c r="M446" s="80"/>
      <c r="N446" s="80"/>
      <c r="O446" s="80"/>
      <c r="P446" s="80"/>
      <c r="Q446" s="80"/>
    </row>
    <row r="447" spans="1:17" customFormat="1" ht="28.5">
      <c r="A447" t="s">
        <v>239</v>
      </c>
      <c r="B447" t="s">
        <v>240</v>
      </c>
      <c r="C447" t="s">
        <v>1515</v>
      </c>
      <c r="D447" s="5">
        <v>45995</v>
      </c>
      <c r="E447" s="5">
        <v>45995</v>
      </c>
      <c r="F447" s="120" t="s">
        <v>1516</v>
      </c>
      <c r="G447" s="1"/>
      <c r="H447" s="1" t="s">
        <v>254</v>
      </c>
      <c r="I447" s="1" t="s">
        <v>1517</v>
      </c>
      <c r="J447" s="80"/>
      <c r="K447" s="80"/>
      <c r="L447" s="80"/>
      <c r="M447" s="80"/>
      <c r="N447" s="80"/>
      <c r="O447" s="80"/>
      <c r="P447" s="80"/>
      <c r="Q447" s="80"/>
    </row>
    <row r="448" spans="1:17" customFormat="1" ht="28.5">
      <c r="A448" t="s">
        <v>239</v>
      </c>
      <c r="B448" t="s">
        <v>240</v>
      </c>
      <c r="C448" t="s">
        <v>1515</v>
      </c>
      <c r="D448" s="5">
        <v>45995</v>
      </c>
      <c r="E448" s="5">
        <v>45995</v>
      </c>
      <c r="F448" s="120" t="s">
        <v>1518</v>
      </c>
      <c r="G448" s="1"/>
      <c r="H448" s="1" t="s">
        <v>1519</v>
      </c>
      <c r="I448" s="1" t="s">
        <v>1520</v>
      </c>
      <c r="J448" s="80"/>
      <c r="K448" s="80"/>
      <c r="L448" s="80"/>
      <c r="M448" s="80"/>
      <c r="N448" s="80"/>
      <c r="O448" s="80"/>
      <c r="P448" s="80"/>
      <c r="Q448" s="80"/>
    </row>
    <row r="449" spans="1:17" customFormat="1" ht="28.5">
      <c r="A449" t="s">
        <v>239</v>
      </c>
      <c r="B449" t="s">
        <v>240</v>
      </c>
      <c r="C449" t="s">
        <v>1521</v>
      </c>
      <c r="D449" s="5">
        <v>45995</v>
      </c>
      <c r="E449" s="5">
        <v>45995</v>
      </c>
      <c r="F449" s="120" t="s">
        <v>1522</v>
      </c>
      <c r="G449" s="1"/>
      <c r="H449" s="1" t="s">
        <v>261</v>
      </c>
      <c r="I449" s="1" t="s">
        <v>1523</v>
      </c>
      <c r="J449" s="80"/>
      <c r="K449" s="80"/>
      <c r="L449" s="80"/>
      <c r="M449" s="80"/>
      <c r="N449" s="80"/>
      <c r="O449" s="80"/>
      <c r="P449" s="80"/>
      <c r="Q449" s="80"/>
    </row>
    <row r="450" spans="1:17" customFormat="1" ht="42.75">
      <c r="A450" t="s">
        <v>239</v>
      </c>
      <c r="B450" t="s">
        <v>240</v>
      </c>
      <c r="C450" t="s">
        <v>1521</v>
      </c>
      <c r="D450" s="5">
        <v>45995</v>
      </c>
      <c r="E450" s="5">
        <v>45995</v>
      </c>
      <c r="F450" s="120" t="s">
        <v>1524</v>
      </c>
      <c r="G450" s="1"/>
      <c r="H450" s="1" t="s">
        <v>1415</v>
      </c>
      <c r="I450" s="1" t="s">
        <v>1525</v>
      </c>
      <c r="J450" s="80"/>
      <c r="K450" s="80"/>
      <c r="L450" s="80"/>
      <c r="M450" s="80"/>
      <c r="N450" s="80"/>
      <c r="O450" s="80"/>
      <c r="P450" s="80"/>
      <c r="Q450" s="80"/>
    </row>
    <row r="451" spans="1:17" customFormat="1" ht="28.5">
      <c r="A451" t="s">
        <v>239</v>
      </c>
      <c r="B451" t="s">
        <v>240</v>
      </c>
      <c r="C451" t="s">
        <v>1526</v>
      </c>
      <c r="D451" s="5">
        <v>45996</v>
      </c>
      <c r="E451" s="5">
        <v>45996</v>
      </c>
      <c r="F451" s="120" t="s">
        <v>1527</v>
      </c>
      <c r="G451" s="1"/>
      <c r="H451" s="1" t="s">
        <v>254</v>
      </c>
      <c r="I451" s="1" t="s">
        <v>1528</v>
      </c>
      <c r="J451" s="80"/>
      <c r="K451" s="80"/>
      <c r="L451" s="80"/>
      <c r="M451" s="80"/>
      <c r="N451" s="80"/>
      <c r="O451" s="80"/>
      <c r="P451" s="80"/>
      <c r="Q451" s="80"/>
    </row>
    <row r="452" spans="1:17" customFormat="1" ht="42.75">
      <c r="A452" t="s">
        <v>239</v>
      </c>
      <c r="B452" t="s">
        <v>240</v>
      </c>
      <c r="C452" t="s">
        <v>1526</v>
      </c>
      <c r="D452" s="5">
        <v>45996</v>
      </c>
      <c r="E452" s="5">
        <v>45996</v>
      </c>
      <c r="F452" s="120" t="s">
        <v>1529</v>
      </c>
      <c r="G452" s="1"/>
      <c r="H452" s="1" t="s">
        <v>1530</v>
      </c>
      <c r="I452" s="1" t="s">
        <v>1531</v>
      </c>
      <c r="J452" s="80"/>
      <c r="K452" s="80"/>
      <c r="L452" s="80"/>
      <c r="M452" s="80"/>
      <c r="N452" s="80"/>
      <c r="O452" s="80"/>
      <c r="P452" s="80"/>
      <c r="Q452" s="80"/>
    </row>
    <row r="453" spans="1:17" customFormat="1">
      <c r="A453" t="s">
        <v>239</v>
      </c>
      <c r="B453" t="s">
        <v>240</v>
      </c>
      <c r="C453" t="s">
        <v>1532</v>
      </c>
      <c r="D453" s="5">
        <v>45996</v>
      </c>
      <c r="E453" s="5">
        <v>45996</v>
      </c>
      <c r="F453" s="120" t="s">
        <v>1533</v>
      </c>
      <c r="G453" s="1" t="s">
        <v>1534</v>
      </c>
      <c r="H453" s="1"/>
      <c r="I453" s="1" t="s">
        <v>1535</v>
      </c>
      <c r="J453" s="80"/>
      <c r="K453" s="80"/>
      <c r="L453" s="80"/>
      <c r="M453" s="80"/>
      <c r="N453" s="80"/>
      <c r="O453" s="80"/>
      <c r="P453" s="80"/>
      <c r="Q453" s="80"/>
    </row>
    <row r="454" spans="1:17" customFormat="1" ht="28.5">
      <c r="A454" t="s">
        <v>239</v>
      </c>
      <c r="B454" t="s">
        <v>240</v>
      </c>
      <c r="C454" t="s">
        <v>1536</v>
      </c>
      <c r="D454" s="5">
        <v>45996</v>
      </c>
      <c r="E454" s="5">
        <v>45996</v>
      </c>
      <c r="F454" s="120" t="s">
        <v>1537</v>
      </c>
      <c r="G454" s="1" t="s">
        <v>833</v>
      </c>
      <c r="H454" s="1"/>
      <c r="I454" s="1" t="s">
        <v>1538</v>
      </c>
      <c r="J454" s="80"/>
      <c r="K454" s="80"/>
      <c r="L454" s="80"/>
      <c r="M454" s="80"/>
      <c r="N454" s="80"/>
      <c r="O454" s="80"/>
      <c r="P454" s="80"/>
      <c r="Q454" s="80"/>
    </row>
    <row r="455" spans="1:17" customFormat="1" ht="28.5">
      <c r="A455" t="s">
        <v>1539</v>
      </c>
      <c r="B455" t="s">
        <v>240</v>
      </c>
      <c r="C455" t="s">
        <v>1540</v>
      </c>
      <c r="D455" s="5">
        <v>45996</v>
      </c>
      <c r="E455" s="5">
        <v>45996</v>
      </c>
      <c r="F455" s="120" t="s">
        <v>1541</v>
      </c>
      <c r="G455" s="1" t="s">
        <v>833</v>
      </c>
      <c r="H455" s="1"/>
      <c r="I455" s="1" t="s">
        <v>1542</v>
      </c>
      <c r="J455" s="80"/>
      <c r="K455" s="80"/>
      <c r="L455" s="80"/>
      <c r="M455" s="80"/>
      <c r="N455" s="80"/>
      <c r="O455" s="80"/>
      <c r="P455" s="80"/>
      <c r="Q455" s="80"/>
    </row>
    <row r="456" spans="1:17" customFormat="1" ht="28.5">
      <c r="A456" t="s">
        <v>1539</v>
      </c>
      <c r="B456" t="s">
        <v>240</v>
      </c>
      <c r="C456" t="s">
        <v>1543</v>
      </c>
      <c r="D456" s="5">
        <v>45996</v>
      </c>
      <c r="E456" s="5">
        <v>45996</v>
      </c>
      <c r="F456" s="120" t="s">
        <v>1544</v>
      </c>
      <c r="G456" s="1" t="s">
        <v>1545</v>
      </c>
      <c r="H456" s="1"/>
      <c r="I456" s="1" t="s">
        <v>1546</v>
      </c>
      <c r="J456" s="80"/>
      <c r="K456" s="80"/>
      <c r="L456" s="80"/>
      <c r="M456" s="80"/>
      <c r="N456" s="80"/>
      <c r="O456" s="80"/>
      <c r="P456" s="80"/>
      <c r="Q456" s="80"/>
    </row>
    <row r="457" spans="1:17" customFormat="1" ht="42.75">
      <c r="A457" t="s">
        <v>239</v>
      </c>
      <c r="B457" t="s">
        <v>240</v>
      </c>
      <c r="C457" t="s">
        <v>1547</v>
      </c>
      <c r="D457" s="5">
        <v>45996</v>
      </c>
      <c r="E457" s="5">
        <v>45996</v>
      </c>
      <c r="F457" s="120" t="s">
        <v>1548</v>
      </c>
      <c r="G457" s="1"/>
      <c r="H457" s="1" t="s">
        <v>630</v>
      </c>
      <c r="I457" s="1" t="s">
        <v>1549</v>
      </c>
      <c r="J457" s="80"/>
      <c r="K457" s="80"/>
      <c r="L457" s="80"/>
      <c r="M457" s="80"/>
      <c r="N457" s="80"/>
      <c r="O457" s="80"/>
      <c r="P457" s="80"/>
      <c r="Q457" s="80"/>
    </row>
    <row r="458" spans="1:17" customFormat="1" ht="28.5">
      <c r="A458" t="s">
        <v>239</v>
      </c>
      <c r="B458" t="s">
        <v>240</v>
      </c>
      <c r="C458" t="s">
        <v>1550</v>
      </c>
      <c r="D458" s="5">
        <v>45996</v>
      </c>
      <c r="E458" s="5">
        <v>45996</v>
      </c>
      <c r="F458" s="120" t="s">
        <v>1551</v>
      </c>
      <c r="G458" s="1"/>
      <c r="H458" s="1" t="s">
        <v>261</v>
      </c>
      <c r="I458" s="1" t="s">
        <v>1552</v>
      </c>
      <c r="J458" s="80"/>
      <c r="K458" s="80"/>
      <c r="L458" s="80"/>
      <c r="M458" s="80"/>
      <c r="N458" s="80"/>
      <c r="O458" s="80"/>
      <c r="P458" s="80"/>
      <c r="Q458" s="80"/>
    </row>
    <row r="459" spans="1:17" customFormat="1" ht="42.75">
      <c r="A459" t="s">
        <v>239</v>
      </c>
      <c r="B459" t="s">
        <v>240</v>
      </c>
      <c r="C459" t="s">
        <v>1550</v>
      </c>
      <c r="D459" s="5">
        <v>45996</v>
      </c>
      <c r="E459" s="5">
        <v>45996</v>
      </c>
      <c r="F459" s="120" t="s">
        <v>1553</v>
      </c>
      <c r="G459" s="1"/>
      <c r="H459" s="1" t="s">
        <v>1353</v>
      </c>
      <c r="I459" s="1" t="s">
        <v>1554</v>
      </c>
      <c r="J459" s="80"/>
      <c r="K459" s="80"/>
      <c r="L459" s="80"/>
      <c r="M459" s="80"/>
      <c r="N459" s="80"/>
      <c r="O459" s="80"/>
      <c r="P459" s="80"/>
      <c r="Q459" s="80"/>
    </row>
    <row r="460" spans="1:17" customFormat="1" ht="42.75">
      <c r="A460" t="s">
        <v>239</v>
      </c>
      <c r="B460" t="s">
        <v>240</v>
      </c>
      <c r="C460" t="s">
        <v>1555</v>
      </c>
      <c r="D460" s="5">
        <v>45997</v>
      </c>
      <c r="E460" s="5">
        <v>45997</v>
      </c>
      <c r="F460" s="120" t="s">
        <v>1556</v>
      </c>
      <c r="G460" s="1" t="s">
        <v>1557</v>
      </c>
      <c r="H460" s="1"/>
      <c r="I460" s="1" t="s">
        <v>1558</v>
      </c>
      <c r="J460" s="80"/>
      <c r="K460" s="80"/>
      <c r="L460" s="80"/>
      <c r="M460" s="80"/>
      <c r="N460" s="80"/>
      <c r="O460" s="80"/>
      <c r="P460" s="80"/>
      <c r="Q460" s="80"/>
    </row>
    <row r="461" spans="1:17" customFormat="1" ht="28.5">
      <c r="A461" t="s">
        <v>239</v>
      </c>
      <c r="B461" t="s">
        <v>240</v>
      </c>
      <c r="C461" t="s">
        <v>1559</v>
      </c>
      <c r="D461" s="5">
        <v>45997</v>
      </c>
      <c r="E461" s="5">
        <v>45997</v>
      </c>
      <c r="F461" s="120" t="s">
        <v>1560</v>
      </c>
      <c r="G461" s="1"/>
      <c r="H461" s="1" t="s">
        <v>254</v>
      </c>
      <c r="I461" s="1" t="s">
        <v>1561</v>
      </c>
      <c r="J461" s="80"/>
      <c r="K461" s="80"/>
      <c r="L461" s="80"/>
      <c r="M461" s="80"/>
      <c r="N461" s="80"/>
      <c r="O461" s="80"/>
      <c r="P461" s="80"/>
      <c r="Q461" s="80"/>
    </row>
    <row r="462" spans="1:17" customFormat="1" ht="42.75">
      <c r="A462" t="s">
        <v>239</v>
      </c>
      <c r="B462" t="s">
        <v>240</v>
      </c>
      <c r="C462" t="s">
        <v>1559</v>
      </c>
      <c r="D462" s="5">
        <v>45997</v>
      </c>
      <c r="E462" s="5">
        <v>45997</v>
      </c>
      <c r="F462" s="120" t="s">
        <v>1562</v>
      </c>
      <c r="G462" s="1"/>
      <c r="H462" s="1" t="s">
        <v>295</v>
      </c>
      <c r="I462" s="1" t="s">
        <v>1563</v>
      </c>
      <c r="J462" s="80"/>
      <c r="K462" s="80"/>
      <c r="L462" s="80"/>
      <c r="M462" s="80"/>
      <c r="N462" s="80"/>
      <c r="O462" s="80"/>
      <c r="P462" s="80"/>
      <c r="Q462" s="80"/>
    </row>
    <row r="463" spans="1:17" customFormat="1" ht="28.5">
      <c r="A463" t="s">
        <v>239</v>
      </c>
      <c r="B463" t="s">
        <v>240</v>
      </c>
      <c r="C463" t="s">
        <v>1564</v>
      </c>
      <c r="D463" s="5">
        <v>45997</v>
      </c>
      <c r="E463" s="5">
        <v>45997</v>
      </c>
      <c r="F463" s="120" t="s">
        <v>1565</v>
      </c>
      <c r="G463" s="1"/>
      <c r="H463" s="1" t="s">
        <v>254</v>
      </c>
      <c r="I463" s="1" t="s">
        <v>1566</v>
      </c>
      <c r="J463" s="80"/>
      <c r="K463" s="80"/>
      <c r="L463" s="80"/>
      <c r="M463" s="80"/>
      <c r="N463" s="80"/>
      <c r="O463" s="80"/>
      <c r="P463" s="80"/>
      <c r="Q463" s="80"/>
    </row>
    <row r="464" spans="1:17" customFormat="1" ht="42.75">
      <c r="A464" t="s">
        <v>239</v>
      </c>
      <c r="B464" t="s">
        <v>240</v>
      </c>
      <c r="C464" t="s">
        <v>1564</v>
      </c>
      <c r="D464" s="5">
        <v>45997</v>
      </c>
      <c r="E464" s="5">
        <v>45997</v>
      </c>
      <c r="F464" s="120" t="s">
        <v>1567</v>
      </c>
      <c r="G464" s="1"/>
      <c r="H464" s="1" t="s">
        <v>250</v>
      </c>
      <c r="I464" s="1" t="s">
        <v>1568</v>
      </c>
      <c r="J464" s="80"/>
      <c r="K464" s="80"/>
      <c r="L464" s="80"/>
      <c r="M464" s="80"/>
      <c r="N464" s="80"/>
      <c r="O464" s="80"/>
      <c r="P464" s="80"/>
      <c r="Q464" s="80"/>
    </row>
    <row r="465" spans="1:17" customFormat="1" ht="28.5">
      <c r="A465" t="s">
        <v>239</v>
      </c>
      <c r="B465" t="s">
        <v>240</v>
      </c>
      <c r="C465" t="s">
        <v>1569</v>
      </c>
      <c r="D465" s="5">
        <v>45997</v>
      </c>
      <c r="E465" s="5">
        <v>45997</v>
      </c>
      <c r="F465" s="120" t="s">
        <v>1570</v>
      </c>
      <c r="G465" s="1"/>
      <c r="H465" s="1" t="s">
        <v>261</v>
      </c>
      <c r="I465" s="1" t="s">
        <v>1571</v>
      </c>
      <c r="J465" s="80"/>
      <c r="K465" s="80"/>
      <c r="L465" s="80"/>
      <c r="M465" s="80"/>
      <c r="N465" s="80"/>
      <c r="O465" s="80"/>
      <c r="P465" s="80"/>
      <c r="Q465" s="80"/>
    </row>
    <row r="466" spans="1:17" customFormat="1" ht="42.75">
      <c r="A466" t="s">
        <v>239</v>
      </c>
      <c r="B466" t="s">
        <v>240</v>
      </c>
      <c r="C466" t="s">
        <v>1569</v>
      </c>
      <c r="D466" s="5">
        <v>45997</v>
      </c>
      <c r="E466" s="5">
        <v>45997</v>
      </c>
      <c r="F466" s="120" t="s">
        <v>1572</v>
      </c>
      <c r="G466" s="1"/>
      <c r="H466" s="1" t="s">
        <v>467</v>
      </c>
      <c r="I466" s="1" t="s">
        <v>1573</v>
      </c>
      <c r="J466" s="80"/>
      <c r="K466" s="80"/>
      <c r="L466" s="80"/>
      <c r="M466" s="80"/>
      <c r="N466" s="80"/>
      <c r="O466" s="80"/>
      <c r="P466" s="80"/>
      <c r="Q466" s="80"/>
    </row>
    <row r="467" spans="1:17" customFormat="1" ht="28.5">
      <c r="A467" t="s">
        <v>239</v>
      </c>
      <c r="B467" t="s">
        <v>240</v>
      </c>
      <c r="C467" t="s">
        <v>1574</v>
      </c>
      <c r="D467" s="5">
        <v>45997</v>
      </c>
      <c r="E467" s="5">
        <v>45997</v>
      </c>
      <c r="F467" s="120" t="s">
        <v>1575</v>
      </c>
      <c r="G467" s="1"/>
      <c r="H467" s="1" t="s">
        <v>527</v>
      </c>
      <c r="I467" s="1" t="s">
        <v>1576</v>
      </c>
      <c r="J467" s="80"/>
      <c r="K467" s="80"/>
      <c r="L467" s="80"/>
      <c r="M467" s="80"/>
      <c r="N467" s="80"/>
      <c r="O467" s="80"/>
      <c r="P467" s="80"/>
      <c r="Q467" s="80"/>
    </row>
    <row r="468" spans="1:17" customFormat="1" ht="28.5">
      <c r="A468" t="s">
        <v>239</v>
      </c>
      <c r="B468" t="s">
        <v>240</v>
      </c>
      <c r="C468" t="s">
        <v>1577</v>
      </c>
      <c r="D468" s="5">
        <v>45997</v>
      </c>
      <c r="E468" s="5">
        <v>45997</v>
      </c>
      <c r="F468" s="120" t="s">
        <v>1578</v>
      </c>
      <c r="G468" s="1"/>
      <c r="H468" s="1" t="s">
        <v>295</v>
      </c>
      <c r="I468" s="1" t="s">
        <v>1579</v>
      </c>
      <c r="J468" s="80"/>
      <c r="K468" s="80"/>
      <c r="L468" s="80"/>
      <c r="M468" s="80"/>
      <c r="N468" s="80"/>
      <c r="O468" s="80"/>
      <c r="P468" s="80"/>
      <c r="Q468" s="80"/>
    </row>
    <row r="469" spans="1:17" customFormat="1" ht="28.5">
      <c r="A469" t="s">
        <v>239</v>
      </c>
      <c r="B469" t="s">
        <v>240</v>
      </c>
      <c r="C469" t="s">
        <v>1580</v>
      </c>
      <c r="D469" s="5">
        <v>45997</v>
      </c>
      <c r="E469" s="5">
        <v>45997</v>
      </c>
      <c r="F469" s="120" t="s">
        <v>412</v>
      </c>
      <c r="G469" s="1"/>
      <c r="H469" s="1" t="s">
        <v>1581</v>
      </c>
      <c r="I469" s="1" t="s">
        <v>1582</v>
      </c>
      <c r="J469" s="80"/>
      <c r="K469" s="80"/>
      <c r="L469" s="80"/>
      <c r="M469" s="80"/>
      <c r="N469" s="80"/>
      <c r="O469" s="80"/>
      <c r="P469" s="80"/>
      <c r="Q469" s="80"/>
    </row>
    <row r="470" spans="1:17" customFormat="1" ht="28.5">
      <c r="A470" t="s">
        <v>239</v>
      </c>
      <c r="B470" t="s">
        <v>240</v>
      </c>
      <c r="C470" t="s">
        <v>1583</v>
      </c>
      <c r="D470" s="5">
        <v>45998</v>
      </c>
      <c r="E470" s="5">
        <v>45998</v>
      </c>
      <c r="F470" s="120" t="s">
        <v>1584</v>
      </c>
      <c r="G470" s="1"/>
      <c r="H470" s="1" t="s">
        <v>295</v>
      </c>
      <c r="I470" s="1" t="s">
        <v>1585</v>
      </c>
      <c r="J470" s="80"/>
      <c r="K470" s="80"/>
      <c r="L470" s="80"/>
      <c r="M470" s="80"/>
      <c r="N470" s="80"/>
      <c r="O470" s="80"/>
      <c r="P470" s="80"/>
      <c r="Q470" s="80"/>
    </row>
    <row r="471" spans="1:17" customFormat="1" ht="28.5">
      <c r="A471" t="s">
        <v>239</v>
      </c>
      <c r="B471" t="s">
        <v>240</v>
      </c>
      <c r="C471" t="s">
        <v>1586</v>
      </c>
      <c r="D471" s="5">
        <v>45998</v>
      </c>
      <c r="E471" s="5">
        <v>45998</v>
      </c>
      <c r="F471" s="120" t="s">
        <v>1587</v>
      </c>
      <c r="G471" s="1"/>
      <c r="H471" s="1" t="s">
        <v>254</v>
      </c>
      <c r="I471" s="1" t="s">
        <v>1588</v>
      </c>
      <c r="J471" s="80"/>
      <c r="K471" s="80"/>
      <c r="L471" s="80"/>
      <c r="M471" s="80"/>
      <c r="N471" s="80"/>
      <c r="O471" s="80"/>
      <c r="P471" s="80"/>
      <c r="Q471" s="80"/>
    </row>
    <row r="472" spans="1:17" customFormat="1" ht="28.5">
      <c r="A472" t="s">
        <v>239</v>
      </c>
      <c r="B472" t="s">
        <v>240</v>
      </c>
      <c r="C472" t="s">
        <v>1586</v>
      </c>
      <c r="D472" s="5">
        <v>45998</v>
      </c>
      <c r="E472" s="5">
        <v>45998</v>
      </c>
      <c r="F472" s="120" t="s">
        <v>1589</v>
      </c>
      <c r="G472" s="1"/>
      <c r="H472" s="1" t="s">
        <v>250</v>
      </c>
      <c r="I472" s="1" t="s">
        <v>1590</v>
      </c>
      <c r="J472" s="80"/>
      <c r="K472" s="80"/>
      <c r="L472" s="80"/>
      <c r="M472" s="80"/>
      <c r="N472" s="80"/>
      <c r="O472" s="80"/>
      <c r="P472" s="80"/>
      <c r="Q472" s="80"/>
    </row>
    <row r="473" spans="1:17" customFormat="1" ht="28.5">
      <c r="A473" t="s">
        <v>239</v>
      </c>
      <c r="B473" t="s">
        <v>240</v>
      </c>
      <c r="C473" t="s">
        <v>1591</v>
      </c>
      <c r="D473" s="5">
        <v>45998</v>
      </c>
      <c r="E473" s="5">
        <v>45998</v>
      </c>
      <c r="F473" s="120" t="s">
        <v>1592</v>
      </c>
      <c r="G473" s="1"/>
      <c r="H473" s="1" t="s">
        <v>254</v>
      </c>
      <c r="I473" s="1" t="s">
        <v>1593</v>
      </c>
      <c r="J473" s="80"/>
      <c r="K473" s="80"/>
      <c r="L473" s="80"/>
      <c r="M473" s="80"/>
      <c r="N473" s="80"/>
      <c r="O473" s="80"/>
      <c r="P473" s="80"/>
      <c r="Q473" s="80"/>
    </row>
    <row r="474" spans="1:17" customFormat="1" ht="28.5">
      <c r="A474" t="s">
        <v>239</v>
      </c>
      <c r="B474" t="s">
        <v>240</v>
      </c>
      <c r="C474" t="s">
        <v>1591</v>
      </c>
      <c r="D474" s="5">
        <v>45998</v>
      </c>
      <c r="E474" s="5">
        <v>45998</v>
      </c>
      <c r="F474" s="120" t="s">
        <v>1594</v>
      </c>
      <c r="G474" s="1"/>
      <c r="H474" s="1" t="s">
        <v>1595</v>
      </c>
      <c r="I474" s="1" t="s">
        <v>1596</v>
      </c>
      <c r="J474" s="80"/>
      <c r="K474" s="80"/>
      <c r="L474" s="80"/>
      <c r="M474" s="80"/>
      <c r="N474" s="80"/>
      <c r="O474" s="80"/>
      <c r="P474" s="80"/>
      <c r="Q474" s="80"/>
    </row>
    <row r="475" spans="1:17" customFormat="1" ht="42.75">
      <c r="A475" t="s">
        <v>239</v>
      </c>
      <c r="B475" t="s">
        <v>240</v>
      </c>
      <c r="C475" t="s">
        <v>1597</v>
      </c>
      <c r="D475" s="5">
        <v>45998</v>
      </c>
      <c r="E475" s="5">
        <v>45998</v>
      </c>
      <c r="F475" s="120" t="s">
        <v>1598</v>
      </c>
      <c r="G475" s="1"/>
      <c r="H475" s="1" t="s">
        <v>261</v>
      </c>
      <c r="I475" s="1" t="s">
        <v>1599</v>
      </c>
      <c r="J475" s="80"/>
      <c r="K475" s="80"/>
      <c r="L475" s="80"/>
      <c r="M475" s="80"/>
      <c r="N475" s="80"/>
      <c r="O475" s="80"/>
      <c r="P475" s="80"/>
      <c r="Q475" s="80"/>
    </row>
    <row r="476" spans="1:17" customFormat="1" ht="42.75">
      <c r="A476" t="s">
        <v>239</v>
      </c>
      <c r="B476" t="s">
        <v>240</v>
      </c>
      <c r="C476" t="s">
        <v>1597</v>
      </c>
      <c r="D476" s="5">
        <v>45998</v>
      </c>
      <c r="E476" s="5">
        <v>45998</v>
      </c>
      <c r="F476" s="120" t="s">
        <v>1600</v>
      </c>
      <c r="G476" s="1"/>
      <c r="H476" s="1" t="s">
        <v>313</v>
      </c>
      <c r="I476" s="1" t="s">
        <v>1601</v>
      </c>
      <c r="J476" s="80"/>
      <c r="K476" s="80"/>
      <c r="L476" s="80"/>
      <c r="M476" s="80"/>
      <c r="N476" s="80"/>
      <c r="O476" s="80"/>
      <c r="P476" s="80"/>
      <c r="Q476" s="80"/>
    </row>
    <row r="477" spans="1:17" customFormat="1" ht="28.5">
      <c r="A477" t="s">
        <v>239</v>
      </c>
      <c r="B477" t="s">
        <v>240</v>
      </c>
      <c r="C477" t="s">
        <v>1602</v>
      </c>
      <c r="D477" s="5">
        <v>45998</v>
      </c>
      <c r="E477" s="5">
        <v>45998</v>
      </c>
      <c r="F477" s="120" t="s">
        <v>1603</v>
      </c>
      <c r="G477" s="1"/>
      <c r="H477" s="1" t="s">
        <v>261</v>
      </c>
      <c r="I477" s="1" t="s">
        <v>1604</v>
      </c>
      <c r="J477" s="80"/>
      <c r="K477" s="80"/>
      <c r="L477" s="80"/>
      <c r="M477" s="80"/>
      <c r="N477" s="80"/>
      <c r="O477" s="80"/>
      <c r="P477" s="80"/>
      <c r="Q477" s="80"/>
    </row>
    <row r="478" spans="1:17" customFormat="1" ht="28.5">
      <c r="A478" t="s">
        <v>239</v>
      </c>
      <c r="B478" t="s">
        <v>240</v>
      </c>
      <c r="C478" t="s">
        <v>1602</v>
      </c>
      <c r="D478" s="5">
        <v>45998</v>
      </c>
      <c r="E478" s="5">
        <v>45998</v>
      </c>
      <c r="F478" s="120" t="s">
        <v>1605</v>
      </c>
      <c r="G478" s="1"/>
      <c r="H478" s="1" t="s">
        <v>374</v>
      </c>
      <c r="I478" s="1" t="s">
        <v>1606</v>
      </c>
      <c r="J478" s="80"/>
      <c r="K478" s="80"/>
      <c r="L478" s="80"/>
      <c r="M478" s="80"/>
      <c r="N478" s="80"/>
      <c r="O478" s="80"/>
      <c r="P478" s="80"/>
      <c r="Q478" s="80"/>
    </row>
    <row r="479" spans="1:17" customFormat="1" ht="28.5">
      <c r="A479" t="s">
        <v>239</v>
      </c>
      <c r="B479" t="s">
        <v>240</v>
      </c>
      <c r="C479" t="s">
        <v>1607</v>
      </c>
      <c r="D479" s="5">
        <v>45999</v>
      </c>
      <c r="E479" s="5">
        <v>45999</v>
      </c>
      <c r="F479" s="120" t="s">
        <v>691</v>
      </c>
      <c r="G479" s="1"/>
      <c r="H479" s="1" t="s">
        <v>261</v>
      </c>
      <c r="I479" s="1" t="s">
        <v>1608</v>
      </c>
      <c r="J479" s="80"/>
      <c r="K479" s="80"/>
      <c r="L479" s="80"/>
      <c r="M479" s="80"/>
      <c r="N479" s="80"/>
      <c r="O479" s="80"/>
      <c r="P479" s="80"/>
      <c r="Q479" s="80"/>
    </row>
    <row r="480" spans="1:17" customFormat="1" ht="28.5">
      <c r="A480" t="s">
        <v>239</v>
      </c>
      <c r="B480" t="s">
        <v>240</v>
      </c>
      <c r="C480" t="s">
        <v>1607</v>
      </c>
      <c r="D480" s="5">
        <v>45999</v>
      </c>
      <c r="E480" s="5">
        <v>45999</v>
      </c>
      <c r="F480" s="120" t="s">
        <v>693</v>
      </c>
      <c r="G480" s="1"/>
      <c r="H480" s="1" t="s">
        <v>368</v>
      </c>
      <c r="I480" s="1" t="s">
        <v>1609</v>
      </c>
      <c r="J480" s="80"/>
      <c r="K480" s="80"/>
      <c r="L480" s="80"/>
      <c r="M480" s="80"/>
      <c r="N480" s="80"/>
      <c r="O480" s="80"/>
      <c r="P480" s="80"/>
      <c r="Q480" s="80"/>
    </row>
    <row r="481" spans="1:17" customFormat="1" ht="28.5">
      <c r="A481" t="s">
        <v>1539</v>
      </c>
      <c r="B481" t="s">
        <v>240</v>
      </c>
      <c r="C481" t="s">
        <v>1610</v>
      </c>
      <c r="D481" s="5">
        <v>45999</v>
      </c>
      <c r="E481" s="5">
        <v>45999</v>
      </c>
      <c r="F481" s="120" t="s">
        <v>1611</v>
      </c>
      <c r="G481" s="1" t="s">
        <v>1557</v>
      </c>
      <c r="H481" s="1"/>
      <c r="I481" s="1" t="s">
        <v>1612</v>
      </c>
      <c r="J481" s="80"/>
      <c r="K481" s="80"/>
      <c r="L481" s="80"/>
      <c r="M481" s="80"/>
      <c r="N481" s="80"/>
      <c r="O481" s="80"/>
      <c r="P481" s="80"/>
      <c r="Q481" s="80"/>
    </row>
    <row r="482" spans="1:17" customFormat="1" ht="42.75">
      <c r="A482" t="s">
        <v>239</v>
      </c>
      <c r="B482" t="s">
        <v>240</v>
      </c>
      <c r="C482" t="s">
        <v>1613</v>
      </c>
      <c r="D482" s="5">
        <v>45999</v>
      </c>
      <c r="E482" s="5">
        <v>45999</v>
      </c>
      <c r="F482" s="120" t="s">
        <v>276</v>
      </c>
      <c r="G482" s="1"/>
      <c r="H482" s="1" t="s">
        <v>630</v>
      </c>
      <c r="I482" s="1" t="s">
        <v>1614</v>
      </c>
      <c r="J482" s="80"/>
      <c r="K482" s="80"/>
      <c r="L482" s="80"/>
      <c r="M482" s="80"/>
      <c r="N482" s="80"/>
      <c r="O482" s="80"/>
      <c r="P482" s="80"/>
      <c r="Q482" s="80"/>
    </row>
    <row r="483" spans="1:17" customFormat="1" ht="28.5">
      <c r="A483" t="s">
        <v>239</v>
      </c>
      <c r="B483" t="s">
        <v>240</v>
      </c>
      <c r="C483" t="s">
        <v>1615</v>
      </c>
      <c r="D483" s="5">
        <v>45999</v>
      </c>
      <c r="E483" s="5">
        <v>45999</v>
      </c>
      <c r="F483" s="120" t="s">
        <v>1616</v>
      </c>
      <c r="G483" s="1" t="s">
        <v>1557</v>
      </c>
      <c r="H483" s="1"/>
      <c r="I483" s="1" t="s">
        <v>1617</v>
      </c>
      <c r="J483" s="80"/>
      <c r="K483" s="80"/>
      <c r="L483" s="80"/>
      <c r="M483" s="80"/>
      <c r="N483" s="80"/>
      <c r="O483" s="80"/>
      <c r="P483" s="80"/>
      <c r="Q483" s="80"/>
    </row>
    <row r="484" spans="1:17" customFormat="1" ht="28.5">
      <c r="A484" t="s">
        <v>239</v>
      </c>
      <c r="B484" t="s">
        <v>240</v>
      </c>
      <c r="C484" t="s">
        <v>1618</v>
      </c>
      <c r="D484" s="5">
        <v>45999</v>
      </c>
      <c r="E484" s="5">
        <v>45999</v>
      </c>
      <c r="F484" s="120" t="s">
        <v>1619</v>
      </c>
      <c r="G484" s="1"/>
      <c r="H484" s="1" t="s">
        <v>261</v>
      </c>
      <c r="I484" s="1" t="s">
        <v>1620</v>
      </c>
      <c r="J484" s="80"/>
      <c r="K484" s="80"/>
      <c r="L484" s="80"/>
      <c r="M484" s="80"/>
      <c r="N484" s="80"/>
      <c r="O484" s="80"/>
      <c r="P484" s="80"/>
      <c r="Q484" s="80"/>
    </row>
    <row r="485" spans="1:17" customFormat="1" ht="28.5">
      <c r="A485" t="s">
        <v>239</v>
      </c>
      <c r="B485" t="s">
        <v>240</v>
      </c>
      <c r="C485" t="s">
        <v>1618</v>
      </c>
      <c r="D485" s="5">
        <v>45999</v>
      </c>
      <c r="E485" s="5">
        <v>45999</v>
      </c>
      <c r="F485" s="120" t="s">
        <v>1621</v>
      </c>
      <c r="G485" s="1"/>
      <c r="H485" s="1" t="s">
        <v>405</v>
      </c>
      <c r="I485" s="1" t="s">
        <v>1622</v>
      </c>
      <c r="J485" s="80"/>
      <c r="K485" s="80"/>
      <c r="L485" s="80"/>
      <c r="M485" s="80"/>
      <c r="N485" s="80"/>
      <c r="O485" s="80"/>
      <c r="P485" s="80"/>
      <c r="Q485" s="80"/>
    </row>
    <row r="486" spans="1:17" customFormat="1" ht="28.5">
      <c r="A486" t="s">
        <v>239</v>
      </c>
      <c r="B486" t="s">
        <v>240</v>
      </c>
      <c r="C486" t="s">
        <v>1623</v>
      </c>
      <c r="D486" s="5">
        <v>45999</v>
      </c>
      <c r="E486" s="5">
        <v>45999</v>
      </c>
      <c r="F486" s="120" t="s">
        <v>1624</v>
      </c>
      <c r="G486" s="1"/>
      <c r="H486" s="1" t="s">
        <v>261</v>
      </c>
      <c r="I486" s="1" t="s">
        <v>1625</v>
      </c>
      <c r="J486" s="80"/>
      <c r="K486" s="80"/>
      <c r="L486" s="80"/>
      <c r="M486" s="80"/>
      <c r="N486" s="80"/>
      <c r="O486" s="80"/>
      <c r="P486" s="80"/>
      <c r="Q486" s="80"/>
    </row>
    <row r="487" spans="1:17" customFormat="1" ht="42.75">
      <c r="A487" t="s">
        <v>239</v>
      </c>
      <c r="B487" t="s">
        <v>240</v>
      </c>
      <c r="C487" t="s">
        <v>1623</v>
      </c>
      <c r="D487" s="5">
        <v>45999</v>
      </c>
      <c r="E487" s="5">
        <v>45999</v>
      </c>
      <c r="F487" s="120" t="s">
        <v>1626</v>
      </c>
      <c r="G487" s="1"/>
      <c r="H487" s="1" t="s">
        <v>1103</v>
      </c>
      <c r="I487" s="1" t="s">
        <v>1627</v>
      </c>
      <c r="J487" s="80"/>
      <c r="K487" s="80"/>
      <c r="L487" s="80"/>
      <c r="M487" s="80"/>
      <c r="N487" s="80"/>
      <c r="O487" s="80"/>
      <c r="P487" s="80"/>
      <c r="Q487" s="80"/>
    </row>
    <row r="488" spans="1:17" customFormat="1" ht="28.5">
      <c r="A488" t="s">
        <v>239</v>
      </c>
      <c r="B488" t="s">
        <v>240</v>
      </c>
      <c r="C488" t="s">
        <v>1628</v>
      </c>
      <c r="D488" s="5">
        <v>46000</v>
      </c>
      <c r="E488" s="5">
        <v>46000</v>
      </c>
      <c r="F488" s="120" t="s">
        <v>1629</v>
      </c>
      <c r="G488" s="1"/>
      <c r="H488" s="1" t="s">
        <v>254</v>
      </c>
      <c r="I488" s="1" t="s">
        <v>1630</v>
      </c>
      <c r="J488" s="80"/>
      <c r="K488" s="80"/>
      <c r="L488" s="80"/>
      <c r="M488" s="80"/>
      <c r="N488" s="80"/>
      <c r="O488" s="80"/>
      <c r="P488" s="80"/>
      <c r="Q488" s="80"/>
    </row>
    <row r="489" spans="1:17" customFormat="1" ht="28.5">
      <c r="A489" t="s">
        <v>239</v>
      </c>
      <c r="B489" t="s">
        <v>240</v>
      </c>
      <c r="C489" t="s">
        <v>1628</v>
      </c>
      <c r="D489" s="5">
        <v>46000</v>
      </c>
      <c r="E489" s="5">
        <v>46000</v>
      </c>
      <c r="F489" s="120" t="s">
        <v>1631</v>
      </c>
      <c r="G489" s="1"/>
      <c r="H489" s="1" t="s">
        <v>295</v>
      </c>
      <c r="I489" s="1" t="s">
        <v>1632</v>
      </c>
      <c r="J489" s="80"/>
      <c r="K489" s="80"/>
      <c r="L489" s="80"/>
      <c r="M489" s="80"/>
      <c r="N489" s="80"/>
      <c r="O489" s="80"/>
      <c r="P489" s="80"/>
      <c r="Q489" s="80"/>
    </row>
    <row r="490" spans="1:17" customFormat="1">
      <c r="A490" t="s">
        <v>239</v>
      </c>
      <c r="B490" t="s">
        <v>240</v>
      </c>
      <c r="C490" t="s">
        <v>1633</v>
      </c>
      <c r="D490" s="5">
        <v>46000</v>
      </c>
      <c r="E490" s="5">
        <v>46000</v>
      </c>
      <c r="F490" s="120" t="s">
        <v>1634</v>
      </c>
      <c r="G490" s="1" t="s">
        <v>1635</v>
      </c>
      <c r="H490" s="1"/>
      <c r="I490" s="1" t="s">
        <v>1636</v>
      </c>
      <c r="J490" s="80"/>
      <c r="K490" s="80"/>
      <c r="L490" s="80"/>
      <c r="M490" s="80"/>
      <c r="N490" s="80"/>
      <c r="O490" s="80"/>
      <c r="P490" s="80"/>
      <c r="Q490" s="80"/>
    </row>
    <row r="491" spans="1:17" customFormat="1">
      <c r="B491" t="s">
        <v>240</v>
      </c>
      <c r="C491" t="s">
        <v>1637</v>
      </c>
      <c r="D491" s="5">
        <v>46000</v>
      </c>
      <c r="E491" s="5">
        <v>46000</v>
      </c>
      <c r="F491" s="120" t="s">
        <v>1638</v>
      </c>
      <c r="G491" s="1"/>
      <c r="H491" s="1" t="s">
        <v>261</v>
      </c>
      <c r="I491" s="1" t="s">
        <v>1639</v>
      </c>
      <c r="J491" s="80"/>
      <c r="K491" s="80"/>
      <c r="L491" s="80"/>
      <c r="M491" s="80"/>
      <c r="N491" s="80"/>
      <c r="O491" s="80"/>
      <c r="P491" s="80"/>
      <c r="Q491" s="80"/>
    </row>
    <row r="492" spans="1:17" customFormat="1">
      <c r="B492" t="s">
        <v>240</v>
      </c>
      <c r="C492" t="s">
        <v>1637</v>
      </c>
      <c r="D492" s="5">
        <v>46000</v>
      </c>
      <c r="E492" s="5">
        <v>46000</v>
      </c>
      <c r="F492" s="120" t="s">
        <v>1640</v>
      </c>
      <c r="G492" s="1"/>
      <c r="H492" s="1" t="s">
        <v>1641</v>
      </c>
      <c r="I492" s="1" t="s">
        <v>1642</v>
      </c>
      <c r="J492" s="80"/>
      <c r="K492" s="80"/>
      <c r="L492" s="80"/>
      <c r="M492" s="80"/>
      <c r="N492" s="80"/>
      <c r="O492" s="80"/>
      <c r="P492" s="80"/>
      <c r="Q492" s="80"/>
    </row>
    <row r="493" spans="1:17" customFormat="1" ht="28.5">
      <c r="A493" t="s">
        <v>239</v>
      </c>
      <c r="B493" t="s">
        <v>240</v>
      </c>
      <c r="C493" t="s">
        <v>1643</v>
      </c>
      <c r="D493" s="5">
        <v>46000</v>
      </c>
      <c r="E493" s="5">
        <v>46000</v>
      </c>
      <c r="F493" s="120" t="s">
        <v>551</v>
      </c>
      <c r="G493" s="1"/>
      <c r="H493" s="1" t="s">
        <v>277</v>
      </c>
      <c r="I493" s="1" t="s">
        <v>1644</v>
      </c>
      <c r="J493" s="80"/>
      <c r="K493" s="80"/>
      <c r="L493" s="80"/>
      <c r="M493" s="80"/>
      <c r="N493" s="80"/>
      <c r="O493" s="80"/>
      <c r="P493" s="80"/>
      <c r="Q493" s="80"/>
    </row>
    <row r="494" spans="1:17" customFormat="1" ht="42.75">
      <c r="A494" t="s">
        <v>239</v>
      </c>
      <c r="B494" t="s">
        <v>240</v>
      </c>
      <c r="C494" t="s">
        <v>1645</v>
      </c>
      <c r="D494" s="5">
        <v>46000</v>
      </c>
      <c r="E494" s="5">
        <v>46000</v>
      </c>
      <c r="F494" s="120" t="s">
        <v>1646</v>
      </c>
      <c r="G494" s="1"/>
      <c r="H494" s="1" t="s">
        <v>261</v>
      </c>
      <c r="I494" s="1" t="s">
        <v>1647</v>
      </c>
      <c r="J494" s="80"/>
      <c r="K494" s="80"/>
      <c r="L494" s="80"/>
      <c r="M494" s="80"/>
      <c r="N494" s="80"/>
      <c r="O494" s="80"/>
      <c r="P494" s="80"/>
      <c r="Q494" s="80"/>
    </row>
    <row r="495" spans="1:17" customFormat="1" ht="42.75">
      <c r="A495" t="s">
        <v>239</v>
      </c>
      <c r="B495" t="s">
        <v>240</v>
      </c>
      <c r="C495" t="s">
        <v>1645</v>
      </c>
      <c r="D495" s="5">
        <v>46000</v>
      </c>
      <c r="E495" s="5">
        <v>46000</v>
      </c>
      <c r="F495" s="120" t="s">
        <v>1648</v>
      </c>
      <c r="G495" s="1"/>
      <c r="H495" s="1" t="s">
        <v>368</v>
      </c>
      <c r="I495" s="1" t="s">
        <v>1649</v>
      </c>
      <c r="J495" s="80"/>
      <c r="K495" s="80"/>
      <c r="L495" s="80"/>
      <c r="M495" s="80"/>
      <c r="N495" s="80"/>
      <c r="O495" s="80"/>
      <c r="P495" s="80"/>
      <c r="Q495" s="80"/>
    </row>
    <row r="496" spans="1:17" customFormat="1" ht="28.5">
      <c r="A496" t="s">
        <v>239</v>
      </c>
      <c r="B496" t="s">
        <v>240</v>
      </c>
      <c r="C496" t="s">
        <v>1650</v>
      </c>
      <c r="D496" s="5">
        <v>46001</v>
      </c>
      <c r="E496" s="5">
        <v>46001</v>
      </c>
      <c r="F496" s="120" t="s">
        <v>1651</v>
      </c>
      <c r="G496" s="1"/>
      <c r="H496" s="1" t="s">
        <v>1652</v>
      </c>
      <c r="I496" s="1" t="s">
        <v>1653</v>
      </c>
      <c r="J496" s="80"/>
      <c r="K496" s="80"/>
      <c r="L496" s="80"/>
      <c r="M496" s="80"/>
      <c r="N496" s="80"/>
      <c r="O496" s="80"/>
      <c r="P496" s="80"/>
      <c r="Q496" s="80"/>
    </row>
    <row r="497" spans="1:17" customFormat="1" ht="28.5">
      <c r="A497" t="s">
        <v>239</v>
      </c>
      <c r="B497" t="s">
        <v>240</v>
      </c>
      <c r="C497" t="s">
        <v>1654</v>
      </c>
      <c r="D497" s="5">
        <v>46001</v>
      </c>
      <c r="E497" s="5">
        <v>46001</v>
      </c>
      <c r="F497" s="120" t="s">
        <v>1655</v>
      </c>
      <c r="G497" s="1"/>
      <c r="H497" s="1" t="s">
        <v>261</v>
      </c>
      <c r="I497" s="1" t="s">
        <v>1656</v>
      </c>
      <c r="J497" s="80"/>
      <c r="K497" s="80"/>
      <c r="L497" s="80"/>
      <c r="M497" s="80"/>
      <c r="N497" s="80"/>
      <c r="O497" s="80"/>
      <c r="P497" s="80"/>
      <c r="Q497" s="80"/>
    </row>
    <row r="498" spans="1:17" customFormat="1" ht="42.75">
      <c r="A498" t="s">
        <v>239</v>
      </c>
      <c r="B498" t="s">
        <v>240</v>
      </c>
      <c r="C498" t="s">
        <v>1654</v>
      </c>
      <c r="D498" s="5">
        <v>46001</v>
      </c>
      <c r="E498" s="5">
        <v>46001</v>
      </c>
      <c r="F498" s="120" t="s">
        <v>1657</v>
      </c>
      <c r="G498" s="1"/>
      <c r="H498" s="1" t="s">
        <v>453</v>
      </c>
      <c r="I498" s="1" t="s">
        <v>1658</v>
      </c>
      <c r="J498" s="80"/>
      <c r="K498" s="80"/>
      <c r="L498" s="80"/>
      <c r="M498" s="80"/>
      <c r="N498" s="80"/>
      <c r="O498" s="80"/>
      <c r="P498" s="80"/>
      <c r="Q498" s="80"/>
    </row>
    <row r="499" spans="1:17" customFormat="1" ht="28.5">
      <c r="A499" t="s">
        <v>239</v>
      </c>
      <c r="B499" t="s">
        <v>240</v>
      </c>
      <c r="C499" t="s">
        <v>1659</v>
      </c>
      <c r="D499" s="5">
        <v>46001</v>
      </c>
      <c r="E499" s="5">
        <v>46001</v>
      </c>
      <c r="F499" s="120" t="s">
        <v>1660</v>
      </c>
      <c r="G499" s="1" t="s">
        <v>1557</v>
      </c>
      <c r="H499" s="1"/>
      <c r="I499" s="1" t="s">
        <v>1661</v>
      </c>
      <c r="J499" s="80"/>
      <c r="K499" s="80"/>
      <c r="L499" s="80"/>
      <c r="M499" s="80"/>
      <c r="N499" s="80"/>
      <c r="O499" s="80"/>
      <c r="P499" s="80"/>
      <c r="Q499" s="80"/>
    </row>
    <row r="500" spans="1:17" customFormat="1" ht="28.5">
      <c r="A500" t="s">
        <v>239</v>
      </c>
      <c r="B500" t="s">
        <v>240</v>
      </c>
      <c r="C500" t="s">
        <v>1662</v>
      </c>
      <c r="D500" s="5">
        <v>46001</v>
      </c>
      <c r="E500" s="5">
        <v>46001</v>
      </c>
      <c r="F500" s="120" t="s">
        <v>1663</v>
      </c>
      <c r="G500" s="1"/>
      <c r="H500" s="1" t="s">
        <v>261</v>
      </c>
      <c r="I500" s="1" t="s">
        <v>1664</v>
      </c>
      <c r="J500" s="80"/>
      <c r="K500" s="80"/>
      <c r="L500" s="80"/>
      <c r="M500" s="80"/>
      <c r="N500" s="80"/>
      <c r="O500" s="80"/>
      <c r="P500" s="80"/>
      <c r="Q500" s="80"/>
    </row>
    <row r="501" spans="1:17" customFormat="1" ht="42.75">
      <c r="A501" t="s">
        <v>239</v>
      </c>
      <c r="B501" t="s">
        <v>240</v>
      </c>
      <c r="C501" t="s">
        <v>1662</v>
      </c>
      <c r="D501" s="5">
        <v>46001</v>
      </c>
      <c r="E501" s="5">
        <v>46001</v>
      </c>
      <c r="F501" s="120" t="s">
        <v>1665</v>
      </c>
      <c r="G501" s="1"/>
      <c r="H501" s="1" t="s">
        <v>264</v>
      </c>
      <c r="I501" s="1" t="s">
        <v>1666</v>
      </c>
      <c r="J501" s="80"/>
      <c r="K501" s="80"/>
      <c r="L501" s="80"/>
      <c r="M501" s="80"/>
      <c r="N501" s="80"/>
      <c r="O501" s="80"/>
      <c r="P501" s="80"/>
      <c r="Q501" s="80"/>
    </row>
    <row r="502" spans="1:17" customFormat="1">
      <c r="A502" t="s">
        <v>239</v>
      </c>
      <c r="B502" t="s">
        <v>240</v>
      </c>
      <c r="C502" t="s">
        <v>1667</v>
      </c>
      <c r="D502" s="5">
        <v>46002</v>
      </c>
      <c r="E502" s="5">
        <v>46002</v>
      </c>
      <c r="F502" s="120" t="s">
        <v>1668</v>
      </c>
      <c r="G502" s="1"/>
      <c r="H502" s="1" t="s">
        <v>254</v>
      </c>
      <c r="I502" s="1" t="s">
        <v>1669</v>
      </c>
      <c r="J502" s="80"/>
      <c r="K502" s="80"/>
      <c r="L502" s="80"/>
      <c r="M502" s="80"/>
      <c r="N502" s="80"/>
      <c r="O502" s="80"/>
      <c r="P502" s="80"/>
      <c r="Q502" s="80"/>
    </row>
    <row r="503" spans="1:17" customFormat="1">
      <c r="A503" t="s">
        <v>239</v>
      </c>
      <c r="B503" t="s">
        <v>240</v>
      </c>
      <c r="C503" t="s">
        <v>1667</v>
      </c>
      <c r="D503" s="5">
        <v>46002</v>
      </c>
      <c r="E503" s="5">
        <v>46002</v>
      </c>
      <c r="F503" s="120" t="s">
        <v>1670</v>
      </c>
      <c r="G503" s="1"/>
      <c r="H503" s="1" t="s">
        <v>1671</v>
      </c>
      <c r="I503" s="1" t="s">
        <v>1672</v>
      </c>
      <c r="J503" s="80"/>
      <c r="K503" s="80"/>
      <c r="L503" s="80"/>
      <c r="M503" s="80"/>
      <c r="N503" s="80"/>
      <c r="O503" s="80"/>
      <c r="P503" s="80"/>
      <c r="Q503" s="80"/>
    </row>
    <row r="504" spans="1:17" customFormat="1" ht="42.75">
      <c r="A504" t="s">
        <v>239</v>
      </c>
      <c r="B504" t="s">
        <v>240</v>
      </c>
      <c r="C504" t="s">
        <v>1673</v>
      </c>
      <c r="D504" s="5">
        <v>46002</v>
      </c>
      <c r="E504" s="5">
        <v>46002</v>
      </c>
      <c r="F504" s="120" t="s">
        <v>1674</v>
      </c>
      <c r="G504" s="1"/>
      <c r="H504" s="1" t="s">
        <v>254</v>
      </c>
      <c r="I504" s="1" t="s">
        <v>1675</v>
      </c>
      <c r="J504" s="80"/>
      <c r="K504" s="80"/>
      <c r="L504" s="80"/>
      <c r="M504" s="80"/>
      <c r="N504" s="80"/>
      <c r="O504" s="80"/>
      <c r="P504" s="80"/>
      <c r="Q504" s="80"/>
    </row>
    <row r="505" spans="1:17" customFormat="1" ht="42.75">
      <c r="A505" t="s">
        <v>239</v>
      </c>
      <c r="B505" t="s">
        <v>240</v>
      </c>
      <c r="C505" t="s">
        <v>1673</v>
      </c>
      <c r="D505" s="5">
        <v>46002</v>
      </c>
      <c r="E505" s="5">
        <v>46002</v>
      </c>
      <c r="F505" s="120" t="s">
        <v>1676</v>
      </c>
      <c r="G505" s="1"/>
      <c r="H505" s="1" t="s">
        <v>1545</v>
      </c>
      <c r="I505" s="1" t="s">
        <v>1677</v>
      </c>
      <c r="J505" s="80"/>
      <c r="K505" s="80"/>
      <c r="L505" s="80"/>
      <c r="M505" s="80"/>
      <c r="N505" s="80"/>
      <c r="O505" s="80"/>
      <c r="P505" s="80"/>
      <c r="Q505" s="80"/>
    </row>
    <row r="506" spans="1:17" customFormat="1" ht="28.5">
      <c r="A506" t="s">
        <v>239</v>
      </c>
      <c r="B506" t="s">
        <v>240</v>
      </c>
      <c r="C506" t="s">
        <v>1678</v>
      </c>
      <c r="D506" s="5">
        <v>46003</v>
      </c>
      <c r="E506" s="5">
        <v>46003</v>
      </c>
      <c r="F506" s="120" t="s">
        <v>1064</v>
      </c>
      <c r="G506" s="1"/>
      <c r="H506" s="1" t="s">
        <v>1679</v>
      </c>
      <c r="I506" s="1" t="s">
        <v>1680</v>
      </c>
      <c r="J506" s="80"/>
      <c r="K506" s="80"/>
      <c r="L506" s="80"/>
      <c r="M506" s="80"/>
      <c r="N506" s="80"/>
      <c r="O506" s="80"/>
      <c r="P506" s="80"/>
      <c r="Q506" s="80"/>
    </row>
    <row r="507" spans="1:17" customFormat="1" ht="28.5">
      <c r="A507" t="s">
        <v>239</v>
      </c>
      <c r="B507" t="s">
        <v>240</v>
      </c>
      <c r="C507" t="s">
        <v>1681</v>
      </c>
      <c r="D507" s="5">
        <v>46003</v>
      </c>
      <c r="E507" s="5">
        <v>46003</v>
      </c>
      <c r="F507" s="120" t="s">
        <v>1682</v>
      </c>
      <c r="G507" s="1"/>
      <c r="H507" s="1" t="s">
        <v>261</v>
      </c>
      <c r="I507" s="1" t="s">
        <v>1683</v>
      </c>
      <c r="J507" s="80"/>
      <c r="K507" s="80"/>
      <c r="L507" s="80"/>
      <c r="M507" s="80"/>
      <c r="N507" s="80"/>
      <c r="O507" s="80"/>
      <c r="P507" s="80"/>
      <c r="Q507" s="80"/>
    </row>
    <row r="508" spans="1:17" customFormat="1" ht="42.75">
      <c r="A508" t="s">
        <v>239</v>
      </c>
      <c r="B508" t="s">
        <v>240</v>
      </c>
      <c r="C508" t="s">
        <v>1681</v>
      </c>
      <c r="D508" s="5">
        <v>46003</v>
      </c>
      <c r="E508" s="5">
        <v>46003</v>
      </c>
      <c r="F508" s="120" t="s">
        <v>1684</v>
      </c>
      <c r="G508" s="1"/>
      <c r="H508" s="1" t="s">
        <v>1685</v>
      </c>
      <c r="I508" s="1" t="s">
        <v>1686</v>
      </c>
      <c r="J508" s="80"/>
      <c r="K508" s="80"/>
      <c r="L508" s="80"/>
      <c r="M508" s="80"/>
      <c r="N508" s="80"/>
      <c r="O508" s="80"/>
      <c r="P508" s="80"/>
      <c r="Q508" s="80"/>
    </row>
    <row r="509" spans="1:17" customFormat="1" ht="28.5">
      <c r="A509" t="s">
        <v>239</v>
      </c>
      <c r="B509" t="s">
        <v>240</v>
      </c>
      <c r="C509" t="s">
        <v>1687</v>
      </c>
      <c r="D509" s="5">
        <v>46003</v>
      </c>
      <c r="E509" s="5">
        <v>46003</v>
      </c>
      <c r="F509" s="120" t="s">
        <v>1688</v>
      </c>
      <c r="G509" s="1"/>
      <c r="H509" s="1" t="s">
        <v>243</v>
      </c>
      <c r="I509" s="1" t="s">
        <v>1689</v>
      </c>
      <c r="J509" s="80"/>
      <c r="K509" s="80"/>
      <c r="L509" s="80"/>
      <c r="M509" s="80"/>
      <c r="N509" s="80"/>
      <c r="O509" s="80"/>
      <c r="P509" s="80"/>
      <c r="Q509" s="80"/>
    </row>
    <row r="510" spans="1:17" customFormat="1" ht="28.5">
      <c r="A510" t="s">
        <v>239</v>
      </c>
      <c r="B510" t="s">
        <v>240</v>
      </c>
      <c r="C510" t="s">
        <v>1687</v>
      </c>
      <c r="D510" s="5">
        <v>46003</v>
      </c>
      <c r="E510" s="5">
        <v>46003</v>
      </c>
      <c r="F510" s="120" t="s">
        <v>1690</v>
      </c>
      <c r="G510" s="1"/>
      <c r="H510" s="1" t="s">
        <v>1691</v>
      </c>
      <c r="I510" s="1" t="s">
        <v>1692</v>
      </c>
      <c r="J510" s="80"/>
      <c r="K510" s="80"/>
      <c r="L510" s="80"/>
      <c r="M510" s="80"/>
      <c r="N510" s="80"/>
      <c r="O510" s="80"/>
      <c r="P510" s="80"/>
      <c r="Q510" s="80"/>
    </row>
    <row r="511" spans="1:17" customFormat="1" ht="28.5">
      <c r="A511" t="s">
        <v>239</v>
      </c>
      <c r="B511" t="s">
        <v>240</v>
      </c>
      <c r="C511" t="s">
        <v>1693</v>
      </c>
      <c r="D511" s="5">
        <v>46003</v>
      </c>
      <c r="E511" s="5">
        <v>46003</v>
      </c>
      <c r="F511" s="120" t="s">
        <v>1694</v>
      </c>
      <c r="G511" s="1"/>
      <c r="H511" s="1" t="s">
        <v>840</v>
      </c>
      <c r="I511" s="1" t="s">
        <v>1695</v>
      </c>
      <c r="J511" s="80"/>
      <c r="K511" s="80"/>
      <c r="L511" s="80"/>
      <c r="M511" s="80"/>
      <c r="N511" s="80"/>
      <c r="O511" s="80"/>
      <c r="P511" s="80"/>
      <c r="Q511" s="80"/>
    </row>
    <row r="512" spans="1:17" customFormat="1" ht="28.5">
      <c r="A512" t="s">
        <v>239</v>
      </c>
      <c r="B512" t="s">
        <v>240</v>
      </c>
      <c r="C512" t="s">
        <v>1696</v>
      </c>
      <c r="D512" s="5">
        <v>46003</v>
      </c>
      <c r="E512" s="5">
        <v>46003</v>
      </c>
      <c r="F512" s="120" t="s">
        <v>1697</v>
      </c>
      <c r="G512" s="1"/>
      <c r="H512" s="1" t="s">
        <v>1698</v>
      </c>
      <c r="I512" s="1" t="s">
        <v>1699</v>
      </c>
      <c r="J512" s="80"/>
      <c r="K512" s="80"/>
      <c r="L512" s="80"/>
      <c r="M512" s="80"/>
      <c r="N512" s="80"/>
      <c r="O512" s="80"/>
      <c r="P512" s="80"/>
      <c r="Q512" s="80"/>
    </row>
    <row r="513" spans="1:17" customFormat="1" ht="28.5">
      <c r="A513" t="s">
        <v>239</v>
      </c>
      <c r="B513" t="s">
        <v>240</v>
      </c>
      <c r="C513" t="s">
        <v>1700</v>
      </c>
      <c r="D513" s="5">
        <v>46003</v>
      </c>
      <c r="E513" s="5">
        <v>46003</v>
      </c>
      <c r="F513" s="120" t="s">
        <v>1701</v>
      </c>
      <c r="G513" s="1"/>
      <c r="H513" s="1" t="s">
        <v>1702</v>
      </c>
      <c r="I513" s="1" t="s">
        <v>1703</v>
      </c>
      <c r="J513" s="80"/>
      <c r="K513" s="80"/>
      <c r="L513" s="80"/>
      <c r="M513" s="80"/>
      <c r="N513" s="80"/>
      <c r="O513" s="80"/>
      <c r="P513" s="80"/>
      <c r="Q513" s="80"/>
    </row>
    <row r="514" spans="1:17" customFormat="1">
      <c r="A514" t="s">
        <v>239</v>
      </c>
      <c r="B514" t="s">
        <v>240</v>
      </c>
      <c r="C514" t="s">
        <v>1704</v>
      </c>
      <c r="D514" s="5">
        <v>46003</v>
      </c>
      <c r="E514" s="5">
        <v>46003</v>
      </c>
      <c r="F514" s="120" t="s">
        <v>1705</v>
      </c>
      <c r="G514" s="1"/>
      <c r="H514" s="1" t="s">
        <v>1706</v>
      </c>
      <c r="I514" s="1" t="s">
        <v>1707</v>
      </c>
      <c r="J514" s="80"/>
      <c r="K514" s="80"/>
      <c r="L514" s="80"/>
      <c r="M514" s="80"/>
      <c r="N514" s="80"/>
      <c r="O514" s="80"/>
      <c r="P514" s="80"/>
      <c r="Q514" s="80"/>
    </row>
    <row r="515" spans="1:17" customFormat="1">
      <c r="A515" t="s">
        <v>239</v>
      </c>
      <c r="B515" t="s">
        <v>240</v>
      </c>
      <c r="C515" t="s">
        <v>1704</v>
      </c>
      <c r="D515" s="5">
        <v>46003</v>
      </c>
      <c r="E515" s="5">
        <v>46003</v>
      </c>
      <c r="F515" s="120" t="s">
        <v>1708</v>
      </c>
      <c r="G515" s="1"/>
      <c r="H515" s="1" t="s">
        <v>1709</v>
      </c>
      <c r="I515" s="1" t="s">
        <v>1710</v>
      </c>
      <c r="J515" s="80"/>
      <c r="K515" s="80"/>
      <c r="L515" s="80"/>
      <c r="M515" s="80"/>
      <c r="N515" s="80"/>
      <c r="O515" s="80"/>
      <c r="P515" s="80"/>
      <c r="Q515" s="80"/>
    </row>
    <row r="516" spans="1:17" customFormat="1" ht="28.5">
      <c r="A516" t="s">
        <v>239</v>
      </c>
      <c r="B516" t="s">
        <v>240</v>
      </c>
      <c r="C516" t="s">
        <v>1711</v>
      </c>
      <c r="D516" s="5">
        <v>46004</v>
      </c>
      <c r="E516" s="5">
        <v>46004</v>
      </c>
      <c r="F516" s="120" t="s">
        <v>1712</v>
      </c>
      <c r="G516" s="1"/>
      <c r="H516" s="1" t="s">
        <v>254</v>
      </c>
      <c r="I516" s="1" t="s">
        <v>1713</v>
      </c>
      <c r="J516" s="80"/>
      <c r="K516" s="80"/>
      <c r="L516" s="80"/>
      <c r="M516" s="80"/>
      <c r="N516" s="80"/>
      <c r="O516" s="80"/>
      <c r="P516" s="80"/>
      <c r="Q516" s="80"/>
    </row>
    <row r="517" spans="1:17" customFormat="1" ht="42.75">
      <c r="A517" t="s">
        <v>239</v>
      </c>
      <c r="B517" t="s">
        <v>240</v>
      </c>
      <c r="C517" t="s">
        <v>1711</v>
      </c>
      <c r="D517" s="5">
        <v>46004</v>
      </c>
      <c r="E517" s="5">
        <v>46004</v>
      </c>
      <c r="F517" s="120" t="s">
        <v>1714</v>
      </c>
      <c r="G517" s="1"/>
      <c r="H517" s="1" t="s">
        <v>250</v>
      </c>
      <c r="I517" s="1" t="s">
        <v>1715</v>
      </c>
      <c r="J517" s="80"/>
      <c r="K517" s="80"/>
      <c r="L517" s="80"/>
      <c r="M517" s="80"/>
      <c r="N517" s="80"/>
      <c r="O517" s="80"/>
      <c r="P517" s="80"/>
      <c r="Q517" s="80"/>
    </row>
    <row r="518" spans="1:17" customFormat="1" ht="28.5">
      <c r="A518" t="s">
        <v>239</v>
      </c>
      <c r="B518" t="s">
        <v>240</v>
      </c>
      <c r="C518" t="s">
        <v>1716</v>
      </c>
      <c r="D518" s="5">
        <v>46004</v>
      </c>
      <c r="E518" s="5">
        <v>46004</v>
      </c>
      <c r="F518" s="120" t="s">
        <v>1717</v>
      </c>
      <c r="G518" s="1"/>
      <c r="H518" s="1" t="s">
        <v>254</v>
      </c>
      <c r="I518" s="1" t="s">
        <v>1718</v>
      </c>
      <c r="J518" s="80"/>
      <c r="K518" s="80"/>
      <c r="L518" s="80"/>
      <c r="M518" s="80"/>
      <c r="N518" s="80"/>
      <c r="O518" s="80"/>
      <c r="P518" s="80"/>
      <c r="Q518" s="80"/>
    </row>
    <row r="519" spans="1:17" customFormat="1" ht="28.5">
      <c r="A519" t="s">
        <v>239</v>
      </c>
      <c r="B519" t="s">
        <v>240</v>
      </c>
      <c r="C519" t="s">
        <v>1716</v>
      </c>
      <c r="D519" s="5">
        <v>46004</v>
      </c>
      <c r="E519" s="5">
        <v>46004</v>
      </c>
      <c r="F519" s="120" t="s">
        <v>1719</v>
      </c>
      <c r="G519" s="1"/>
      <c r="H519" s="1" t="s">
        <v>295</v>
      </c>
      <c r="I519" s="1" t="s">
        <v>1720</v>
      </c>
      <c r="J519" s="80"/>
      <c r="K519" s="80"/>
      <c r="L519" s="80"/>
      <c r="M519" s="80"/>
      <c r="N519" s="80"/>
      <c r="O519" s="80"/>
      <c r="P519" s="80"/>
      <c r="Q519" s="80"/>
    </row>
    <row r="520" spans="1:17" customFormat="1">
      <c r="B520" t="s">
        <v>240</v>
      </c>
      <c r="C520" t="s">
        <v>1721</v>
      </c>
      <c r="D520" s="5">
        <v>46004</v>
      </c>
      <c r="E520" s="5">
        <v>46004</v>
      </c>
      <c r="F520" s="120" t="s">
        <v>1722</v>
      </c>
      <c r="G520" s="1"/>
      <c r="H520" s="1" t="s">
        <v>261</v>
      </c>
      <c r="I520" s="1" t="s">
        <v>1723</v>
      </c>
      <c r="J520" s="80"/>
      <c r="K520" s="80"/>
      <c r="L520" s="80"/>
      <c r="M520" s="80"/>
      <c r="N520" s="80"/>
      <c r="O520" s="80"/>
      <c r="P520" s="80"/>
      <c r="Q520" s="80"/>
    </row>
    <row r="521" spans="1:17" customFormat="1">
      <c r="B521" t="s">
        <v>240</v>
      </c>
      <c r="C521" t="s">
        <v>1721</v>
      </c>
      <c r="D521" s="5">
        <v>46004</v>
      </c>
      <c r="E521" s="5">
        <v>46004</v>
      </c>
      <c r="F521" s="120" t="s">
        <v>1724</v>
      </c>
      <c r="G521" s="1"/>
      <c r="H521" s="1" t="s">
        <v>313</v>
      </c>
      <c r="I521" s="1" t="s">
        <v>1725</v>
      </c>
      <c r="J521" s="80"/>
      <c r="K521" s="80"/>
      <c r="L521" s="80"/>
      <c r="M521" s="80"/>
      <c r="N521" s="80"/>
      <c r="O521" s="80"/>
      <c r="P521" s="80"/>
      <c r="Q521" s="80"/>
    </row>
    <row r="522" spans="1:17" customFormat="1" ht="28.5">
      <c r="A522" t="s">
        <v>239</v>
      </c>
      <c r="B522" t="s">
        <v>240</v>
      </c>
      <c r="C522" t="s">
        <v>1726</v>
      </c>
      <c r="D522" s="5">
        <v>46004</v>
      </c>
      <c r="E522" s="5">
        <v>46004</v>
      </c>
      <c r="F522" s="120" t="s">
        <v>1560</v>
      </c>
      <c r="G522" s="1"/>
      <c r="H522" s="1" t="s">
        <v>254</v>
      </c>
      <c r="I522" s="1" t="s">
        <v>1727</v>
      </c>
      <c r="J522" s="80"/>
      <c r="K522" s="80"/>
      <c r="L522" s="80"/>
      <c r="M522" s="80"/>
      <c r="N522" s="80"/>
      <c r="O522" s="80"/>
      <c r="P522" s="80"/>
      <c r="Q522" s="80"/>
    </row>
    <row r="523" spans="1:17" customFormat="1" ht="42.75">
      <c r="A523" t="s">
        <v>239</v>
      </c>
      <c r="B523" t="s">
        <v>240</v>
      </c>
      <c r="C523" t="s">
        <v>1726</v>
      </c>
      <c r="D523" s="5">
        <v>46004</v>
      </c>
      <c r="E523" s="5">
        <v>46004</v>
      </c>
      <c r="F523" s="120" t="s">
        <v>1562</v>
      </c>
      <c r="G523" s="1"/>
      <c r="H523" s="1" t="s">
        <v>295</v>
      </c>
      <c r="I523" s="1" t="s">
        <v>1728</v>
      </c>
      <c r="J523" s="80"/>
      <c r="K523" s="80"/>
      <c r="L523" s="80"/>
      <c r="M523" s="80"/>
      <c r="N523" s="80"/>
      <c r="O523" s="80"/>
      <c r="P523" s="80"/>
      <c r="Q523" s="80"/>
    </row>
    <row r="524" spans="1:17" customFormat="1" ht="28.5">
      <c r="A524" t="s">
        <v>239</v>
      </c>
      <c r="B524" t="s">
        <v>240</v>
      </c>
      <c r="C524" t="s">
        <v>1729</v>
      </c>
      <c r="D524" s="5">
        <v>46004</v>
      </c>
      <c r="E524" s="5">
        <v>46004</v>
      </c>
      <c r="F524" s="120" t="s">
        <v>1730</v>
      </c>
      <c r="G524" s="1"/>
      <c r="H524" s="1" t="s">
        <v>295</v>
      </c>
      <c r="I524" s="1" t="s">
        <v>1731</v>
      </c>
      <c r="J524" s="80"/>
      <c r="K524" s="80"/>
      <c r="L524" s="80"/>
      <c r="M524" s="80"/>
      <c r="N524" s="80"/>
      <c r="O524" s="80"/>
      <c r="P524" s="80"/>
      <c r="Q524" s="80"/>
    </row>
    <row r="525" spans="1:17" customFormat="1" ht="28.5">
      <c r="A525" t="s">
        <v>239</v>
      </c>
      <c r="B525" t="s">
        <v>240</v>
      </c>
      <c r="C525" t="s">
        <v>1732</v>
      </c>
      <c r="D525" s="5">
        <v>46004</v>
      </c>
      <c r="E525" s="5">
        <v>46004</v>
      </c>
      <c r="F525" s="120" t="s">
        <v>1733</v>
      </c>
      <c r="G525" s="1"/>
      <c r="H525" s="1" t="s">
        <v>250</v>
      </c>
      <c r="I525" s="1" t="s">
        <v>1734</v>
      </c>
      <c r="J525" s="80"/>
      <c r="K525" s="80"/>
      <c r="L525" s="80"/>
      <c r="M525" s="80"/>
      <c r="N525" s="80"/>
      <c r="O525" s="80"/>
      <c r="P525" s="80"/>
      <c r="Q525" s="80"/>
    </row>
    <row r="526" spans="1:17" customFormat="1" ht="28.5">
      <c r="A526" t="s">
        <v>239</v>
      </c>
      <c r="B526" t="s">
        <v>240</v>
      </c>
      <c r="C526" t="s">
        <v>1735</v>
      </c>
      <c r="D526" s="5">
        <v>46004</v>
      </c>
      <c r="E526" s="5">
        <v>46004</v>
      </c>
      <c r="F526" s="120" t="s">
        <v>1736</v>
      </c>
      <c r="G526" s="1"/>
      <c r="H526" s="1" t="s">
        <v>261</v>
      </c>
      <c r="I526" s="1" t="s">
        <v>1737</v>
      </c>
      <c r="J526" s="80"/>
      <c r="K526" s="80"/>
      <c r="L526" s="80"/>
      <c r="M526" s="80"/>
      <c r="N526" s="80"/>
      <c r="O526" s="80"/>
      <c r="P526" s="80"/>
      <c r="Q526" s="80"/>
    </row>
    <row r="527" spans="1:17" customFormat="1" ht="42.75">
      <c r="A527" t="s">
        <v>239</v>
      </c>
      <c r="B527" t="s">
        <v>240</v>
      </c>
      <c r="C527" t="s">
        <v>1735</v>
      </c>
      <c r="D527" s="5">
        <v>46004</v>
      </c>
      <c r="E527" s="5">
        <v>46004</v>
      </c>
      <c r="F527" s="120" t="s">
        <v>1738</v>
      </c>
      <c r="G527" s="1"/>
      <c r="H527" s="1" t="s">
        <v>1739</v>
      </c>
      <c r="I527" s="1" t="s">
        <v>1740</v>
      </c>
      <c r="J527" s="80"/>
      <c r="K527" s="80"/>
      <c r="L527" s="80"/>
      <c r="M527" s="80"/>
      <c r="N527" s="80"/>
      <c r="O527" s="80"/>
      <c r="P527" s="80"/>
      <c r="Q527" s="80"/>
    </row>
    <row r="528" spans="1:17" customFormat="1" ht="42.75">
      <c r="A528" t="s">
        <v>239</v>
      </c>
      <c r="B528" t="s">
        <v>240</v>
      </c>
      <c r="C528" t="s">
        <v>1741</v>
      </c>
      <c r="D528" s="5">
        <v>46004</v>
      </c>
      <c r="E528" s="5">
        <v>46004</v>
      </c>
      <c r="F528" s="120" t="s">
        <v>1742</v>
      </c>
      <c r="G528" s="1"/>
      <c r="H528" s="1" t="s">
        <v>527</v>
      </c>
      <c r="I528" s="1" t="s">
        <v>1743</v>
      </c>
      <c r="J528" s="80"/>
      <c r="K528" s="80"/>
      <c r="L528" s="80"/>
      <c r="M528" s="80"/>
      <c r="N528" s="80"/>
      <c r="O528" s="80"/>
      <c r="P528" s="80"/>
      <c r="Q528" s="80"/>
    </row>
    <row r="529" spans="1:17" customFormat="1" ht="42.75">
      <c r="A529" t="s">
        <v>239</v>
      </c>
      <c r="B529" t="s">
        <v>240</v>
      </c>
      <c r="C529" t="s">
        <v>1744</v>
      </c>
      <c r="D529" s="5">
        <v>46004</v>
      </c>
      <c r="E529" s="5">
        <v>46004</v>
      </c>
      <c r="F529" s="120" t="s">
        <v>1745</v>
      </c>
      <c r="G529" s="1"/>
      <c r="H529" s="1" t="s">
        <v>1746</v>
      </c>
      <c r="I529" s="1" t="s">
        <v>1747</v>
      </c>
      <c r="J529" s="80"/>
      <c r="K529" s="80"/>
      <c r="L529" s="80"/>
      <c r="M529" s="80"/>
      <c r="N529" s="80"/>
      <c r="O529" s="80"/>
      <c r="P529" s="80"/>
      <c r="Q529" s="80"/>
    </row>
    <row r="530" spans="1:17" customFormat="1" ht="42.75">
      <c r="A530" t="s">
        <v>239</v>
      </c>
      <c r="B530" t="s">
        <v>240</v>
      </c>
      <c r="C530" t="s">
        <v>1748</v>
      </c>
      <c r="D530" s="5">
        <v>46005</v>
      </c>
      <c r="E530" s="5">
        <v>46005</v>
      </c>
      <c r="F530" s="120" t="s">
        <v>1749</v>
      </c>
      <c r="G530" s="1"/>
      <c r="H530" s="1" t="s">
        <v>433</v>
      </c>
      <c r="I530" s="1" t="s">
        <v>1750</v>
      </c>
      <c r="J530" s="80"/>
      <c r="K530" s="80"/>
      <c r="L530" s="80"/>
      <c r="M530" s="80"/>
      <c r="N530" s="80"/>
      <c r="O530" s="80"/>
      <c r="P530" s="80"/>
      <c r="Q530" s="80"/>
    </row>
    <row r="531" spans="1:17" customFormat="1" ht="28.5">
      <c r="A531" t="s">
        <v>239</v>
      </c>
      <c r="B531" t="s">
        <v>240</v>
      </c>
      <c r="C531" t="s">
        <v>1751</v>
      </c>
      <c r="D531" s="5">
        <v>46005</v>
      </c>
      <c r="E531" s="5">
        <v>46005</v>
      </c>
      <c r="F531" s="120" t="s">
        <v>412</v>
      </c>
      <c r="G531" s="1"/>
      <c r="H531" s="1" t="s">
        <v>1752</v>
      </c>
      <c r="I531" s="1" t="s">
        <v>1753</v>
      </c>
      <c r="J531" s="80"/>
      <c r="K531" s="80"/>
      <c r="L531" s="80"/>
      <c r="M531" s="80"/>
      <c r="N531" s="80"/>
      <c r="O531" s="80"/>
      <c r="P531" s="80"/>
      <c r="Q531" s="80"/>
    </row>
    <row r="532" spans="1:17" customFormat="1" ht="28.5">
      <c r="A532" t="s">
        <v>239</v>
      </c>
      <c r="B532" t="s">
        <v>240</v>
      </c>
      <c r="C532" t="s">
        <v>1754</v>
      </c>
      <c r="D532" s="5">
        <v>46006</v>
      </c>
      <c r="E532" s="5">
        <v>46006</v>
      </c>
      <c r="F532" s="120" t="s">
        <v>1755</v>
      </c>
      <c r="G532" s="1"/>
      <c r="H532" s="1" t="s">
        <v>261</v>
      </c>
      <c r="I532" s="1" t="s">
        <v>1756</v>
      </c>
      <c r="J532" s="80"/>
      <c r="K532" s="80"/>
      <c r="L532" s="80"/>
      <c r="M532" s="80"/>
      <c r="N532" s="80"/>
      <c r="O532" s="80"/>
      <c r="P532" s="80"/>
      <c r="Q532" s="80"/>
    </row>
    <row r="533" spans="1:17" customFormat="1" ht="42.75">
      <c r="A533" t="s">
        <v>239</v>
      </c>
      <c r="B533" t="s">
        <v>240</v>
      </c>
      <c r="C533" t="s">
        <v>1754</v>
      </c>
      <c r="D533" s="5">
        <v>46006</v>
      </c>
      <c r="E533" s="5">
        <v>46006</v>
      </c>
      <c r="F533" s="120" t="s">
        <v>1757</v>
      </c>
      <c r="G533" s="1"/>
      <c r="H533" s="1" t="s">
        <v>1758</v>
      </c>
      <c r="I533" s="1" t="s">
        <v>1759</v>
      </c>
      <c r="J533" s="80"/>
      <c r="K533" s="80"/>
      <c r="L533" s="80"/>
      <c r="M533" s="80"/>
      <c r="N533" s="80"/>
      <c r="O533" s="80"/>
      <c r="P533" s="80"/>
      <c r="Q533" s="80"/>
    </row>
    <row r="534" spans="1:17" customFormat="1" ht="42.75">
      <c r="A534" t="s">
        <v>239</v>
      </c>
      <c r="B534" t="s">
        <v>240</v>
      </c>
      <c r="C534" t="s">
        <v>1760</v>
      </c>
      <c r="D534" s="5">
        <v>46006</v>
      </c>
      <c r="E534" s="5">
        <v>46006</v>
      </c>
      <c r="F534" s="120" t="s">
        <v>1761</v>
      </c>
      <c r="G534" s="1"/>
      <c r="H534" s="1" t="s">
        <v>630</v>
      </c>
      <c r="I534" s="1" t="s">
        <v>1762</v>
      </c>
      <c r="J534" s="80"/>
      <c r="K534" s="80"/>
      <c r="L534" s="80"/>
      <c r="M534" s="80"/>
      <c r="N534" s="80"/>
      <c r="O534" s="80"/>
      <c r="P534" s="80"/>
      <c r="Q534" s="80"/>
    </row>
    <row r="535" spans="1:17" customFormat="1" ht="28.5">
      <c r="A535" t="s">
        <v>239</v>
      </c>
      <c r="B535" t="s">
        <v>240</v>
      </c>
      <c r="C535" t="s">
        <v>1763</v>
      </c>
      <c r="D535" s="5">
        <v>46006</v>
      </c>
      <c r="E535" s="5">
        <v>46006</v>
      </c>
      <c r="F535" s="120" t="s">
        <v>1764</v>
      </c>
      <c r="G535" s="1"/>
      <c r="H535" s="1" t="s">
        <v>254</v>
      </c>
      <c r="I535" s="1" t="s">
        <v>1765</v>
      </c>
      <c r="J535" s="80"/>
      <c r="K535" s="80"/>
      <c r="L535" s="80"/>
      <c r="M535" s="80"/>
      <c r="N535" s="80"/>
      <c r="O535" s="80"/>
      <c r="P535" s="80"/>
      <c r="Q535" s="80"/>
    </row>
    <row r="536" spans="1:17" customFormat="1" ht="42.75">
      <c r="A536" t="s">
        <v>239</v>
      </c>
      <c r="B536" t="s">
        <v>240</v>
      </c>
      <c r="C536" t="s">
        <v>1763</v>
      </c>
      <c r="D536" s="5">
        <v>46006</v>
      </c>
      <c r="E536" s="5">
        <v>46006</v>
      </c>
      <c r="F536" s="120" t="s">
        <v>1766</v>
      </c>
      <c r="G536" s="1"/>
      <c r="H536" s="1" t="s">
        <v>295</v>
      </c>
      <c r="I536" s="1" t="s">
        <v>1767</v>
      </c>
      <c r="J536" s="80"/>
      <c r="K536" s="80"/>
      <c r="L536" s="80"/>
      <c r="M536" s="80"/>
      <c r="N536" s="80"/>
      <c r="O536" s="80"/>
      <c r="P536" s="80"/>
      <c r="Q536" s="80"/>
    </row>
    <row r="537" spans="1:17" customFormat="1" ht="28.5">
      <c r="A537" t="s">
        <v>239</v>
      </c>
      <c r="B537" t="s">
        <v>240</v>
      </c>
      <c r="C537" t="s">
        <v>1768</v>
      </c>
      <c r="D537" s="5">
        <v>46006</v>
      </c>
      <c r="E537" s="5">
        <v>46006</v>
      </c>
      <c r="F537" s="120" t="s">
        <v>1769</v>
      </c>
      <c r="G537" s="1" t="s">
        <v>1770</v>
      </c>
      <c r="H537" s="1"/>
      <c r="I537" s="1" t="s">
        <v>1771</v>
      </c>
      <c r="J537" s="80"/>
      <c r="K537" s="80"/>
      <c r="L537" s="80"/>
      <c r="M537" s="80"/>
      <c r="N537" s="80"/>
      <c r="O537" s="80"/>
      <c r="P537" s="80"/>
      <c r="Q537" s="80"/>
    </row>
    <row r="538" spans="1:17" customFormat="1">
      <c r="A538" t="s">
        <v>239</v>
      </c>
      <c r="B538" t="s">
        <v>240</v>
      </c>
      <c r="C538" t="s">
        <v>1772</v>
      </c>
      <c r="D538" s="5">
        <v>46007</v>
      </c>
      <c r="E538" s="5">
        <v>46007</v>
      </c>
      <c r="F538" s="120" t="s">
        <v>1773</v>
      </c>
      <c r="G538" s="1" t="s">
        <v>1774</v>
      </c>
      <c r="H538" s="1"/>
      <c r="I538" s="1" t="s">
        <v>1775</v>
      </c>
      <c r="J538" s="80"/>
      <c r="K538" s="80"/>
      <c r="L538" s="80"/>
      <c r="M538" s="80"/>
      <c r="N538" s="80"/>
      <c r="O538" s="80"/>
      <c r="P538" s="80"/>
      <c r="Q538" s="80"/>
    </row>
    <row r="539" spans="1:17" customFormat="1" ht="42.75">
      <c r="A539" t="s">
        <v>239</v>
      </c>
      <c r="B539" t="s">
        <v>240</v>
      </c>
      <c r="C539" t="s">
        <v>1776</v>
      </c>
      <c r="D539" s="5">
        <v>46007</v>
      </c>
      <c r="E539" s="5">
        <v>46007</v>
      </c>
      <c r="F539" s="120" t="s">
        <v>1777</v>
      </c>
      <c r="G539" s="1"/>
      <c r="H539" s="1" t="s">
        <v>630</v>
      </c>
      <c r="I539" s="1" t="s">
        <v>1778</v>
      </c>
      <c r="J539" s="80"/>
      <c r="K539" s="80"/>
      <c r="L539" s="80"/>
      <c r="M539" s="80"/>
      <c r="N539" s="80"/>
      <c r="O539" s="80"/>
      <c r="P539" s="80"/>
      <c r="Q539" s="80"/>
    </row>
    <row r="540" spans="1:17" customFormat="1" ht="28.5">
      <c r="A540" t="s">
        <v>239</v>
      </c>
      <c r="B540" t="s">
        <v>240</v>
      </c>
      <c r="C540" t="s">
        <v>1779</v>
      </c>
      <c r="D540" s="5">
        <v>46007</v>
      </c>
      <c r="E540" s="5">
        <v>46007</v>
      </c>
      <c r="F540" s="120" t="s">
        <v>1780</v>
      </c>
      <c r="G540" s="1"/>
      <c r="H540" s="1" t="s">
        <v>261</v>
      </c>
      <c r="I540" s="1" t="s">
        <v>1781</v>
      </c>
      <c r="J540" s="80"/>
      <c r="K540" s="80"/>
      <c r="L540" s="80"/>
      <c r="M540" s="80"/>
      <c r="N540" s="80"/>
      <c r="O540" s="80"/>
      <c r="P540" s="80"/>
      <c r="Q540" s="80"/>
    </row>
    <row r="541" spans="1:17" customFormat="1" ht="42.75">
      <c r="A541" t="s">
        <v>239</v>
      </c>
      <c r="B541" t="s">
        <v>240</v>
      </c>
      <c r="C541" t="s">
        <v>1779</v>
      </c>
      <c r="D541" s="5">
        <v>46007</v>
      </c>
      <c r="E541" s="5">
        <v>46007</v>
      </c>
      <c r="F541" s="120" t="s">
        <v>1782</v>
      </c>
      <c r="G541" s="1"/>
      <c r="H541" s="1" t="s">
        <v>264</v>
      </c>
      <c r="I541" s="1" t="s">
        <v>1783</v>
      </c>
      <c r="J541" s="80"/>
      <c r="K541" s="80"/>
      <c r="L541" s="80"/>
      <c r="M541" s="80"/>
      <c r="N541" s="80"/>
      <c r="O541" s="80"/>
      <c r="P541" s="80"/>
      <c r="Q541" s="80"/>
    </row>
    <row r="542" spans="1:17" customFormat="1" ht="42.75">
      <c r="A542" t="s">
        <v>239</v>
      </c>
      <c r="B542" t="s">
        <v>240</v>
      </c>
      <c r="C542" t="s">
        <v>1784</v>
      </c>
      <c r="D542" s="5">
        <v>46008</v>
      </c>
      <c r="E542" s="5">
        <v>46008</v>
      </c>
      <c r="F542" s="120" t="s">
        <v>1785</v>
      </c>
      <c r="G542" s="1"/>
      <c r="H542" s="1" t="s">
        <v>313</v>
      </c>
      <c r="I542" s="1" t="s">
        <v>1786</v>
      </c>
      <c r="J542" s="80"/>
      <c r="K542" s="80"/>
      <c r="L542" s="80"/>
      <c r="M542" s="80"/>
      <c r="N542" s="80"/>
      <c r="O542" s="80"/>
      <c r="P542" s="80"/>
      <c r="Q542" s="80"/>
    </row>
    <row r="543" spans="1:17" customFormat="1" ht="28.5">
      <c r="A543" t="s">
        <v>239</v>
      </c>
      <c r="B543" t="s">
        <v>240</v>
      </c>
      <c r="C543" t="s">
        <v>1787</v>
      </c>
      <c r="D543" s="5">
        <v>46008</v>
      </c>
      <c r="E543" s="5">
        <v>46008</v>
      </c>
      <c r="F543" s="120" t="s">
        <v>1788</v>
      </c>
      <c r="G543" s="1"/>
      <c r="H543" s="1" t="s">
        <v>261</v>
      </c>
      <c r="I543" s="1" t="s">
        <v>1789</v>
      </c>
      <c r="J543" s="80"/>
      <c r="K543" s="80"/>
      <c r="L543" s="80"/>
      <c r="M543" s="80"/>
      <c r="N543" s="80"/>
      <c r="O543" s="80"/>
      <c r="P543" s="80"/>
      <c r="Q543" s="80"/>
    </row>
    <row r="544" spans="1:17" customFormat="1" ht="42.75">
      <c r="A544" t="s">
        <v>239</v>
      </c>
      <c r="B544" t="s">
        <v>240</v>
      </c>
      <c r="C544" t="s">
        <v>1787</v>
      </c>
      <c r="D544" s="5">
        <v>46008</v>
      </c>
      <c r="E544" s="5">
        <v>46008</v>
      </c>
      <c r="F544" s="120" t="s">
        <v>1790</v>
      </c>
      <c r="G544" s="1"/>
      <c r="H544" s="1" t="s">
        <v>433</v>
      </c>
      <c r="I544" s="1" t="s">
        <v>1791</v>
      </c>
      <c r="J544" s="80"/>
      <c r="K544" s="80"/>
      <c r="L544" s="80"/>
      <c r="M544" s="80"/>
      <c r="N544" s="80"/>
      <c r="O544" s="80"/>
      <c r="P544" s="80"/>
      <c r="Q544" s="80"/>
    </row>
    <row r="545" spans="1:17" customFormat="1" ht="28.5">
      <c r="A545" t="s">
        <v>239</v>
      </c>
      <c r="B545" t="s">
        <v>240</v>
      </c>
      <c r="C545" t="s">
        <v>1792</v>
      </c>
      <c r="D545" s="5">
        <v>46008</v>
      </c>
      <c r="E545" s="5">
        <v>46008</v>
      </c>
      <c r="F545" s="120" t="s">
        <v>1793</v>
      </c>
      <c r="G545" s="1"/>
      <c r="H545" s="1" t="s">
        <v>295</v>
      </c>
      <c r="I545" s="1" t="s">
        <v>1794</v>
      </c>
      <c r="J545" s="80"/>
      <c r="K545" s="80"/>
      <c r="L545" s="80"/>
      <c r="M545" s="80"/>
      <c r="N545" s="80"/>
      <c r="O545" s="80"/>
      <c r="P545" s="80"/>
      <c r="Q545" s="80"/>
    </row>
    <row r="546" spans="1:17" customFormat="1" ht="28.5">
      <c r="A546" t="s">
        <v>239</v>
      </c>
      <c r="B546" t="s">
        <v>240</v>
      </c>
      <c r="C546" t="s">
        <v>1795</v>
      </c>
      <c r="D546" s="5">
        <v>46009</v>
      </c>
      <c r="E546" s="5">
        <v>46009</v>
      </c>
      <c r="F546" s="120" t="s">
        <v>1796</v>
      </c>
      <c r="G546" s="1"/>
      <c r="H546" s="1" t="s">
        <v>295</v>
      </c>
      <c r="I546" s="1" t="s">
        <v>1797</v>
      </c>
      <c r="J546" s="80"/>
      <c r="K546" s="80"/>
      <c r="L546" s="80"/>
      <c r="M546" s="80"/>
      <c r="N546" s="80"/>
      <c r="O546" s="80"/>
      <c r="P546" s="80"/>
      <c r="Q546" s="80"/>
    </row>
    <row r="547" spans="1:17" customFormat="1" ht="42.75">
      <c r="A547" t="s">
        <v>239</v>
      </c>
      <c r="B547" t="s">
        <v>240</v>
      </c>
      <c r="C547" t="s">
        <v>1798</v>
      </c>
      <c r="D547" s="5">
        <v>46009</v>
      </c>
      <c r="E547" s="5">
        <v>46009</v>
      </c>
      <c r="F547" s="120" t="s">
        <v>1799</v>
      </c>
      <c r="G547" s="1"/>
      <c r="H547" s="1" t="s">
        <v>254</v>
      </c>
      <c r="I547" s="1" t="s">
        <v>1800</v>
      </c>
      <c r="J547" s="80"/>
      <c r="K547" s="80"/>
      <c r="L547" s="80"/>
      <c r="M547" s="80"/>
      <c r="N547" s="80"/>
      <c r="O547" s="80"/>
      <c r="P547" s="80"/>
      <c r="Q547" s="80"/>
    </row>
    <row r="548" spans="1:17" customFormat="1" ht="42.75">
      <c r="A548" t="s">
        <v>239</v>
      </c>
      <c r="B548" t="s">
        <v>240</v>
      </c>
      <c r="C548" t="s">
        <v>1798</v>
      </c>
      <c r="D548" s="5">
        <v>46009</v>
      </c>
      <c r="E548" s="5">
        <v>46009</v>
      </c>
      <c r="F548" s="120" t="s">
        <v>1801</v>
      </c>
      <c r="G548" s="1"/>
      <c r="H548" s="1" t="s">
        <v>1170</v>
      </c>
      <c r="I548" s="1" t="s">
        <v>1802</v>
      </c>
      <c r="J548" s="80"/>
      <c r="K548" s="80"/>
      <c r="L548" s="80"/>
      <c r="M548" s="80"/>
      <c r="N548" s="80"/>
      <c r="O548" s="80"/>
      <c r="P548" s="80"/>
      <c r="Q548" s="80"/>
    </row>
    <row r="549" spans="1:17" customFormat="1" ht="42.75">
      <c r="A549" t="s">
        <v>239</v>
      </c>
      <c r="B549" t="s">
        <v>240</v>
      </c>
      <c r="C549" t="s">
        <v>1803</v>
      </c>
      <c r="D549" s="5">
        <v>46009</v>
      </c>
      <c r="E549" s="5">
        <v>46009</v>
      </c>
      <c r="F549" s="120" t="s">
        <v>1804</v>
      </c>
      <c r="G549" s="1"/>
      <c r="H549" s="1" t="s">
        <v>261</v>
      </c>
      <c r="I549" s="1" t="s">
        <v>1805</v>
      </c>
      <c r="J549" s="80"/>
      <c r="K549" s="80"/>
      <c r="L549" s="80"/>
      <c r="M549" s="80"/>
      <c r="N549" s="80"/>
      <c r="O549" s="80"/>
      <c r="P549" s="80"/>
      <c r="Q549" s="80"/>
    </row>
    <row r="550" spans="1:17" customFormat="1" ht="42.75">
      <c r="A550" t="s">
        <v>239</v>
      </c>
      <c r="B550" t="s">
        <v>240</v>
      </c>
      <c r="C550" t="s">
        <v>1803</v>
      </c>
      <c r="D550" s="5">
        <v>46009</v>
      </c>
      <c r="E550" s="5">
        <v>46009</v>
      </c>
      <c r="F550" s="120" t="s">
        <v>1806</v>
      </c>
      <c r="G550" s="1"/>
      <c r="H550" s="1" t="s">
        <v>1807</v>
      </c>
      <c r="I550" s="1" t="s">
        <v>1808</v>
      </c>
      <c r="J550" s="80"/>
      <c r="K550" s="80"/>
      <c r="L550" s="80"/>
      <c r="M550" s="80"/>
      <c r="N550" s="80"/>
      <c r="O550" s="80"/>
      <c r="P550" s="80"/>
      <c r="Q550" s="80"/>
    </row>
    <row r="551" spans="1:17" customFormat="1" ht="42.75">
      <c r="A551" t="s">
        <v>239</v>
      </c>
      <c r="B551" t="s">
        <v>240</v>
      </c>
      <c r="C551" t="s">
        <v>1809</v>
      </c>
      <c r="D551" s="5">
        <v>46009</v>
      </c>
      <c r="E551" s="5">
        <v>46009</v>
      </c>
      <c r="F551" s="120" t="s">
        <v>1810</v>
      </c>
      <c r="G551" s="1"/>
      <c r="H551" s="1" t="s">
        <v>261</v>
      </c>
      <c r="I551" s="1" t="s">
        <v>1811</v>
      </c>
      <c r="J551" s="80"/>
      <c r="K551" s="80"/>
      <c r="L551" s="80"/>
      <c r="M551" s="80"/>
      <c r="N551" s="80"/>
      <c r="O551" s="80"/>
      <c r="P551" s="80"/>
      <c r="Q551" s="80"/>
    </row>
    <row r="552" spans="1:17" customFormat="1" ht="42.75">
      <c r="A552" t="s">
        <v>239</v>
      </c>
      <c r="B552" t="s">
        <v>240</v>
      </c>
      <c r="C552" t="s">
        <v>1809</v>
      </c>
      <c r="D552" s="5">
        <v>46009</v>
      </c>
      <c r="E552" s="5">
        <v>46009</v>
      </c>
      <c r="F552" s="120" t="s">
        <v>1812</v>
      </c>
      <c r="G552" s="1"/>
      <c r="H552" s="1" t="s">
        <v>1813</v>
      </c>
      <c r="I552" s="1" t="s">
        <v>1814</v>
      </c>
      <c r="J552" s="80"/>
      <c r="K552" s="80"/>
      <c r="L552" s="80"/>
      <c r="M552" s="80"/>
      <c r="N552" s="80"/>
      <c r="O552" s="80"/>
      <c r="P552" s="80"/>
      <c r="Q552" s="80"/>
    </row>
    <row r="553" spans="1:17" customFormat="1" ht="42.75">
      <c r="A553" t="s">
        <v>239</v>
      </c>
      <c r="B553" t="s">
        <v>240</v>
      </c>
      <c r="C553" t="s">
        <v>1815</v>
      </c>
      <c r="D553" s="5">
        <v>46009</v>
      </c>
      <c r="E553" s="5">
        <v>46009</v>
      </c>
      <c r="F553" s="120" t="s">
        <v>1816</v>
      </c>
      <c r="G553" s="1"/>
      <c r="H553" s="1" t="s">
        <v>261</v>
      </c>
      <c r="I553" s="1" t="s">
        <v>1817</v>
      </c>
      <c r="J553" s="80"/>
      <c r="K553" s="80"/>
      <c r="L553" s="80"/>
      <c r="M553" s="80"/>
      <c r="N553" s="80"/>
      <c r="O553" s="80"/>
      <c r="P553" s="80"/>
      <c r="Q553" s="80"/>
    </row>
    <row r="554" spans="1:17" customFormat="1" ht="42.75">
      <c r="A554" t="s">
        <v>239</v>
      </c>
      <c r="B554" t="s">
        <v>240</v>
      </c>
      <c r="C554" t="s">
        <v>1815</v>
      </c>
      <c r="D554" s="5">
        <v>46009</v>
      </c>
      <c r="E554" s="5">
        <v>46009</v>
      </c>
      <c r="F554" s="120" t="s">
        <v>1818</v>
      </c>
      <c r="G554" s="1"/>
      <c r="H554" s="1" t="s">
        <v>1807</v>
      </c>
      <c r="I554" s="1" t="s">
        <v>1819</v>
      </c>
      <c r="J554" s="80"/>
      <c r="K554" s="80"/>
      <c r="L554" s="80"/>
      <c r="M554" s="80"/>
      <c r="N554" s="80"/>
      <c r="O554" s="80"/>
      <c r="P554" s="80"/>
      <c r="Q554" s="80"/>
    </row>
    <row r="555" spans="1:17" customFormat="1" ht="42.75">
      <c r="A555" t="s">
        <v>239</v>
      </c>
      <c r="B555" t="s">
        <v>240</v>
      </c>
      <c r="C555" t="s">
        <v>1820</v>
      </c>
      <c r="D555" s="5">
        <v>46009</v>
      </c>
      <c r="E555" s="5">
        <v>46009</v>
      </c>
      <c r="F555" s="120" t="s">
        <v>1821</v>
      </c>
      <c r="G555" s="1"/>
      <c r="H555" s="1" t="s">
        <v>261</v>
      </c>
      <c r="I555" s="1" t="s">
        <v>1822</v>
      </c>
      <c r="J555" s="80"/>
      <c r="K555" s="80"/>
      <c r="L555" s="80"/>
      <c r="M555" s="80"/>
      <c r="N555" s="80"/>
      <c r="O555" s="80"/>
      <c r="P555" s="80"/>
      <c r="Q555" s="80"/>
    </row>
    <row r="556" spans="1:17" customFormat="1" ht="42.75">
      <c r="A556" t="s">
        <v>239</v>
      </c>
      <c r="B556" t="s">
        <v>240</v>
      </c>
      <c r="C556" t="s">
        <v>1820</v>
      </c>
      <c r="D556" s="5">
        <v>46009</v>
      </c>
      <c r="E556" s="5">
        <v>46009</v>
      </c>
      <c r="F556" s="120" t="s">
        <v>1823</v>
      </c>
      <c r="G556" s="1"/>
      <c r="H556" s="1" t="s">
        <v>1807</v>
      </c>
      <c r="I556" s="1" t="s">
        <v>1824</v>
      </c>
      <c r="J556" s="80"/>
      <c r="K556" s="80"/>
      <c r="L556" s="80"/>
      <c r="M556" s="80"/>
      <c r="N556" s="80"/>
      <c r="O556" s="80"/>
      <c r="P556" s="80"/>
      <c r="Q556" s="80"/>
    </row>
    <row r="557" spans="1:17" customFormat="1" ht="42.75">
      <c r="A557" t="s">
        <v>239</v>
      </c>
      <c r="B557" t="s">
        <v>240</v>
      </c>
      <c r="C557" t="s">
        <v>1825</v>
      </c>
      <c r="D557" s="5">
        <v>46009</v>
      </c>
      <c r="E557" s="5">
        <v>46009</v>
      </c>
      <c r="F557" s="120" t="s">
        <v>1826</v>
      </c>
      <c r="G557" s="1"/>
      <c r="H557" s="1" t="s">
        <v>261</v>
      </c>
      <c r="I557" s="1" t="s">
        <v>1827</v>
      </c>
      <c r="J557" s="80"/>
      <c r="K557" s="80"/>
      <c r="L557" s="80"/>
      <c r="M557" s="80"/>
      <c r="N557" s="80"/>
      <c r="O557" s="80"/>
      <c r="P557" s="80"/>
      <c r="Q557" s="80"/>
    </row>
    <row r="558" spans="1:17" customFormat="1" ht="42.75">
      <c r="A558" t="s">
        <v>239</v>
      </c>
      <c r="B558" t="s">
        <v>240</v>
      </c>
      <c r="C558" t="s">
        <v>1825</v>
      </c>
      <c r="D558" s="5">
        <v>46009</v>
      </c>
      <c r="E558" s="5">
        <v>46009</v>
      </c>
      <c r="F558" s="120" t="s">
        <v>1828</v>
      </c>
      <c r="G558" s="1"/>
      <c r="H558" s="1" t="s">
        <v>1103</v>
      </c>
      <c r="I558" s="1" t="s">
        <v>1829</v>
      </c>
      <c r="J558" s="80"/>
      <c r="K558" s="80"/>
      <c r="L558" s="80"/>
      <c r="M558" s="80"/>
      <c r="N558" s="80"/>
      <c r="O558" s="80"/>
      <c r="P558" s="80"/>
      <c r="Q558" s="80"/>
    </row>
    <row r="559" spans="1:17" customFormat="1" ht="42.75">
      <c r="A559" t="s">
        <v>239</v>
      </c>
      <c r="B559" t="s">
        <v>240</v>
      </c>
      <c r="C559" t="s">
        <v>1830</v>
      </c>
      <c r="D559" s="5">
        <v>46009</v>
      </c>
      <c r="E559" s="5">
        <v>46009</v>
      </c>
      <c r="F559" s="120" t="s">
        <v>1831</v>
      </c>
      <c r="G559" s="1"/>
      <c r="H559" s="1" t="s">
        <v>261</v>
      </c>
      <c r="I559" s="1" t="s">
        <v>1832</v>
      </c>
      <c r="J559" s="80"/>
      <c r="K559" s="80"/>
      <c r="L559" s="80"/>
      <c r="M559" s="80"/>
      <c r="N559" s="80"/>
      <c r="O559" s="80"/>
      <c r="P559" s="80"/>
      <c r="Q559" s="80"/>
    </row>
    <row r="560" spans="1:17" customFormat="1" ht="42.75">
      <c r="A560" t="s">
        <v>239</v>
      </c>
      <c r="B560" t="s">
        <v>240</v>
      </c>
      <c r="C560" t="s">
        <v>1830</v>
      </c>
      <c r="D560" s="5">
        <v>46009</v>
      </c>
      <c r="E560" s="5">
        <v>46009</v>
      </c>
      <c r="F560" s="120" t="s">
        <v>1833</v>
      </c>
      <c r="G560" s="1"/>
      <c r="H560" s="1" t="s">
        <v>1144</v>
      </c>
      <c r="I560" s="1" t="s">
        <v>1834</v>
      </c>
      <c r="J560" s="80"/>
      <c r="K560" s="80"/>
      <c r="L560" s="80"/>
      <c r="M560" s="80"/>
      <c r="N560" s="80"/>
      <c r="O560" s="80"/>
      <c r="P560" s="80"/>
      <c r="Q560" s="80"/>
    </row>
    <row r="561" spans="1:17" customFormat="1" ht="42.75">
      <c r="A561" t="s">
        <v>239</v>
      </c>
      <c r="B561" t="s">
        <v>240</v>
      </c>
      <c r="C561" t="s">
        <v>1835</v>
      </c>
      <c r="D561" s="5">
        <v>46009</v>
      </c>
      <c r="E561" s="5">
        <v>46009</v>
      </c>
      <c r="F561" s="120" t="s">
        <v>1836</v>
      </c>
      <c r="G561" s="1"/>
      <c r="H561" s="1" t="s">
        <v>261</v>
      </c>
      <c r="I561" s="1" t="s">
        <v>1837</v>
      </c>
      <c r="J561" s="80"/>
      <c r="K561" s="80"/>
      <c r="L561" s="80"/>
      <c r="M561" s="80"/>
      <c r="N561" s="80"/>
      <c r="O561" s="80"/>
      <c r="P561" s="80"/>
      <c r="Q561" s="80"/>
    </row>
    <row r="562" spans="1:17" customFormat="1" ht="42.75">
      <c r="A562" t="s">
        <v>239</v>
      </c>
      <c r="B562" t="s">
        <v>240</v>
      </c>
      <c r="C562" t="s">
        <v>1835</v>
      </c>
      <c r="D562" s="5">
        <v>46009</v>
      </c>
      <c r="E562" s="5">
        <v>46009</v>
      </c>
      <c r="F562" s="120" t="s">
        <v>1838</v>
      </c>
      <c r="G562" s="1"/>
      <c r="H562" s="1" t="s">
        <v>1839</v>
      </c>
      <c r="I562" s="1" t="s">
        <v>1840</v>
      </c>
      <c r="J562" s="80"/>
      <c r="K562" s="80"/>
      <c r="L562" s="80"/>
      <c r="M562" s="80"/>
      <c r="N562" s="80"/>
      <c r="O562" s="80"/>
      <c r="P562" s="80"/>
      <c r="Q562" s="80"/>
    </row>
    <row r="563" spans="1:17" customFormat="1" ht="28.5">
      <c r="A563" t="s">
        <v>239</v>
      </c>
      <c r="B563" t="s">
        <v>240</v>
      </c>
      <c r="C563" t="s">
        <v>1841</v>
      </c>
      <c r="D563" s="5">
        <v>46010</v>
      </c>
      <c r="E563" s="5">
        <v>46010</v>
      </c>
      <c r="F563" s="120" t="s">
        <v>1842</v>
      </c>
      <c r="G563" s="1"/>
      <c r="H563" s="1" t="s">
        <v>261</v>
      </c>
      <c r="I563" s="1" t="s">
        <v>1843</v>
      </c>
      <c r="J563" s="80"/>
      <c r="K563" s="80"/>
      <c r="L563" s="80"/>
      <c r="M563" s="80"/>
      <c r="N563" s="80"/>
      <c r="O563" s="80"/>
      <c r="P563" s="80"/>
      <c r="Q563" s="80"/>
    </row>
    <row r="564" spans="1:17" customFormat="1" ht="28.5">
      <c r="A564" t="s">
        <v>239</v>
      </c>
      <c r="B564" t="s">
        <v>240</v>
      </c>
      <c r="C564" t="s">
        <v>1841</v>
      </c>
      <c r="D564" s="5">
        <v>46010</v>
      </c>
      <c r="E564" s="5">
        <v>46010</v>
      </c>
      <c r="F564" s="120" t="s">
        <v>1844</v>
      </c>
      <c r="G564" s="1"/>
      <c r="H564" s="1" t="s">
        <v>1364</v>
      </c>
      <c r="I564" s="1" t="s">
        <v>1845</v>
      </c>
      <c r="J564" s="80"/>
      <c r="K564" s="80"/>
      <c r="L564" s="80"/>
      <c r="M564" s="80"/>
      <c r="N564" s="80"/>
      <c r="O564" s="80"/>
      <c r="P564" s="80"/>
      <c r="Q564" s="80"/>
    </row>
    <row r="565" spans="1:17" customFormat="1" ht="28.5">
      <c r="A565" t="s">
        <v>239</v>
      </c>
      <c r="B565" t="s">
        <v>240</v>
      </c>
      <c r="C565" t="s">
        <v>1846</v>
      </c>
      <c r="D565" s="5">
        <v>46011</v>
      </c>
      <c r="E565" s="5">
        <v>46011</v>
      </c>
      <c r="F565" s="120" t="s">
        <v>1847</v>
      </c>
      <c r="G565" s="1" t="s">
        <v>1557</v>
      </c>
      <c r="H565" s="1"/>
      <c r="I565" s="1" t="s">
        <v>1848</v>
      </c>
      <c r="J565" s="80"/>
      <c r="K565" s="80"/>
      <c r="L565" s="80"/>
      <c r="M565" s="80"/>
      <c r="N565" s="80"/>
      <c r="O565" s="80"/>
      <c r="P565" s="80"/>
      <c r="Q565" s="80"/>
    </row>
    <row r="566" spans="1:17" customFormat="1" ht="28.5">
      <c r="A566" t="s">
        <v>239</v>
      </c>
      <c r="B566" t="s">
        <v>240</v>
      </c>
      <c r="C566" t="s">
        <v>1849</v>
      </c>
      <c r="D566" s="5">
        <v>46011</v>
      </c>
      <c r="E566" s="5">
        <v>46011</v>
      </c>
      <c r="F566" s="120" t="s">
        <v>1850</v>
      </c>
      <c r="G566" s="1"/>
      <c r="H566" s="1" t="s">
        <v>527</v>
      </c>
      <c r="I566" s="1" t="s">
        <v>1851</v>
      </c>
      <c r="J566" s="80"/>
      <c r="K566" s="80"/>
      <c r="L566" s="80"/>
      <c r="M566" s="80"/>
      <c r="N566" s="80"/>
      <c r="O566" s="80"/>
      <c r="P566" s="80"/>
      <c r="Q566" s="80"/>
    </row>
    <row r="567" spans="1:17" customFormat="1" ht="42.75">
      <c r="A567" t="s">
        <v>239</v>
      </c>
      <c r="B567" t="s">
        <v>240</v>
      </c>
      <c r="C567" t="s">
        <v>1852</v>
      </c>
      <c r="D567" s="5">
        <v>46011</v>
      </c>
      <c r="E567" s="5">
        <v>46011</v>
      </c>
      <c r="F567" s="120" t="s">
        <v>1853</v>
      </c>
      <c r="G567" s="1"/>
      <c r="H567" s="1" t="s">
        <v>261</v>
      </c>
      <c r="I567" s="1" t="s">
        <v>1854</v>
      </c>
      <c r="J567" s="80"/>
      <c r="K567" s="80"/>
      <c r="L567" s="80"/>
      <c r="M567" s="80"/>
      <c r="N567" s="80"/>
      <c r="O567" s="80"/>
      <c r="P567" s="80"/>
      <c r="Q567" s="80"/>
    </row>
    <row r="568" spans="1:17" customFormat="1" ht="42.75">
      <c r="A568" t="s">
        <v>239</v>
      </c>
      <c r="B568" t="s">
        <v>240</v>
      </c>
      <c r="C568" t="s">
        <v>1852</v>
      </c>
      <c r="D568" s="5">
        <v>46011</v>
      </c>
      <c r="E568" s="5">
        <v>46011</v>
      </c>
      <c r="F568" s="120" t="s">
        <v>1855</v>
      </c>
      <c r="G568" s="1"/>
      <c r="H568" s="1" t="s">
        <v>1856</v>
      </c>
      <c r="I568" s="1" t="s">
        <v>1857</v>
      </c>
      <c r="J568" s="80"/>
      <c r="K568" s="80"/>
      <c r="L568" s="80"/>
      <c r="M568" s="80"/>
      <c r="N568" s="80"/>
      <c r="O568" s="80"/>
      <c r="P568" s="80"/>
      <c r="Q568" s="80"/>
    </row>
    <row r="569" spans="1:17" customFormat="1" ht="42.75">
      <c r="A569" t="s">
        <v>239</v>
      </c>
      <c r="B569" t="s">
        <v>240</v>
      </c>
      <c r="C569" t="s">
        <v>1858</v>
      </c>
      <c r="D569" s="5">
        <v>46011</v>
      </c>
      <c r="E569" s="5">
        <v>46011</v>
      </c>
      <c r="F569" s="120" t="s">
        <v>1859</v>
      </c>
      <c r="G569" s="1"/>
      <c r="H569" s="1" t="s">
        <v>261</v>
      </c>
      <c r="I569" s="1" t="s">
        <v>1860</v>
      </c>
      <c r="J569" s="80"/>
      <c r="K569" s="80"/>
      <c r="L569" s="80"/>
      <c r="M569" s="80"/>
      <c r="N569" s="80"/>
      <c r="O569" s="80"/>
      <c r="P569" s="80"/>
      <c r="Q569" s="80"/>
    </row>
    <row r="570" spans="1:17" customFormat="1" ht="42.75">
      <c r="A570" t="s">
        <v>239</v>
      </c>
      <c r="B570" t="s">
        <v>240</v>
      </c>
      <c r="C570" t="s">
        <v>1858</v>
      </c>
      <c r="D570" s="5">
        <v>46011</v>
      </c>
      <c r="E570" s="5">
        <v>46011</v>
      </c>
      <c r="F570" s="120" t="s">
        <v>1861</v>
      </c>
      <c r="G570" s="1"/>
      <c r="H570" s="1" t="s">
        <v>1862</v>
      </c>
      <c r="I570" s="1" t="s">
        <v>1863</v>
      </c>
      <c r="J570" s="80"/>
      <c r="K570" s="80"/>
      <c r="L570" s="80"/>
      <c r="M570" s="80"/>
      <c r="N570" s="80"/>
      <c r="O570" s="80"/>
      <c r="P570" s="80"/>
      <c r="Q570" s="80"/>
    </row>
    <row r="571" spans="1:17" customFormat="1" ht="42.75">
      <c r="A571" t="s">
        <v>239</v>
      </c>
      <c r="B571" t="s">
        <v>240</v>
      </c>
      <c r="C571" t="s">
        <v>1864</v>
      </c>
      <c r="D571" s="5">
        <v>46011</v>
      </c>
      <c r="E571" s="5">
        <v>46011</v>
      </c>
      <c r="F571" s="120" t="s">
        <v>1865</v>
      </c>
      <c r="G571" s="1"/>
      <c r="H571" s="1" t="s">
        <v>261</v>
      </c>
      <c r="I571" s="1" t="s">
        <v>1866</v>
      </c>
      <c r="J571" s="80"/>
      <c r="K571" s="80"/>
      <c r="L571" s="80"/>
      <c r="M571" s="80"/>
      <c r="N571" s="80"/>
      <c r="O571" s="80"/>
      <c r="P571" s="80"/>
      <c r="Q571" s="80"/>
    </row>
    <row r="572" spans="1:17" customFormat="1" ht="42.75">
      <c r="A572" t="s">
        <v>239</v>
      </c>
      <c r="B572" t="s">
        <v>240</v>
      </c>
      <c r="C572" t="s">
        <v>1864</v>
      </c>
      <c r="D572" s="5">
        <v>46011</v>
      </c>
      <c r="E572" s="5">
        <v>46011</v>
      </c>
      <c r="F572" s="120" t="s">
        <v>1867</v>
      </c>
      <c r="G572" s="1"/>
      <c r="H572" s="1" t="s">
        <v>1862</v>
      </c>
      <c r="I572" s="1" t="s">
        <v>1868</v>
      </c>
      <c r="J572" s="80"/>
      <c r="K572" s="80"/>
      <c r="L572" s="80"/>
      <c r="M572" s="80"/>
      <c r="N572" s="80"/>
      <c r="O572" s="80"/>
      <c r="P572" s="80"/>
      <c r="Q572" s="80"/>
    </row>
    <row r="573" spans="1:17" customFormat="1" ht="42.75">
      <c r="A573" t="s">
        <v>239</v>
      </c>
      <c r="B573" t="s">
        <v>240</v>
      </c>
      <c r="C573" t="s">
        <v>1869</v>
      </c>
      <c r="D573" s="5">
        <v>46011</v>
      </c>
      <c r="E573" s="5">
        <v>46011</v>
      </c>
      <c r="F573" s="120" t="s">
        <v>1870</v>
      </c>
      <c r="G573" s="1"/>
      <c r="H573" s="1" t="s">
        <v>261</v>
      </c>
      <c r="I573" s="1" t="s">
        <v>1871</v>
      </c>
      <c r="J573" s="80"/>
      <c r="K573" s="80"/>
      <c r="L573" s="80"/>
      <c r="M573" s="80"/>
      <c r="N573" s="80"/>
      <c r="O573" s="80"/>
      <c r="P573" s="80"/>
      <c r="Q573" s="80"/>
    </row>
    <row r="574" spans="1:17" customFormat="1" ht="42.75">
      <c r="A574" t="s">
        <v>239</v>
      </c>
      <c r="B574" t="s">
        <v>240</v>
      </c>
      <c r="C574" t="s">
        <v>1869</v>
      </c>
      <c r="D574" s="5">
        <v>46011</v>
      </c>
      <c r="E574" s="5">
        <v>46011</v>
      </c>
      <c r="F574" s="120" t="s">
        <v>1872</v>
      </c>
      <c r="G574" s="1"/>
      <c r="H574" s="1" t="s">
        <v>1862</v>
      </c>
      <c r="I574" s="1" t="s">
        <v>1873</v>
      </c>
      <c r="J574" s="80"/>
      <c r="K574" s="80"/>
      <c r="L574" s="80"/>
      <c r="M574" s="80"/>
      <c r="N574" s="80"/>
      <c r="O574" s="80"/>
      <c r="P574" s="80"/>
      <c r="Q574" s="80"/>
    </row>
    <row r="575" spans="1:17" customFormat="1" ht="28.5">
      <c r="A575" t="s">
        <v>239</v>
      </c>
      <c r="B575" t="s">
        <v>240</v>
      </c>
      <c r="C575" t="s">
        <v>1874</v>
      </c>
      <c r="D575" s="5">
        <v>46012</v>
      </c>
      <c r="E575" s="5">
        <v>46012</v>
      </c>
      <c r="F575" s="120" t="s">
        <v>1875</v>
      </c>
      <c r="G575" s="1"/>
      <c r="H575" s="1" t="s">
        <v>261</v>
      </c>
      <c r="I575" s="1" t="s">
        <v>1876</v>
      </c>
      <c r="J575" s="80"/>
      <c r="K575" s="80"/>
      <c r="L575" s="80"/>
      <c r="M575" s="80"/>
      <c r="N575" s="80"/>
      <c r="O575" s="80"/>
      <c r="P575" s="80"/>
      <c r="Q575" s="80"/>
    </row>
    <row r="576" spans="1:17" customFormat="1" ht="42.75">
      <c r="A576" t="s">
        <v>239</v>
      </c>
      <c r="B576" t="s">
        <v>240</v>
      </c>
      <c r="C576" t="s">
        <v>1874</v>
      </c>
      <c r="D576" s="5">
        <v>46012</v>
      </c>
      <c r="E576" s="5">
        <v>46012</v>
      </c>
      <c r="F576" s="120" t="s">
        <v>1877</v>
      </c>
      <c r="G576" s="1"/>
      <c r="H576" s="1" t="s">
        <v>1878</v>
      </c>
      <c r="I576" s="1" t="s">
        <v>1879</v>
      </c>
      <c r="J576" s="80"/>
      <c r="K576" s="80"/>
      <c r="L576" s="80"/>
      <c r="M576" s="80"/>
      <c r="N576" s="80"/>
      <c r="O576" s="80"/>
      <c r="P576" s="80"/>
      <c r="Q576" s="80"/>
    </row>
    <row r="577" spans="1:17" customFormat="1" ht="42.75">
      <c r="A577" t="s">
        <v>239</v>
      </c>
      <c r="B577" t="s">
        <v>240</v>
      </c>
      <c r="C577" t="s">
        <v>1880</v>
      </c>
      <c r="D577" s="5">
        <v>46012</v>
      </c>
      <c r="E577" s="5">
        <v>46012</v>
      </c>
      <c r="F577" s="120" t="s">
        <v>1881</v>
      </c>
      <c r="G577" s="1"/>
      <c r="H577" s="1" t="s">
        <v>295</v>
      </c>
      <c r="I577" s="1" t="s">
        <v>1882</v>
      </c>
      <c r="J577" s="80"/>
      <c r="K577" s="80"/>
      <c r="L577" s="80"/>
      <c r="M577" s="80"/>
      <c r="N577" s="80"/>
      <c r="O577" s="80"/>
      <c r="P577" s="80"/>
      <c r="Q577" s="80"/>
    </row>
    <row r="578" spans="1:17" customFormat="1" ht="28.5">
      <c r="A578" t="s">
        <v>239</v>
      </c>
      <c r="B578" t="s">
        <v>240</v>
      </c>
      <c r="C578" t="s">
        <v>1883</v>
      </c>
      <c r="D578" s="5">
        <v>46012</v>
      </c>
      <c r="E578" s="5">
        <v>46012</v>
      </c>
      <c r="F578" s="120" t="s">
        <v>1884</v>
      </c>
      <c r="G578" s="1"/>
      <c r="H578" s="1" t="s">
        <v>254</v>
      </c>
      <c r="I578" s="1" t="s">
        <v>1885</v>
      </c>
      <c r="J578" s="80"/>
      <c r="K578" s="80"/>
      <c r="L578" s="80"/>
      <c r="M578" s="80"/>
      <c r="N578" s="80"/>
      <c r="O578" s="80"/>
      <c r="P578" s="80"/>
      <c r="Q578" s="80"/>
    </row>
    <row r="579" spans="1:17" customFormat="1" ht="28.5">
      <c r="A579" t="s">
        <v>239</v>
      </c>
      <c r="B579" t="s">
        <v>240</v>
      </c>
      <c r="C579" t="s">
        <v>1883</v>
      </c>
      <c r="D579" s="5">
        <v>46012</v>
      </c>
      <c r="E579" s="5">
        <v>46012</v>
      </c>
      <c r="F579" s="120" t="s">
        <v>1886</v>
      </c>
      <c r="G579" s="1"/>
      <c r="H579" s="1" t="s">
        <v>257</v>
      </c>
      <c r="I579" s="1" t="s">
        <v>1887</v>
      </c>
      <c r="J579" s="80"/>
      <c r="K579" s="80"/>
      <c r="L579" s="80"/>
      <c r="M579" s="80"/>
      <c r="N579" s="80"/>
      <c r="O579" s="80"/>
      <c r="P579" s="80"/>
      <c r="Q579" s="80"/>
    </row>
    <row r="580" spans="1:17" customFormat="1" ht="28.5">
      <c r="A580" t="s">
        <v>239</v>
      </c>
      <c r="B580" t="s">
        <v>240</v>
      </c>
      <c r="C580" t="s">
        <v>1888</v>
      </c>
      <c r="D580" s="5">
        <v>46012</v>
      </c>
      <c r="E580" s="5">
        <v>46012</v>
      </c>
      <c r="F580" s="120" t="s">
        <v>1889</v>
      </c>
      <c r="G580" s="1"/>
      <c r="H580" s="1" t="s">
        <v>254</v>
      </c>
      <c r="I580" s="1" t="s">
        <v>1890</v>
      </c>
      <c r="J580" s="80"/>
      <c r="K580" s="80"/>
      <c r="L580" s="80"/>
      <c r="M580" s="80"/>
      <c r="N580" s="80"/>
      <c r="O580" s="80"/>
      <c r="P580" s="80"/>
      <c r="Q580" s="80"/>
    </row>
    <row r="581" spans="1:17" customFormat="1" ht="28.5">
      <c r="A581" t="s">
        <v>239</v>
      </c>
      <c r="B581" t="s">
        <v>240</v>
      </c>
      <c r="C581" t="s">
        <v>1888</v>
      </c>
      <c r="D581" s="5">
        <v>46012</v>
      </c>
      <c r="E581" s="5">
        <v>46012</v>
      </c>
      <c r="F581" s="120" t="s">
        <v>1891</v>
      </c>
      <c r="G581" s="1"/>
      <c r="H581" s="1" t="s">
        <v>250</v>
      </c>
      <c r="I581" s="1" t="s">
        <v>1892</v>
      </c>
      <c r="J581" s="80"/>
      <c r="K581" s="80"/>
      <c r="L581" s="80"/>
      <c r="M581" s="80"/>
      <c r="N581" s="80"/>
      <c r="O581" s="80"/>
      <c r="P581" s="80"/>
      <c r="Q581" s="80"/>
    </row>
    <row r="582" spans="1:17" customFormat="1" ht="28.5">
      <c r="A582" t="s">
        <v>239</v>
      </c>
      <c r="B582" t="s">
        <v>240</v>
      </c>
      <c r="C582" t="s">
        <v>1893</v>
      </c>
      <c r="D582" s="5">
        <v>46012</v>
      </c>
      <c r="E582" s="5">
        <v>46012</v>
      </c>
      <c r="F582" s="120" t="s">
        <v>1232</v>
      </c>
      <c r="G582" s="1"/>
      <c r="H582" s="1" t="s">
        <v>295</v>
      </c>
      <c r="I582" s="1" t="s">
        <v>1894</v>
      </c>
      <c r="J582" s="80"/>
      <c r="K582" s="80"/>
      <c r="L582" s="80"/>
      <c r="M582" s="80"/>
      <c r="N582" s="80"/>
      <c r="O582" s="80"/>
      <c r="P582" s="80"/>
      <c r="Q582" s="80"/>
    </row>
    <row r="583" spans="1:17" customFormat="1" ht="42.75">
      <c r="A583" t="s">
        <v>239</v>
      </c>
      <c r="B583" t="s">
        <v>240</v>
      </c>
      <c r="C583" t="s">
        <v>1895</v>
      </c>
      <c r="D583" s="5">
        <v>46013</v>
      </c>
      <c r="E583" s="5">
        <v>46013</v>
      </c>
      <c r="F583" s="120" t="s">
        <v>1896</v>
      </c>
      <c r="G583" s="1"/>
      <c r="H583" s="1" t="s">
        <v>295</v>
      </c>
      <c r="I583" s="1" t="s">
        <v>1897</v>
      </c>
      <c r="J583" s="80"/>
      <c r="K583" s="80"/>
      <c r="L583" s="80"/>
      <c r="M583" s="80"/>
      <c r="N583" s="80"/>
      <c r="O583" s="80"/>
      <c r="P583" s="80"/>
      <c r="Q583" s="80"/>
    </row>
    <row r="584" spans="1:17" customFormat="1" ht="28.5">
      <c r="A584" t="s">
        <v>239</v>
      </c>
      <c r="B584" t="s">
        <v>240</v>
      </c>
      <c r="C584" t="s">
        <v>1898</v>
      </c>
      <c r="D584" s="5">
        <v>46013</v>
      </c>
      <c r="E584" s="5">
        <v>46013</v>
      </c>
      <c r="F584" s="120" t="s">
        <v>1899</v>
      </c>
      <c r="G584" s="1"/>
      <c r="H584" s="1" t="s">
        <v>261</v>
      </c>
      <c r="I584" s="1" t="s">
        <v>1900</v>
      </c>
      <c r="J584" s="80"/>
      <c r="K584" s="80"/>
      <c r="L584" s="80"/>
      <c r="M584" s="80"/>
      <c r="N584" s="80"/>
      <c r="O584" s="80"/>
      <c r="P584" s="80"/>
      <c r="Q584" s="80"/>
    </row>
    <row r="585" spans="1:17" customFormat="1" ht="28.5">
      <c r="A585" t="s">
        <v>239</v>
      </c>
      <c r="B585" t="s">
        <v>240</v>
      </c>
      <c r="C585" t="s">
        <v>1898</v>
      </c>
      <c r="D585" s="5">
        <v>46013</v>
      </c>
      <c r="E585" s="5">
        <v>46013</v>
      </c>
      <c r="F585" s="120" t="s">
        <v>1901</v>
      </c>
      <c r="G585" s="1"/>
      <c r="H585" s="1" t="s">
        <v>630</v>
      </c>
      <c r="I585" s="1" t="s">
        <v>1902</v>
      </c>
      <c r="J585" s="80"/>
      <c r="K585" s="80"/>
      <c r="L585" s="80"/>
      <c r="M585" s="80"/>
      <c r="N585" s="80"/>
      <c r="O585" s="80"/>
      <c r="P585" s="80"/>
      <c r="Q585" s="80"/>
    </row>
    <row r="586" spans="1:17" customFormat="1" ht="28.5">
      <c r="A586" t="s">
        <v>239</v>
      </c>
      <c r="B586" t="s">
        <v>240</v>
      </c>
      <c r="C586" t="s">
        <v>1903</v>
      </c>
      <c r="D586" s="5">
        <v>46013</v>
      </c>
      <c r="E586" s="5">
        <v>46013</v>
      </c>
      <c r="F586" s="120" t="s">
        <v>1904</v>
      </c>
      <c r="G586" s="1"/>
      <c r="H586" s="1" t="s">
        <v>261</v>
      </c>
      <c r="I586" s="1" t="s">
        <v>1905</v>
      </c>
      <c r="J586" s="80"/>
      <c r="K586" s="80"/>
      <c r="L586" s="80"/>
      <c r="M586" s="80"/>
      <c r="N586" s="80"/>
      <c r="O586" s="80"/>
      <c r="P586" s="80"/>
      <c r="Q586" s="80"/>
    </row>
    <row r="587" spans="1:17" customFormat="1" ht="28.5">
      <c r="A587" t="s">
        <v>239</v>
      </c>
      <c r="B587" t="s">
        <v>240</v>
      </c>
      <c r="C587" t="s">
        <v>1903</v>
      </c>
      <c r="D587" s="5">
        <v>46013</v>
      </c>
      <c r="E587" s="5">
        <v>46013</v>
      </c>
      <c r="F587" s="120" t="s">
        <v>1906</v>
      </c>
      <c r="G587" s="1"/>
      <c r="H587" s="1" t="s">
        <v>1097</v>
      </c>
      <c r="I587" s="1" t="s">
        <v>1907</v>
      </c>
      <c r="J587" s="80"/>
      <c r="K587" s="80"/>
      <c r="L587" s="80"/>
      <c r="M587" s="80"/>
      <c r="N587" s="80"/>
      <c r="O587" s="80"/>
      <c r="P587" s="80"/>
      <c r="Q587" s="80"/>
    </row>
    <row r="588" spans="1:17" customFormat="1" ht="42.75">
      <c r="A588" t="s">
        <v>239</v>
      </c>
      <c r="B588" t="s">
        <v>240</v>
      </c>
      <c r="C588" t="s">
        <v>1908</v>
      </c>
      <c r="D588" s="5">
        <v>46013</v>
      </c>
      <c r="E588" s="5">
        <v>46013</v>
      </c>
      <c r="F588" s="120" t="s">
        <v>1909</v>
      </c>
      <c r="G588" s="1"/>
      <c r="H588" s="1" t="s">
        <v>453</v>
      </c>
      <c r="I588" s="1" t="s">
        <v>1910</v>
      </c>
      <c r="J588" s="80"/>
      <c r="K588" s="80"/>
      <c r="L588" s="80"/>
      <c r="M588" s="80"/>
      <c r="N588" s="80"/>
      <c r="O588" s="80"/>
      <c r="P588" s="80"/>
      <c r="Q588" s="80"/>
    </row>
    <row r="589" spans="1:17" customFormat="1" ht="28.5">
      <c r="A589" t="s">
        <v>239</v>
      </c>
      <c r="B589" t="s">
        <v>240</v>
      </c>
      <c r="C589" t="s">
        <v>1911</v>
      </c>
      <c r="D589" s="5">
        <v>46014</v>
      </c>
      <c r="E589" s="5">
        <v>46014</v>
      </c>
      <c r="F589" s="120" t="s">
        <v>1912</v>
      </c>
      <c r="G589" s="1"/>
      <c r="H589" s="1" t="s">
        <v>261</v>
      </c>
      <c r="I589" s="1" t="s">
        <v>1913</v>
      </c>
      <c r="J589" s="80"/>
      <c r="K589" s="80"/>
      <c r="L589" s="80"/>
      <c r="M589" s="80"/>
      <c r="N589" s="80"/>
      <c r="O589" s="80"/>
      <c r="P589" s="80"/>
      <c r="Q589" s="80"/>
    </row>
    <row r="590" spans="1:17" customFormat="1" ht="28.5">
      <c r="A590" t="s">
        <v>239</v>
      </c>
      <c r="B590" t="s">
        <v>240</v>
      </c>
      <c r="C590" t="s">
        <v>1911</v>
      </c>
      <c r="D590" s="5">
        <v>46014</v>
      </c>
      <c r="E590" s="5">
        <v>46014</v>
      </c>
      <c r="F590" s="120" t="s">
        <v>1914</v>
      </c>
      <c r="G590" s="1"/>
      <c r="H590" s="1" t="s">
        <v>1344</v>
      </c>
      <c r="I590" s="1" t="s">
        <v>1915</v>
      </c>
      <c r="J590" s="80"/>
      <c r="K590" s="80"/>
      <c r="L590" s="80"/>
      <c r="M590" s="80"/>
      <c r="N590" s="80"/>
      <c r="O590" s="80"/>
      <c r="P590" s="80"/>
      <c r="Q590" s="80"/>
    </row>
    <row r="591" spans="1:17" customFormat="1" ht="42.75">
      <c r="A591" t="s">
        <v>239</v>
      </c>
      <c r="B591" t="s">
        <v>240</v>
      </c>
      <c r="C591" t="s">
        <v>1916</v>
      </c>
      <c r="D591" s="5">
        <v>46014</v>
      </c>
      <c r="E591" s="5">
        <v>46014</v>
      </c>
      <c r="F591" s="120" t="s">
        <v>1917</v>
      </c>
      <c r="G591" s="1"/>
      <c r="H591" s="1" t="s">
        <v>254</v>
      </c>
      <c r="I591" s="1" t="s">
        <v>1918</v>
      </c>
      <c r="J591" s="80"/>
      <c r="K591" s="80"/>
      <c r="L591" s="80"/>
      <c r="M591" s="80"/>
      <c r="N591" s="80"/>
      <c r="O591" s="80"/>
      <c r="P591" s="80"/>
      <c r="Q591" s="80"/>
    </row>
    <row r="592" spans="1:17" customFormat="1" ht="42.75">
      <c r="A592" t="s">
        <v>239</v>
      </c>
      <c r="B592" t="s">
        <v>240</v>
      </c>
      <c r="C592" t="s">
        <v>1916</v>
      </c>
      <c r="D592" s="5">
        <v>46014</v>
      </c>
      <c r="E592" s="5">
        <v>46014</v>
      </c>
      <c r="F592" s="120" t="s">
        <v>1919</v>
      </c>
      <c r="G592" s="1"/>
      <c r="H592" s="1" t="s">
        <v>295</v>
      </c>
      <c r="I592" s="1" t="s">
        <v>1920</v>
      </c>
      <c r="J592" s="80"/>
      <c r="K592" s="80"/>
      <c r="L592" s="80"/>
      <c r="M592" s="80"/>
      <c r="N592" s="80"/>
      <c r="O592" s="80"/>
      <c r="P592" s="80"/>
      <c r="Q592" s="80"/>
    </row>
    <row r="593" spans="1:17" customFormat="1" ht="42.75">
      <c r="A593" t="s">
        <v>239</v>
      </c>
      <c r="B593" t="s">
        <v>240</v>
      </c>
      <c r="C593" t="s">
        <v>1921</v>
      </c>
      <c r="D593" s="5">
        <v>46014</v>
      </c>
      <c r="E593" s="5">
        <v>46014</v>
      </c>
      <c r="F593" s="120" t="s">
        <v>1922</v>
      </c>
      <c r="G593" s="1" t="s">
        <v>1476</v>
      </c>
      <c r="H593" s="1"/>
      <c r="I593" s="1" t="s">
        <v>1923</v>
      </c>
      <c r="J593" s="80"/>
      <c r="K593" s="80"/>
      <c r="L593" s="80"/>
      <c r="M593" s="80"/>
      <c r="N593" s="80"/>
      <c r="O593" s="80"/>
      <c r="P593" s="80"/>
      <c r="Q593" s="80"/>
    </row>
    <row r="594" spans="1:17" customFormat="1" ht="28.5">
      <c r="A594" t="s">
        <v>239</v>
      </c>
      <c r="B594" t="s">
        <v>240</v>
      </c>
      <c r="C594" t="s">
        <v>1924</v>
      </c>
      <c r="D594" s="5">
        <v>46015</v>
      </c>
      <c r="E594" s="5">
        <v>46015</v>
      </c>
      <c r="F594" s="120" t="s">
        <v>1925</v>
      </c>
      <c r="G594" s="1"/>
      <c r="H594" s="1" t="s">
        <v>254</v>
      </c>
      <c r="I594" s="1" t="s">
        <v>1926</v>
      </c>
      <c r="J594" s="80"/>
      <c r="K594" s="80"/>
      <c r="L594" s="80"/>
      <c r="M594" s="80"/>
      <c r="N594" s="80"/>
      <c r="O594" s="80"/>
      <c r="P594" s="80"/>
      <c r="Q594" s="80"/>
    </row>
    <row r="595" spans="1:17" customFormat="1" ht="28.5">
      <c r="A595" t="s">
        <v>239</v>
      </c>
      <c r="B595" t="s">
        <v>240</v>
      </c>
      <c r="C595" t="s">
        <v>1924</v>
      </c>
      <c r="D595" s="5">
        <v>46015</v>
      </c>
      <c r="E595" s="5">
        <v>46015</v>
      </c>
      <c r="F595" s="120" t="s">
        <v>1927</v>
      </c>
      <c r="G595" s="1"/>
      <c r="H595" s="1" t="s">
        <v>1928</v>
      </c>
      <c r="I595" s="1" t="s">
        <v>1929</v>
      </c>
      <c r="J595" s="80"/>
      <c r="K595" s="80"/>
      <c r="L595" s="80"/>
      <c r="M595" s="80"/>
      <c r="N595" s="80"/>
      <c r="O595" s="80"/>
      <c r="P595" s="80"/>
      <c r="Q595" s="80"/>
    </row>
    <row r="596" spans="1:17" customFormat="1" ht="28.5">
      <c r="A596" t="s">
        <v>239</v>
      </c>
      <c r="B596" t="s">
        <v>240</v>
      </c>
      <c r="C596" t="s">
        <v>1930</v>
      </c>
      <c r="D596" s="5">
        <v>46015</v>
      </c>
      <c r="E596" s="5">
        <v>46015</v>
      </c>
      <c r="F596" s="120" t="s">
        <v>1931</v>
      </c>
      <c r="G596" s="1" t="s">
        <v>671</v>
      </c>
      <c r="H596" s="1"/>
      <c r="I596" s="1" t="s">
        <v>1932</v>
      </c>
      <c r="J596" s="80"/>
      <c r="K596" s="80"/>
      <c r="L596" s="80"/>
      <c r="M596" s="80"/>
      <c r="N596" s="80"/>
      <c r="O596" s="80"/>
      <c r="P596" s="80"/>
      <c r="Q596" s="80"/>
    </row>
    <row r="597" spans="1:17" customFormat="1" ht="28.5">
      <c r="A597" t="s">
        <v>239</v>
      </c>
      <c r="B597" t="s">
        <v>240</v>
      </c>
      <c r="C597" t="s">
        <v>1933</v>
      </c>
      <c r="D597" s="5">
        <v>46015</v>
      </c>
      <c r="E597" s="5">
        <v>46015</v>
      </c>
      <c r="F597" s="120" t="s">
        <v>1934</v>
      </c>
      <c r="G597" s="1"/>
      <c r="H597" s="1" t="s">
        <v>1935</v>
      </c>
      <c r="I597" s="1" t="s">
        <v>1936</v>
      </c>
      <c r="J597" s="80"/>
      <c r="K597" s="80"/>
      <c r="L597" s="80"/>
      <c r="M597" s="80"/>
      <c r="N597" s="80"/>
      <c r="O597" s="80"/>
      <c r="P597" s="80"/>
      <c r="Q597" s="80"/>
    </row>
    <row r="598" spans="1:17" customFormat="1" ht="28.5">
      <c r="A598" t="s">
        <v>239</v>
      </c>
      <c r="B598" t="s">
        <v>240</v>
      </c>
      <c r="C598" t="s">
        <v>1937</v>
      </c>
      <c r="D598" s="5">
        <v>46015</v>
      </c>
      <c r="E598" s="5">
        <v>46015</v>
      </c>
      <c r="F598" s="120" t="s">
        <v>1938</v>
      </c>
      <c r="G598" s="1" t="s">
        <v>1939</v>
      </c>
      <c r="H598" s="1"/>
      <c r="I598" s="1" t="s">
        <v>1940</v>
      </c>
      <c r="J598" s="80"/>
      <c r="K598" s="80"/>
      <c r="L598" s="80"/>
      <c r="M598" s="80"/>
      <c r="N598" s="80"/>
      <c r="O598" s="80"/>
      <c r="P598" s="80"/>
      <c r="Q598" s="80"/>
    </row>
    <row r="599" spans="1:17" customFormat="1">
      <c r="B599" t="s">
        <v>240</v>
      </c>
      <c r="C599" t="s">
        <v>1941</v>
      </c>
      <c r="D599" s="5">
        <v>46016</v>
      </c>
      <c r="E599" s="5">
        <v>46016</v>
      </c>
      <c r="F599" s="120" t="s">
        <v>1942</v>
      </c>
      <c r="G599" s="1"/>
      <c r="H599" s="1" t="s">
        <v>254</v>
      </c>
      <c r="I599" s="1" t="s">
        <v>1943</v>
      </c>
      <c r="J599" s="80"/>
      <c r="K599" s="80"/>
      <c r="L599" s="80"/>
      <c r="M599" s="80"/>
      <c r="N599" s="80"/>
      <c r="O599" s="80"/>
      <c r="P599" s="80"/>
      <c r="Q599" s="80"/>
    </row>
    <row r="600" spans="1:17" customFormat="1">
      <c r="B600" t="s">
        <v>240</v>
      </c>
      <c r="C600" t="s">
        <v>1941</v>
      </c>
      <c r="D600" s="5">
        <v>46016</v>
      </c>
      <c r="E600" s="5">
        <v>46016</v>
      </c>
      <c r="F600" s="120" t="s">
        <v>1944</v>
      </c>
      <c r="G600" s="1"/>
      <c r="H600" s="1" t="s">
        <v>1945</v>
      </c>
      <c r="I600" s="1" t="s">
        <v>1946</v>
      </c>
      <c r="J600" s="80"/>
      <c r="K600" s="80"/>
      <c r="L600" s="80"/>
      <c r="M600" s="80"/>
      <c r="N600" s="80"/>
      <c r="O600" s="80"/>
      <c r="P600" s="80"/>
      <c r="Q600" s="80"/>
    </row>
    <row r="601" spans="1:17" customFormat="1" ht="28.5">
      <c r="A601" t="s">
        <v>239</v>
      </c>
      <c r="B601" t="s">
        <v>240</v>
      </c>
      <c r="C601" t="s">
        <v>1947</v>
      </c>
      <c r="D601" s="5">
        <v>46016</v>
      </c>
      <c r="E601" s="5">
        <v>46016</v>
      </c>
      <c r="F601" s="120" t="s">
        <v>1948</v>
      </c>
      <c r="G601" s="1"/>
      <c r="H601" s="1" t="s">
        <v>254</v>
      </c>
      <c r="I601" s="1" t="s">
        <v>1949</v>
      </c>
      <c r="J601" s="80"/>
      <c r="K601" s="80"/>
      <c r="L601" s="80"/>
      <c r="M601" s="80"/>
      <c r="N601" s="80"/>
      <c r="O601" s="80"/>
      <c r="P601" s="80"/>
      <c r="Q601" s="80"/>
    </row>
    <row r="602" spans="1:17" customFormat="1" ht="28.5">
      <c r="A602" t="s">
        <v>239</v>
      </c>
      <c r="B602" t="s">
        <v>240</v>
      </c>
      <c r="C602" t="s">
        <v>1947</v>
      </c>
      <c r="D602" s="5">
        <v>46016</v>
      </c>
      <c r="E602" s="5">
        <v>46016</v>
      </c>
      <c r="F602" s="120" t="s">
        <v>1950</v>
      </c>
      <c r="G602" s="1"/>
      <c r="H602" s="1" t="s">
        <v>250</v>
      </c>
      <c r="I602" s="1" t="s">
        <v>1951</v>
      </c>
      <c r="J602" s="80"/>
      <c r="K602" s="80"/>
      <c r="L602" s="80"/>
      <c r="M602" s="80"/>
      <c r="N602" s="80"/>
      <c r="O602" s="80"/>
      <c r="P602" s="80"/>
      <c r="Q602" s="80"/>
    </row>
    <row r="603" spans="1:17" customFormat="1" ht="42.75">
      <c r="A603" t="s">
        <v>239</v>
      </c>
      <c r="B603" t="s">
        <v>240</v>
      </c>
      <c r="C603" t="s">
        <v>1952</v>
      </c>
      <c r="D603" s="5">
        <v>46016</v>
      </c>
      <c r="E603" s="5">
        <v>46016</v>
      </c>
      <c r="F603" s="120" t="s">
        <v>1953</v>
      </c>
      <c r="G603" s="1" t="s">
        <v>1557</v>
      </c>
      <c r="H603" s="1"/>
      <c r="I603" s="1" t="s">
        <v>1954</v>
      </c>
      <c r="J603" s="80"/>
      <c r="K603" s="80"/>
      <c r="L603" s="80"/>
      <c r="M603" s="80"/>
      <c r="N603" s="80"/>
      <c r="O603" s="80"/>
      <c r="P603" s="80"/>
      <c r="Q603" s="80"/>
    </row>
    <row r="604" spans="1:17" customFormat="1" ht="28.5">
      <c r="A604" t="s">
        <v>239</v>
      </c>
      <c r="B604" t="s">
        <v>240</v>
      </c>
      <c r="C604" t="s">
        <v>1955</v>
      </c>
      <c r="D604" s="5">
        <v>46016</v>
      </c>
      <c r="E604" s="5">
        <v>46016</v>
      </c>
      <c r="F604" s="120" t="s">
        <v>551</v>
      </c>
      <c r="G604" s="1"/>
      <c r="H604" s="1" t="s">
        <v>277</v>
      </c>
      <c r="I604" s="1" t="s">
        <v>1956</v>
      </c>
      <c r="J604" s="80"/>
      <c r="K604" s="80"/>
      <c r="L604" s="80"/>
      <c r="M604" s="80"/>
      <c r="N604" s="80"/>
      <c r="O604" s="80"/>
      <c r="P604" s="80"/>
      <c r="Q604" s="80"/>
    </row>
    <row r="605" spans="1:17" customFormat="1" ht="28.5">
      <c r="A605" t="s">
        <v>239</v>
      </c>
      <c r="B605" t="s">
        <v>240</v>
      </c>
      <c r="C605" t="s">
        <v>1957</v>
      </c>
      <c r="D605" s="5">
        <v>46016</v>
      </c>
      <c r="E605" s="5">
        <v>46016</v>
      </c>
      <c r="F605" s="120" t="s">
        <v>1958</v>
      </c>
      <c r="G605" s="1" t="s">
        <v>1959</v>
      </c>
      <c r="H605" s="1"/>
      <c r="I605" s="1" t="s">
        <v>1960</v>
      </c>
      <c r="J605" s="80"/>
      <c r="K605" s="80"/>
      <c r="L605" s="80"/>
      <c r="M605" s="80"/>
      <c r="N605" s="80"/>
      <c r="O605" s="80"/>
      <c r="P605" s="80"/>
      <c r="Q605" s="80"/>
    </row>
    <row r="606" spans="1:17" customFormat="1" ht="42.75">
      <c r="A606" t="s">
        <v>239</v>
      </c>
      <c r="B606" t="s">
        <v>240</v>
      </c>
      <c r="C606" t="s">
        <v>1961</v>
      </c>
      <c r="D606" s="5">
        <v>46017</v>
      </c>
      <c r="E606" s="5">
        <v>46017</v>
      </c>
      <c r="F606" s="120" t="s">
        <v>1962</v>
      </c>
      <c r="G606" s="1"/>
      <c r="H606" s="1" t="s">
        <v>1963</v>
      </c>
      <c r="I606" s="1" t="s">
        <v>1964</v>
      </c>
      <c r="J606" s="80"/>
      <c r="K606" s="80"/>
      <c r="L606" s="80"/>
      <c r="M606" s="80"/>
      <c r="N606" s="80"/>
      <c r="O606" s="80"/>
      <c r="P606" s="80"/>
      <c r="Q606" s="80"/>
    </row>
    <row r="607" spans="1:17" customFormat="1" ht="42.75">
      <c r="A607" t="s">
        <v>239</v>
      </c>
      <c r="B607" t="s">
        <v>240</v>
      </c>
      <c r="C607" t="s">
        <v>1965</v>
      </c>
      <c r="D607" s="5">
        <v>46017</v>
      </c>
      <c r="E607" s="5">
        <v>46017</v>
      </c>
      <c r="F607" s="120" t="s">
        <v>1966</v>
      </c>
      <c r="G607" s="1"/>
      <c r="H607" s="1" t="s">
        <v>1967</v>
      </c>
      <c r="I607" s="1" t="s">
        <v>1968</v>
      </c>
      <c r="J607" s="80"/>
      <c r="K607" s="80"/>
      <c r="L607" s="80"/>
      <c r="M607" s="80"/>
      <c r="N607" s="80"/>
      <c r="O607" s="80"/>
      <c r="P607" s="80"/>
      <c r="Q607" s="80"/>
    </row>
    <row r="608" spans="1:17" customFormat="1" ht="28.5">
      <c r="A608" t="s">
        <v>239</v>
      </c>
      <c r="B608" t="s">
        <v>240</v>
      </c>
      <c r="C608" t="s">
        <v>1969</v>
      </c>
      <c r="D608" s="5">
        <v>46018</v>
      </c>
      <c r="E608" s="5">
        <v>46018</v>
      </c>
      <c r="F608" s="120" t="s">
        <v>1970</v>
      </c>
      <c r="G608" s="1"/>
      <c r="H608" s="1" t="s">
        <v>261</v>
      </c>
      <c r="I608" s="1" t="s">
        <v>1971</v>
      </c>
      <c r="J608" s="80"/>
      <c r="K608" s="80"/>
      <c r="L608" s="80"/>
      <c r="M608" s="80"/>
      <c r="N608" s="80"/>
      <c r="O608" s="80"/>
      <c r="P608" s="80"/>
      <c r="Q608" s="80"/>
    </row>
    <row r="609" spans="1:17" customFormat="1" ht="42.75">
      <c r="A609" t="s">
        <v>239</v>
      </c>
      <c r="B609" t="s">
        <v>240</v>
      </c>
      <c r="C609" t="s">
        <v>1969</v>
      </c>
      <c r="D609" s="5">
        <v>46018</v>
      </c>
      <c r="E609" s="5">
        <v>46018</v>
      </c>
      <c r="F609" s="120" t="s">
        <v>1972</v>
      </c>
      <c r="G609" s="1"/>
      <c r="H609" s="1" t="s">
        <v>374</v>
      </c>
      <c r="I609" s="1" t="s">
        <v>1973</v>
      </c>
      <c r="J609" s="80"/>
      <c r="K609" s="80"/>
      <c r="L609" s="80"/>
      <c r="M609" s="80"/>
      <c r="N609" s="80"/>
      <c r="O609" s="80"/>
      <c r="P609" s="80"/>
      <c r="Q609" s="80"/>
    </row>
    <row r="610" spans="1:17" customFormat="1" ht="28.5">
      <c r="A610" t="s">
        <v>239</v>
      </c>
      <c r="B610" t="s">
        <v>240</v>
      </c>
      <c r="C610" t="s">
        <v>1974</v>
      </c>
      <c r="D610" s="5">
        <v>46018</v>
      </c>
      <c r="E610" s="5">
        <v>46018</v>
      </c>
      <c r="F610" s="120" t="s">
        <v>1975</v>
      </c>
      <c r="G610" s="1"/>
      <c r="H610" s="1" t="s">
        <v>295</v>
      </c>
      <c r="I610" s="1" t="s">
        <v>1976</v>
      </c>
      <c r="J610" s="80"/>
      <c r="K610" s="80"/>
      <c r="L610" s="80"/>
      <c r="M610" s="80"/>
      <c r="N610" s="80"/>
      <c r="O610" s="80"/>
      <c r="P610" s="80"/>
      <c r="Q610" s="80"/>
    </row>
    <row r="611" spans="1:17" customFormat="1" ht="28.5">
      <c r="A611" t="s">
        <v>239</v>
      </c>
      <c r="B611" t="s">
        <v>240</v>
      </c>
      <c r="C611" t="s">
        <v>1977</v>
      </c>
      <c r="D611" s="5">
        <v>46018</v>
      </c>
      <c r="E611" s="5">
        <v>46018</v>
      </c>
      <c r="F611" s="120" t="s">
        <v>1978</v>
      </c>
      <c r="G611" s="1"/>
      <c r="H611" s="1" t="s">
        <v>261</v>
      </c>
      <c r="I611" s="1" t="s">
        <v>1979</v>
      </c>
      <c r="J611" s="80"/>
      <c r="K611" s="80"/>
      <c r="L611" s="80"/>
      <c r="M611" s="80"/>
      <c r="N611" s="80"/>
      <c r="O611" s="80"/>
      <c r="P611" s="80"/>
      <c r="Q611" s="80"/>
    </row>
    <row r="612" spans="1:17" customFormat="1" ht="42.75">
      <c r="A612" t="s">
        <v>239</v>
      </c>
      <c r="B612" t="s">
        <v>240</v>
      </c>
      <c r="C612" t="s">
        <v>1977</v>
      </c>
      <c r="D612" s="5">
        <v>46018</v>
      </c>
      <c r="E612" s="5">
        <v>46018</v>
      </c>
      <c r="F612" s="120" t="s">
        <v>1980</v>
      </c>
      <c r="G612" s="1"/>
      <c r="H612" s="1" t="s">
        <v>527</v>
      </c>
      <c r="I612" s="1" t="s">
        <v>1981</v>
      </c>
      <c r="J612" s="80"/>
      <c r="K612" s="80"/>
      <c r="L612" s="80"/>
      <c r="M612" s="80"/>
      <c r="N612" s="80"/>
      <c r="O612" s="80"/>
      <c r="P612" s="80"/>
      <c r="Q612" s="80"/>
    </row>
    <row r="613" spans="1:17" customFormat="1" ht="28.5">
      <c r="A613" t="s">
        <v>239</v>
      </c>
      <c r="B613" t="s">
        <v>240</v>
      </c>
      <c r="C613" t="s">
        <v>1982</v>
      </c>
      <c r="D613" s="5">
        <v>46018</v>
      </c>
      <c r="E613" s="5">
        <v>46018</v>
      </c>
      <c r="F613" s="120" t="s">
        <v>1983</v>
      </c>
      <c r="G613" s="1"/>
      <c r="H613" s="1" t="s">
        <v>261</v>
      </c>
      <c r="I613" s="1" t="s">
        <v>1984</v>
      </c>
      <c r="J613" s="80"/>
      <c r="K613" s="80"/>
      <c r="L613" s="80"/>
      <c r="M613" s="80"/>
      <c r="N613" s="80"/>
      <c r="O613" s="80"/>
      <c r="P613" s="80"/>
      <c r="Q613" s="80"/>
    </row>
    <row r="614" spans="1:17" customFormat="1" ht="42.75">
      <c r="A614" t="s">
        <v>239</v>
      </c>
      <c r="B614" t="s">
        <v>240</v>
      </c>
      <c r="C614" t="s">
        <v>1982</v>
      </c>
      <c r="D614" s="5">
        <v>46018</v>
      </c>
      <c r="E614" s="5">
        <v>46018</v>
      </c>
      <c r="F614" s="120" t="s">
        <v>1985</v>
      </c>
      <c r="G614" s="1"/>
      <c r="H614" s="1" t="s">
        <v>1967</v>
      </c>
      <c r="I614" s="1" t="s">
        <v>1986</v>
      </c>
      <c r="J614" s="80"/>
      <c r="K614" s="80"/>
      <c r="L614" s="80"/>
      <c r="M614" s="80"/>
      <c r="N614" s="80"/>
      <c r="O614" s="80"/>
      <c r="P614" s="80"/>
      <c r="Q614" s="80"/>
    </row>
    <row r="615" spans="1:17" customFormat="1" ht="42.75">
      <c r="A615" t="s">
        <v>239</v>
      </c>
      <c r="B615" t="s">
        <v>240</v>
      </c>
      <c r="C615" t="s">
        <v>1987</v>
      </c>
      <c r="D615" s="5">
        <v>46018</v>
      </c>
      <c r="E615" s="5">
        <v>46018</v>
      </c>
      <c r="F615" s="120" t="s">
        <v>1988</v>
      </c>
      <c r="G615" s="1"/>
      <c r="H615" s="1" t="s">
        <v>527</v>
      </c>
      <c r="I615" s="1" t="s">
        <v>1989</v>
      </c>
      <c r="J615" s="80"/>
      <c r="K615" s="80"/>
      <c r="L615" s="80"/>
      <c r="M615" s="80"/>
      <c r="N615" s="80"/>
      <c r="O615" s="80"/>
      <c r="P615" s="80"/>
      <c r="Q615" s="80"/>
    </row>
    <row r="616" spans="1:17" customFormat="1" ht="28.5">
      <c r="A616" t="s">
        <v>239</v>
      </c>
      <c r="B616" t="s">
        <v>240</v>
      </c>
      <c r="C616" t="s">
        <v>1990</v>
      </c>
      <c r="D616" s="5">
        <v>46018</v>
      </c>
      <c r="E616" s="5">
        <v>46018</v>
      </c>
      <c r="F616" s="120" t="s">
        <v>1991</v>
      </c>
      <c r="G616" s="1"/>
      <c r="H616" s="1" t="s">
        <v>250</v>
      </c>
      <c r="I616" s="1" t="s">
        <v>1992</v>
      </c>
      <c r="J616" s="80"/>
      <c r="K616" s="80"/>
      <c r="L616" s="80"/>
      <c r="M616" s="80"/>
      <c r="N616" s="80"/>
      <c r="O616" s="80"/>
      <c r="P616" s="80"/>
      <c r="Q616" s="80"/>
    </row>
    <row r="617" spans="1:17" customFormat="1" ht="28.5">
      <c r="A617" t="s">
        <v>239</v>
      </c>
      <c r="B617" t="s">
        <v>240</v>
      </c>
      <c r="C617" t="s">
        <v>1993</v>
      </c>
      <c r="D617" s="5">
        <v>46018</v>
      </c>
      <c r="E617" s="5">
        <v>46018</v>
      </c>
      <c r="F617" s="120" t="s">
        <v>1994</v>
      </c>
      <c r="G617" s="1"/>
      <c r="H617" s="1" t="s">
        <v>254</v>
      </c>
      <c r="I617" s="1" t="s">
        <v>1995</v>
      </c>
      <c r="J617" s="80"/>
      <c r="K617" s="80"/>
      <c r="L617" s="80"/>
      <c r="M617" s="80"/>
      <c r="N617" s="80"/>
      <c r="O617" s="80"/>
      <c r="P617" s="80"/>
      <c r="Q617" s="80"/>
    </row>
    <row r="618" spans="1:17" customFormat="1" ht="28.5">
      <c r="A618" t="s">
        <v>239</v>
      </c>
      <c r="B618" t="s">
        <v>240</v>
      </c>
      <c r="C618" t="s">
        <v>1993</v>
      </c>
      <c r="D618" s="5">
        <v>46018</v>
      </c>
      <c r="E618" s="5">
        <v>46018</v>
      </c>
      <c r="F618" s="120" t="s">
        <v>1996</v>
      </c>
      <c r="G618" s="1"/>
      <c r="H618" s="1" t="s">
        <v>295</v>
      </c>
      <c r="I618" s="1" t="s">
        <v>1997</v>
      </c>
      <c r="J618" s="80"/>
      <c r="K618" s="80"/>
      <c r="L618" s="80"/>
      <c r="M618" s="80"/>
      <c r="N618" s="80"/>
      <c r="O618" s="80"/>
      <c r="P618" s="80"/>
      <c r="Q618" s="80"/>
    </row>
    <row r="619" spans="1:17" customFormat="1" ht="28.5">
      <c r="A619" t="s">
        <v>239</v>
      </c>
      <c r="B619" t="s">
        <v>240</v>
      </c>
      <c r="C619" t="s">
        <v>1998</v>
      </c>
      <c r="D619" s="5">
        <v>46019</v>
      </c>
      <c r="E619" s="5">
        <v>46019</v>
      </c>
      <c r="F619" s="120" t="s">
        <v>1999</v>
      </c>
      <c r="G619" s="1"/>
      <c r="H619" s="1" t="s">
        <v>254</v>
      </c>
      <c r="I619" s="1" t="s">
        <v>2000</v>
      </c>
      <c r="J619" s="80"/>
      <c r="K619" s="80"/>
      <c r="L619" s="80"/>
      <c r="M619" s="80"/>
      <c r="N619" s="80"/>
      <c r="O619" s="80"/>
      <c r="P619" s="80"/>
      <c r="Q619" s="80"/>
    </row>
    <row r="620" spans="1:17" customFormat="1" ht="28.5">
      <c r="A620" t="s">
        <v>239</v>
      </c>
      <c r="B620" t="s">
        <v>240</v>
      </c>
      <c r="C620" t="s">
        <v>1998</v>
      </c>
      <c r="D620" s="5">
        <v>46019</v>
      </c>
      <c r="E620" s="5">
        <v>46019</v>
      </c>
      <c r="F620" s="120" t="s">
        <v>2001</v>
      </c>
      <c r="G620" s="1"/>
      <c r="H620" s="1" t="s">
        <v>2002</v>
      </c>
      <c r="I620" s="1" t="s">
        <v>2003</v>
      </c>
      <c r="J620" s="80"/>
      <c r="K620" s="80"/>
      <c r="L620" s="80"/>
      <c r="M620" s="80"/>
      <c r="N620" s="80"/>
      <c r="O620" s="80"/>
      <c r="P620" s="80"/>
      <c r="Q620" s="80"/>
    </row>
    <row r="621" spans="1:17" customFormat="1" ht="42.75">
      <c r="A621" t="s">
        <v>239</v>
      </c>
      <c r="B621" t="s">
        <v>240</v>
      </c>
      <c r="C621" t="s">
        <v>2004</v>
      </c>
      <c r="D621" s="5">
        <v>46019</v>
      </c>
      <c r="E621" s="5">
        <v>46019</v>
      </c>
      <c r="F621" s="120" t="s">
        <v>2005</v>
      </c>
      <c r="G621" s="1"/>
      <c r="H621" s="1" t="s">
        <v>277</v>
      </c>
      <c r="I621" s="1" t="s">
        <v>2006</v>
      </c>
      <c r="J621" s="80"/>
      <c r="K621" s="80"/>
      <c r="L621" s="80"/>
      <c r="M621" s="80"/>
      <c r="N621" s="80"/>
      <c r="O621" s="80"/>
      <c r="P621" s="80"/>
      <c r="Q621" s="80"/>
    </row>
    <row r="622" spans="1:17" customFormat="1" ht="28.5">
      <c r="A622" t="s">
        <v>239</v>
      </c>
      <c r="B622" t="s">
        <v>240</v>
      </c>
      <c r="C622" t="s">
        <v>2007</v>
      </c>
      <c r="D622" s="5">
        <v>46019</v>
      </c>
      <c r="E622" s="5">
        <v>46019</v>
      </c>
      <c r="F622" s="120" t="s">
        <v>551</v>
      </c>
      <c r="G622" s="1"/>
      <c r="H622" s="1" t="s">
        <v>630</v>
      </c>
      <c r="I622" s="1" t="s">
        <v>2008</v>
      </c>
      <c r="J622" s="80"/>
      <c r="K622" s="80"/>
      <c r="L622" s="80"/>
      <c r="M622" s="80"/>
      <c r="N622" s="80"/>
      <c r="O622" s="80"/>
      <c r="P622" s="80"/>
      <c r="Q622" s="80"/>
    </row>
    <row r="623" spans="1:17" customFormat="1" ht="28.5">
      <c r="A623" t="s">
        <v>239</v>
      </c>
      <c r="B623" t="s">
        <v>240</v>
      </c>
      <c r="C623" t="s">
        <v>2009</v>
      </c>
      <c r="D623" s="5">
        <v>46021</v>
      </c>
      <c r="E623" s="5">
        <v>46021</v>
      </c>
      <c r="F623" s="120" t="s">
        <v>2010</v>
      </c>
      <c r="G623" s="1"/>
      <c r="H623" s="1" t="s">
        <v>295</v>
      </c>
      <c r="I623" s="1" t="s">
        <v>2011</v>
      </c>
      <c r="J623" s="80"/>
      <c r="K623" s="80"/>
      <c r="L623" s="80"/>
      <c r="M623" s="80"/>
      <c r="N623" s="80"/>
      <c r="O623" s="80"/>
      <c r="P623" s="80"/>
      <c r="Q623" s="80"/>
    </row>
    <row r="624" spans="1:17" customFormat="1" ht="28.5">
      <c r="A624" t="s">
        <v>239</v>
      </c>
      <c r="B624" t="s">
        <v>240</v>
      </c>
      <c r="C624" t="s">
        <v>2012</v>
      </c>
      <c r="D624" s="5">
        <v>46021</v>
      </c>
      <c r="E624" s="5">
        <v>46021</v>
      </c>
      <c r="F624" s="120" t="s">
        <v>2013</v>
      </c>
      <c r="G624" s="1" t="s">
        <v>588</v>
      </c>
      <c r="H624" s="1"/>
      <c r="I624" s="1" t="s">
        <v>2014</v>
      </c>
      <c r="J624" s="80"/>
      <c r="K624" s="80"/>
      <c r="L624" s="80"/>
      <c r="M624" s="80"/>
      <c r="N624" s="80"/>
      <c r="O624" s="80"/>
      <c r="P624" s="80"/>
      <c r="Q624" s="80"/>
    </row>
    <row r="625" spans="1:17" customFormat="1" ht="28.5">
      <c r="A625" t="s">
        <v>239</v>
      </c>
      <c r="B625" t="s">
        <v>240</v>
      </c>
      <c r="C625" t="s">
        <v>2015</v>
      </c>
      <c r="D625" s="5">
        <v>46021</v>
      </c>
      <c r="E625" s="5">
        <v>46021</v>
      </c>
      <c r="F625" s="120" t="s">
        <v>2016</v>
      </c>
      <c r="G625" s="1" t="s">
        <v>588</v>
      </c>
      <c r="H625" s="1"/>
      <c r="I625" s="1" t="s">
        <v>2017</v>
      </c>
      <c r="J625" s="80"/>
      <c r="K625" s="80"/>
      <c r="L625" s="80"/>
      <c r="M625" s="80"/>
      <c r="N625" s="80"/>
      <c r="O625" s="80"/>
      <c r="P625" s="80"/>
      <c r="Q625" s="80"/>
    </row>
    <row r="626" spans="1:17" customFormat="1" ht="28.5">
      <c r="A626" t="s">
        <v>239</v>
      </c>
      <c r="B626" t="s">
        <v>240</v>
      </c>
      <c r="C626" t="s">
        <v>2018</v>
      </c>
      <c r="D626" s="5">
        <v>46021</v>
      </c>
      <c r="E626" s="5">
        <v>46021</v>
      </c>
      <c r="F626" s="120" t="s">
        <v>2019</v>
      </c>
      <c r="G626" s="1"/>
      <c r="H626" s="1" t="s">
        <v>243</v>
      </c>
      <c r="I626" s="1" t="s">
        <v>2020</v>
      </c>
      <c r="J626" s="80"/>
      <c r="K626" s="80"/>
      <c r="L626" s="80"/>
      <c r="M626" s="80"/>
      <c r="N626" s="80"/>
      <c r="O626" s="80"/>
      <c r="P626" s="80"/>
      <c r="Q626" s="80"/>
    </row>
    <row r="627" spans="1:17" customFormat="1" ht="42.75">
      <c r="A627" t="s">
        <v>239</v>
      </c>
      <c r="B627" t="s">
        <v>240</v>
      </c>
      <c r="C627" t="s">
        <v>2018</v>
      </c>
      <c r="D627" s="5">
        <v>46021</v>
      </c>
      <c r="E627" s="5">
        <v>46021</v>
      </c>
      <c r="F627" s="120" t="s">
        <v>2021</v>
      </c>
      <c r="G627" s="1"/>
      <c r="H627" s="1" t="s">
        <v>2022</v>
      </c>
      <c r="I627" s="1" t="s">
        <v>2023</v>
      </c>
      <c r="J627" s="80"/>
      <c r="K627" s="80"/>
      <c r="L627" s="80"/>
      <c r="M627" s="80"/>
      <c r="N627" s="80"/>
      <c r="O627" s="80"/>
      <c r="P627" s="80"/>
      <c r="Q627" s="80"/>
    </row>
    <row r="628" spans="1:17" customFormat="1" ht="28.5">
      <c r="A628" t="s">
        <v>239</v>
      </c>
      <c r="B628" t="s">
        <v>240</v>
      </c>
      <c r="C628" t="s">
        <v>2024</v>
      </c>
      <c r="D628" s="5">
        <v>46021</v>
      </c>
      <c r="E628" s="5">
        <v>46021</v>
      </c>
      <c r="F628" s="120" t="s">
        <v>2016</v>
      </c>
      <c r="G628" s="1" t="s">
        <v>588</v>
      </c>
      <c r="H628" s="1"/>
      <c r="I628" s="1" t="s">
        <v>2025</v>
      </c>
      <c r="J628" s="80"/>
      <c r="K628" s="80"/>
      <c r="L628" s="80"/>
      <c r="M628" s="80"/>
      <c r="N628" s="80"/>
      <c r="O628" s="80"/>
      <c r="P628" s="80"/>
      <c r="Q628" s="80"/>
    </row>
    <row r="629" spans="1:17" customFormat="1" ht="28.5">
      <c r="A629" t="s">
        <v>239</v>
      </c>
      <c r="B629" t="s">
        <v>240</v>
      </c>
      <c r="C629" t="s">
        <v>2026</v>
      </c>
      <c r="D629" s="5">
        <v>46021</v>
      </c>
      <c r="E629" s="5">
        <v>46021</v>
      </c>
      <c r="F629" s="120" t="s">
        <v>2016</v>
      </c>
      <c r="G629" s="1" t="s">
        <v>588</v>
      </c>
      <c r="H629" s="1"/>
      <c r="I629" s="1" t="s">
        <v>2027</v>
      </c>
      <c r="J629" s="80"/>
      <c r="K629" s="80"/>
      <c r="L629" s="80"/>
      <c r="M629" s="80"/>
      <c r="N629" s="80"/>
      <c r="O629" s="80"/>
      <c r="P629" s="80"/>
      <c r="Q629" s="80"/>
    </row>
    <row r="630" spans="1:17" customFormat="1">
      <c r="A630" t="s">
        <v>1304</v>
      </c>
      <c r="B630" t="s">
        <v>240</v>
      </c>
      <c r="C630" t="s">
        <v>2028</v>
      </c>
      <c r="D630" s="5">
        <v>46021</v>
      </c>
      <c r="E630" s="5">
        <v>46021</v>
      </c>
      <c r="F630" s="120" t="s">
        <v>2029</v>
      </c>
      <c r="G630" s="1" t="s">
        <v>2030</v>
      </c>
      <c r="H630" s="1"/>
      <c r="I630" s="1" t="s">
        <v>2031</v>
      </c>
      <c r="J630" s="80"/>
      <c r="K630" s="80"/>
      <c r="L630" s="80"/>
      <c r="M630" s="80"/>
      <c r="N630" s="80"/>
      <c r="O630" s="80"/>
      <c r="P630" s="80"/>
      <c r="Q630" s="80"/>
    </row>
    <row r="631" spans="1:17" customFormat="1">
      <c r="A631" t="s">
        <v>239</v>
      </c>
      <c r="B631" t="s">
        <v>240</v>
      </c>
      <c r="C631" t="s">
        <v>2032</v>
      </c>
      <c r="D631" s="5">
        <v>46021</v>
      </c>
      <c r="E631" s="5">
        <v>46021</v>
      </c>
      <c r="F631" s="120" t="s">
        <v>2033</v>
      </c>
      <c r="G631" s="1" t="s">
        <v>2034</v>
      </c>
      <c r="H631" s="1"/>
      <c r="I631" s="1" t="s">
        <v>2035</v>
      </c>
      <c r="J631" s="80"/>
      <c r="K631" s="80"/>
      <c r="L631" s="80"/>
      <c r="M631" s="80"/>
      <c r="N631" s="80"/>
      <c r="O631" s="80"/>
      <c r="P631" s="80"/>
      <c r="Q631" s="80"/>
    </row>
    <row r="632" spans="1:17" customFormat="1" ht="28.5">
      <c r="A632" t="s">
        <v>239</v>
      </c>
      <c r="B632" t="s">
        <v>240</v>
      </c>
      <c r="C632" t="s">
        <v>2036</v>
      </c>
      <c r="D632" s="5">
        <v>46021</v>
      </c>
      <c r="E632" s="5">
        <v>46021</v>
      </c>
      <c r="F632" s="120" t="s">
        <v>2037</v>
      </c>
      <c r="G632" s="1"/>
      <c r="H632" s="1" t="s">
        <v>243</v>
      </c>
      <c r="I632" s="1" t="s">
        <v>2038</v>
      </c>
      <c r="J632" s="80"/>
      <c r="K632" s="80"/>
      <c r="L632" s="80"/>
      <c r="M632" s="80"/>
      <c r="N632" s="80"/>
      <c r="O632" s="80"/>
      <c r="P632" s="80"/>
      <c r="Q632" s="80"/>
    </row>
    <row r="633" spans="1:17" customFormat="1" ht="28.5">
      <c r="A633" t="s">
        <v>239</v>
      </c>
      <c r="B633" t="s">
        <v>240</v>
      </c>
      <c r="C633" t="s">
        <v>2036</v>
      </c>
      <c r="D633" s="5">
        <v>46021</v>
      </c>
      <c r="E633" s="5">
        <v>46021</v>
      </c>
      <c r="F633" s="120" t="s">
        <v>2039</v>
      </c>
      <c r="G633" s="1"/>
      <c r="H633" s="1" t="s">
        <v>2040</v>
      </c>
      <c r="I633" s="1" t="s">
        <v>2041</v>
      </c>
      <c r="J633" s="80"/>
      <c r="K633" s="80"/>
      <c r="L633" s="80"/>
      <c r="M633" s="80"/>
      <c r="N633" s="80"/>
      <c r="O633" s="80"/>
      <c r="P633" s="80"/>
      <c r="Q633" s="80"/>
    </row>
    <row r="634" spans="1:17" customFormat="1" ht="28.5">
      <c r="A634" t="s">
        <v>239</v>
      </c>
      <c r="B634" t="s">
        <v>240</v>
      </c>
      <c r="C634" t="s">
        <v>2042</v>
      </c>
      <c r="D634" s="5">
        <v>46022</v>
      </c>
      <c r="E634" s="5">
        <v>46022</v>
      </c>
      <c r="F634" s="120" t="s">
        <v>2043</v>
      </c>
      <c r="G634" s="1"/>
      <c r="H634" s="1" t="s">
        <v>250</v>
      </c>
      <c r="I634" s="1" t="s">
        <v>2044</v>
      </c>
      <c r="J634" s="80"/>
      <c r="K634" s="80"/>
      <c r="L634" s="80"/>
      <c r="M634" s="80"/>
      <c r="N634" s="80"/>
      <c r="O634" s="80"/>
      <c r="P634" s="80"/>
      <c r="Q634" s="80"/>
    </row>
    <row r="635" spans="1:17" customFormat="1">
      <c r="A635" t="s">
        <v>239</v>
      </c>
      <c r="B635" t="s">
        <v>240</v>
      </c>
      <c r="C635" t="s">
        <v>2045</v>
      </c>
      <c r="D635" s="5">
        <v>46022</v>
      </c>
      <c r="E635" s="5">
        <v>46022</v>
      </c>
      <c r="F635" s="120" t="s">
        <v>948</v>
      </c>
      <c r="G635" s="1"/>
      <c r="H635" s="1" t="s">
        <v>2046</v>
      </c>
      <c r="I635" s="1" t="s">
        <v>2047</v>
      </c>
      <c r="J635" s="80"/>
      <c r="K635" s="80"/>
      <c r="L635" s="80"/>
      <c r="M635" s="80"/>
      <c r="N635" s="80"/>
      <c r="O635" s="80"/>
      <c r="P635" s="80"/>
      <c r="Q635" s="80"/>
    </row>
    <row r="636" spans="1:17" customFormat="1" ht="42.75">
      <c r="A636" t="s">
        <v>239</v>
      </c>
      <c r="B636" t="s">
        <v>240</v>
      </c>
      <c r="C636" t="s">
        <v>2048</v>
      </c>
      <c r="D636" s="5">
        <v>46022</v>
      </c>
      <c r="E636" s="5">
        <v>46022</v>
      </c>
      <c r="F636" s="120" t="s">
        <v>2049</v>
      </c>
      <c r="G636" s="1" t="s">
        <v>833</v>
      </c>
      <c r="H636" s="1"/>
      <c r="I636" s="1" t="s">
        <v>2050</v>
      </c>
      <c r="J636" s="80"/>
      <c r="K636" s="80"/>
      <c r="L636" s="80"/>
      <c r="M636" s="80"/>
      <c r="N636" s="80"/>
      <c r="O636" s="80"/>
      <c r="P636" s="80"/>
      <c r="Q636" s="80"/>
    </row>
    <row r="637" spans="1:17" customFormat="1" ht="28.5">
      <c r="A637" t="s">
        <v>239</v>
      </c>
      <c r="B637" t="s">
        <v>240</v>
      </c>
      <c r="C637" t="s">
        <v>2051</v>
      </c>
      <c r="D637" s="5">
        <v>46022</v>
      </c>
      <c r="E637" s="5">
        <v>46022</v>
      </c>
      <c r="F637" s="120" t="s">
        <v>2052</v>
      </c>
      <c r="G637" s="1"/>
      <c r="H637" s="1" t="s">
        <v>261</v>
      </c>
      <c r="I637" s="1" t="s">
        <v>2053</v>
      </c>
      <c r="J637" s="80"/>
      <c r="K637" s="80"/>
      <c r="L637" s="80"/>
      <c r="M637" s="80"/>
      <c r="N637" s="80"/>
      <c r="O637" s="80"/>
      <c r="P637" s="80"/>
      <c r="Q637" s="80"/>
    </row>
    <row r="638" spans="1:17" customFormat="1" ht="42.75">
      <c r="A638" t="s">
        <v>239</v>
      </c>
      <c r="B638" t="s">
        <v>240</v>
      </c>
      <c r="C638" t="s">
        <v>2051</v>
      </c>
      <c r="D638" s="5">
        <v>46022</v>
      </c>
      <c r="E638" s="5">
        <v>46022</v>
      </c>
      <c r="F638" s="120" t="s">
        <v>2054</v>
      </c>
      <c r="G638" s="1"/>
      <c r="H638" s="1" t="s">
        <v>423</v>
      </c>
      <c r="I638" s="1" t="s">
        <v>2055</v>
      </c>
      <c r="J638" s="80"/>
      <c r="K638" s="80"/>
      <c r="L638" s="80"/>
      <c r="M638" s="80"/>
      <c r="N638" s="80"/>
      <c r="O638" s="80"/>
      <c r="P638" s="80"/>
      <c r="Q638" s="80"/>
    </row>
    <row r="639" spans="1:17" customFormat="1" ht="28.5">
      <c r="A639" t="s">
        <v>239</v>
      </c>
      <c r="B639" t="s">
        <v>240</v>
      </c>
      <c r="C639" t="s">
        <v>2056</v>
      </c>
      <c r="D639" s="5">
        <v>46022</v>
      </c>
      <c r="E639" s="5">
        <v>46022</v>
      </c>
      <c r="F639" s="120" t="s">
        <v>2057</v>
      </c>
      <c r="G639" s="1"/>
      <c r="H639" s="1" t="s">
        <v>261</v>
      </c>
      <c r="I639" s="1" t="s">
        <v>2058</v>
      </c>
      <c r="J639" s="80"/>
      <c r="K639" s="80"/>
      <c r="L639" s="80"/>
      <c r="M639" s="80"/>
      <c r="N639" s="80"/>
      <c r="O639" s="80"/>
      <c r="P639" s="80"/>
      <c r="Q639" s="80"/>
    </row>
    <row r="640" spans="1:17" customFormat="1" ht="42.75">
      <c r="A640" t="s">
        <v>239</v>
      </c>
      <c r="B640" t="s">
        <v>240</v>
      </c>
      <c r="C640" t="s">
        <v>2056</v>
      </c>
      <c r="D640" s="5">
        <v>46022</v>
      </c>
      <c r="E640" s="5">
        <v>46022</v>
      </c>
      <c r="F640" s="120" t="s">
        <v>2059</v>
      </c>
      <c r="G640" s="1"/>
      <c r="H640" s="1" t="s">
        <v>301</v>
      </c>
      <c r="I640" s="1" t="s">
        <v>2060</v>
      </c>
      <c r="J640" s="80"/>
      <c r="K640" s="80"/>
      <c r="L640" s="80"/>
      <c r="M640" s="80"/>
      <c r="N640" s="80"/>
      <c r="O640" s="80"/>
      <c r="P640" s="80"/>
      <c r="Q640" s="80"/>
    </row>
    <row r="641" spans="1:17" customFormat="1" ht="28.5">
      <c r="A641" t="s">
        <v>239</v>
      </c>
      <c r="B641" t="s">
        <v>240</v>
      </c>
      <c r="C641" t="s">
        <v>2061</v>
      </c>
      <c r="D641" s="5">
        <v>46022</v>
      </c>
      <c r="E641" s="5">
        <v>46022</v>
      </c>
      <c r="F641" s="120" t="s">
        <v>2062</v>
      </c>
      <c r="G641" s="1" t="s">
        <v>833</v>
      </c>
      <c r="H641" s="1"/>
      <c r="I641" s="1" t="s">
        <v>2063</v>
      </c>
      <c r="J641" s="80"/>
      <c r="K641" s="80"/>
      <c r="L641" s="80"/>
      <c r="M641" s="80"/>
      <c r="N641" s="80"/>
      <c r="O641" s="80"/>
      <c r="P641" s="80"/>
      <c r="Q641" s="80"/>
    </row>
    <row r="642" spans="1:17" customFormat="1" ht="28.5">
      <c r="A642" t="s">
        <v>239</v>
      </c>
      <c r="B642" t="s">
        <v>240</v>
      </c>
      <c r="C642" t="s">
        <v>2064</v>
      </c>
      <c r="D642" s="5">
        <v>46022</v>
      </c>
      <c r="E642" s="5">
        <v>46022</v>
      </c>
      <c r="F642" s="120" t="s">
        <v>2065</v>
      </c>
      <c r="G642" s="1" t="s">
        <v>433</v>
      </c>
      <c r="H642" s="1"/>
      <c r="I642" s="1" t="s">
        <v>2066</v>
      </c>
      <c r="J642" s="80"/>
      <c r="K642" s="80"/>
      <c r="L642" s="80"/>
      <c r="M642" s="80"/>
      <c r="N642" s="80"/>
      <c r="O642" s="80"/>
      <c r="P642" s="80"/>
      <c r="Q642" s="80"/>
    </row>
    <row r="643" spans="1:17" customFormat="1" ht="42.75">
      <c r="A643" t="s">
        <v>239</v>
      </c>
      <c r="B643" t="s">
        <v>240</v>
      </c>
      <c r="C643" t="s">
        <v>2067</v>
      </c>
      <c r="D643" s="5">
        <v>46022</v>
      </c>
      <c r="E643" s="5">
        <v>46022</v>
      </c>
      <c r="F643" s="120" t="s">
        <v>2068</v>
      </c>
      <c r="G643" s="1"/>
      <c r="H643" s="1" t="s">
        <v>264</v>
      </c>
      <c r="I643" s="1" t="s">
        <v>2069</v>
      </c>
      <c r="J643" s="80"/>
      <c r="K643" s="80"/>
      <c r="L643" s="80"/>
      <c r="M643" s="80"/>
      <c r="N643" s="80"/>
      <c r="O643" s="80"/>
      <c r="P643" s="80"/>
      <c r="Q643" s="80"/>
    </row>
    <row r="644" spans="1:17" customFormat="1" ht="28.5">
      <c r="A644" t="s">
        <v>239</v>
      </c>
      <c r="B644" t="s">
        <v>240</v>
      </c>
      <c r="C644" t="s">
        <v>2070</v>
      </c>
      <c r="D644" s="5">
        <v>46022</v>
      </c>
      <c r="E644" s="5">
        <v>46022</v>
      </c>
      <c r="F644" s="120" t="s">
        <v>2071</v>
      </c>
      <c r="G644" s="1"/>
      <c r="H644" s="1" t="s">
        <v>254</v>
      </c>
      <c r="I644" s="1" t="s">
        <v>2072</v>
      </c>
      <c r="J644" s="80"/>
      <c r="K644" s="80"/>
      <c r="L644" s="80"/>
      <c r="M644" s="80"/>
      <c r="N644" s="80"/>
      <c r="O644" s="80"/>
      <c r="P644" s="80"/>
      <c r="Q644" s="80"/>
    </row>
    <row r="645" spans="1:17" customFormat="1" ht="28.5">
      <c r="A645" t="s">
        <v>239</v>
      </c>
      <c r="B645" t="s">
        <v>240</v>
      </c>
      <c r="C645" t="s">
        <v>2070</v>
      </c>
      <c r="D645" s="5">
        <v>46022</v>
      </c>
      <c r="E645" s="5">
        <v>46022</v>
      </c>
      <c r="F645" s="120" t="s">
        <v>2073</v>
      </c>
      <c r="G645" s="1"/>
      <c r="H645" s="1" t="s">
        <v>295</v>
      </c>
      <c r="I645" s="1" t="s">
        <v>2074</v>
      </c>
      <c r="J645" s="80"/>
      <c r="K645" s="80"/>
      <c r="L645" s="80"/>
      <c r="M645" s="80"/>
      <c r="N645" s="80"/>
      <c r="O645" s="80"/>
      <c r="P645" s="80"/>
      <c r="Q645" s="80"/>
    </row>
    <row r="646" spans="1:17" customFormat="1" ht="28.5">
      <c r="A646" t="s">
        <v>239</v>
      </c>
      <c r="B646" t="s">
        <v>240</v>
      </c>
      <c r="C646" t="s">
        <v>2075</v>
      </c>
      <c r="D646" s="5">
        <v>46023</v>
      </c>
      <c r="E646" s="5">
        <v>46023</v>
      </c>
      <c r="F646" s="120" t="s">
        <v>2076</v>
      </c>
      <c r="G646" s="1" t="s">
        <v>1307</v>
      </c>
      <c r="H646" s="1"/>
      <c r="I646" s="1" t="s">
        <v>2077</v>
      </c>
      <c r="J646" s="80"/>
      <c r="K646" s="80"/>
      <c r="L646" s="80"/>
      <c r="M646" s="80"/>
      <c r="N646" s="80"/>
      <c r="O646" s="80"/>
      <c r="P646" s="80"/>
      <c r="Q646" s="80"/>
    </row>
    <row r="647" spans="1:17" customFormat="1" ht="28.5">
      <c r="A647" t="s">
        <v>239</v>
      </c>
      <c r="B647" t="s">
        <v>240</v>
      </c>
      <c r="C647" t="s">
        <v>2078</v>
      </c>
      <c r="D647" s="5">
        <v>46023</v>
      </c>
      <c r="E647" s="5">
        <v>46023</v>
      </c>
      <c r="F647" s="120" t="s">
        <v>2079</v>
      </c>
      <c r="G647" s="1"/>
      <c r="H647" s="1" t="s">
        <v>254</v>
      </c>
      <c r="I647" s="1" t="s">
        <v>2080</v>
      </c>
      <c r="J647" s="80"/>
      <c r="K647" s="80"/>
      <c r="L647" s="80"/>
      <c r="M647" s="80"/>
      <c r="N647" s="80"/>
      <c r="O647" s="80"/>
      <c r="P647" s="80"/>
      <c r="Q647" s="80"/>
    </row>
    <row r="648" spans="1:17" customFormat="1" ht="42.75">
      <c r="A648" t="s">
        <v>239</v>
      </c>
      <c r="B648" t="s">
        <v>240</v>
      </c>
      <c r="C648" t="s">
        <v>2078</v>
      </c>
      <c r="D648" s="5">
        <v>46023</v>
      </c>
      <c r="E648" s="5">
        <v>46023</v>
      </c>
      <c r="F648" s="120" t="s">
        <v>2081</v>
      </c>
      <c r="G648" s="1"/>
      <c r="H648" s="1" t="s">
        <v>295</v>
      </c>
      <c r="I648" s="1" t="s">
        <v>2082</v>
      </c>
      <c r="J648" s="80"/>
      <c r="K648" s="80"/>
      <c r="L648" s="80"/>
      <c r="M648" s="80"/>
      <c r="N648" s="80"/>
      <c r="O648" s="80"/>
      <c r="P648" s="80"/>
      <c r="Q648" s="80"/>
    </row>
    <row r="649" spans="1:17" customFormat="1" ht="42.75">
      <c r="A649" t="s">
        <v>239</v>
      </c>
      <c r="B649" t="s">
        <v>240</v>
      </c>
      <c r="C649" t="s">
        <v>2083</v>
      </c>
      <c r="D649" s="5">
        <v>46024</v>
      </c>
      <c r="E649" s="5">
        <v>46024</v>
      </c>
      <c r="F649" s="120" t="s">
        <v>2084</v>
      </c>
      <c r="G649" s="1"/>
      <c r="H649" s="1" t="s">
        <v>2085</v>
      </c>
      <c r="I649" s="1" t="s">
        <v>2086</v>
      </c>
      <c r="J649" s="80"/>
      <c r="K649" s="80"/>
      <c r="L649" s="80"/>
      <c r="M649" s="80"/>
      <c r="N649" s="80"/>
      <c r="O649" s="80"/>
      <c r="P649" s="80"/>
      <c r="Q649" s="80"/>
    </row>
    <row r="650" spans="1:17" customFormat="1" ht="28.5">
      <c r="A650" t="s">
        <v>239</v>
      </c>
      <c r="B650" t="s">
        <v>240</v>
      </c>
      <c r="C650" t="s">
        <v>2087</v>
      </c>
      <c r="D650" s="5">
        <v>46024</v>
      </c>
      <c r="E650" s="5">
        <v>46024</v>
      </c>
      <c r="F650" s="120" t="s">
        <v>2088</v>
      </c>
      <c r="G650" s="1" t="s">
        <v>2089</v>
      </c>
      <c r="H650" s="1"/>
      <c r="I650" s="1" t="s">
        <v>2090</v>
      </c>
      <c r="J650" s="80"/>
      <c r="K650" s="80"/>
      <c r="L650" s="80"/>
      <c r="M650" s="80"/>
      <c r="N650" s="80"/>
      <c r="O650" s="80"/>
      <c r="P650" s="80"/>
      <c r="Q650" s="80"/>
    </row>
    <row r="651" spans="1:17" customFormat="1" ht="28.5">
      <c r="A651" t="s">
        <v>239</v>
      </c>
      <c r="B651" t="s">
        <v>240</v>
      </c>
      <c r="C651" t="s">
        <v>2091</v>
      </c>
      <c r="D651" s="5">
        <v>46024</v>
      </c>
      <c r="E651" s="5">
        <v>46024</v>
      </c>
      <c r="F651" s="120" t="s">
        <v>2092</v>
      </c>
      <c r="G651" s="1" t="s">
        <v>2093</v>
      </c>
      <c r="H651" s="1"/>
      <c r="I651" s="1" t="s">
        <v>2094</v>
      </c>
      <c r="J651" s="80"/>
      <c r="K651" s="80"/>
      <c r="L651" s="80"/>
      <c r="M651" s="80"/>
      <c r="N651" s="80"/>
      <c r="O651" s="80"/>
      <c r="P651" s="80"/>
      <c r="Q651" s="80"/>
    </row>
    <row r="652" spans="1:17" customFormat="1" ht="28.5">
      <c r="A652" t="s">
        <v>239</v>
      </c>
      <c r="B652" t="s">
        <v>240</v>
      </c>
      <c r="C652" t="s">
        <v>2095</v>
      </c>
      <c r="D652" s="5">
        <v>46024</v>
      </c>
      <c r="E652" s="5">
        <v>46024</v>
      </c>
      <c r="F652" s="120" t="s">
        <v>2096</v>
      </c>
      <c r="G652" s="1"/>
      <c r="H652" s="1" t="s">
        <v>261</v>
      </c>
      <c r="I652" s="1" t="s">
        <v>2097</v>
      </c>
      <c r="J652" s="80"/>
      <c r="K652" s="80"/>
      <c r="L652" s="80"/>
      <c r="M652" s="80"/>
      <c r="N652" s="80"/>
      <c r="O652" s="80"/>
      <c r="P652" s="80"/>
      <c r="Q652" s="80"/>
    </row>
    <row r="653" spans="1:17" customFormat="1" ht="42.75">
      <c r="A653" t="s">
        <v>239</v>
      </c>
      <c r="B653" t="s">
        <v>240</v>
      </c>
      <c r="C653" t="s">
        <v>2095</v>
      </c>
      <c r="D653" s="5">
        <v>46024</v>
      </c>
      <c r="E653" s="5">
        <v>46024</v>
      </c>
      <c r="F653" s="120" t="s">
        <v>2098</v>
      </c>
      <c r="G653" s="1"/>
      <c r="H653" s="1" t="s">
        <v>940</v>
      </c>
      <c r="I653" s="1" t="s">
        <v>2099</v>
      </c>
      <c r="J653" s="80"/>
      <c r="K653" s="80"/>
      <c r="L653" s="80"/>
      <c r="M653" s="80"/>
      <c r="N653" s="80"/>
      <c r="O653" s="80"/>
      <c r="P653" s="80"/>
      <c r="Q653" s="80"/>
    </row>
    <row r="654" spans="1:17" customFormat="1" ht="28.5">
      <c r="A654" t="s">
        <v>239</v>
      </c>
      <c r="B654" t="s">
        <v>240</v>
      </c>
      <c r="C654" t="s">
        <v>2100</v>
      </c>
      <c r="D654" s="5">
        <v>46024</v>
      </c>
      <c r="E654" s="5">
        <v>46024</v>
      </c>
      <c r="F654" s="120" t="s">
        <v>2101</v>
      </c>
      <c r="G654" s="1"/>
      <c r="H654" s="1" t="s">
        <v>261</v>
      </c>
      <c r="I654" s="1" t="s">
        <v>2102</v>
      </c>
      <c r="J654" s="80"/>
      <c r="K654" s="80"/>
      <c r="L654" s="80"/>
      <c r="M654" s="80"/>
      <c r="N654" s="80"/>
      <c r="O654" s="80"/>
      <c r="P654" s="80"/>
      <c r="Q654" s="80"/>
    </row>
    <row r="655" spans="1:17" customFormat="1" ht="28.5">
      <c r="A655" t="s">
        <v>239</v>
      </c>
      <c r="B655" t="s">
        <v>240</v>
      </c>
      <c r="C655" t="s">
        <v>2100</v>
      </c>
      <c r="D655" s="5">
        <v>46024</v>
      </c>
      <c r="E655" s="5">
        <v>46024</v>
      </c>
      <c r="F655" s="120" t="s">
        <v>2103</v>
      </c>
      <c r="G655" s="1"/>
      <c r="H655" s="1" t="s">
        <v>374</v>
      </c>
      <c r="I655" s="1" t="s">
        <v>2104</v>
      </c>
      <c r="J655" s="80"/>
      <c r="K655" s="80"/>
      <c r="L655" s="80"/>
      <c r="M655" s="80"/>
      <c r="N655" s="80"/>
      <c r="O655" s="80"/>
      <c r="P655" s="80"/>
      <c r="Q655" s="80"/>
    </row>
    <row r="656" spans="1:17" customFormat="1" ht="42.75">
      <c r="A656" t="s">
        <v>239</v>
      </c>
      <c r="B656" t="s">
        <v>240</v>
      </c>
      <c r="C656" t="s">
        <v>2105</v>
      </c>
      <c r="D656" s="5">
        <v>46024</v>
      </c>
      <c r="E656" s="5">
        <v>46024</v>
      </c>
      <c r="F656" s="120" t="s">
        <v>2106</v>
      </c>
      <c r="G656" s="1"/>
      <c r="H656" s="1" t="s">
        <v>261</v>
      </c>
      <c r="I656" s="1" t="s">
        <v>2107</v>
      </c>
      <c r="J656" s="80"/>
      <c r="K656" s="80"/>
      <c r="L656" s="80"/>
      <c r="M656" s="80"/>
      <c r="N656" s="80"/>
      <c r="O656" s="80"/>
      <c r="P656" s="80"/>
      <c r="Q656" s="80"/>
    </row>
    <row r="657" spans="1:17" customFormat="1" ht="42.75">
      <c r="A657" t="s">
        <v>239</v>
      </c>
      <c r="B657" t="s">
        <v>240</v>
      </c>
      <c r="C657" t="s">
        <v>2105</v>
      </c>
      <c r="D657" s="5">
        <v>46024</v>
      </c>
      <c r="E657" s="5">
        <v>46024</v>
      </c>
      <c r="F657" s="120" t="s">
        <v>2108</v>
      </c>
      <c r="G657" s="1"/>
      <c r="H657" s="1" t="s">
        <v>2109</v>
      </c>
      <c r="I657" s="1" t="s">
        <v>2110</v>
      </c>
      <c r="J657" s="80"/>
      <c r="K657" s="80"/>
      <c r="L657" s="80"/>
      <c r="M657" s="80"/>
      <c r="N657" s="80"/>
      <c r="O657" s="80"/>
      <c r="P657" s="80"/>
      <c r="Q657" s="80"/>
    </row>
    <row r="658" spans="1:17" customFormat="1" ht="42.75">
      <c r="A658" t="s">
        <v>239</v>
      </c>
      <c r="B658" t="s">
        <v>240</v>
      </c>
      <c r="C658" t="s">
        <v>2111</v>
      </c>
      <c r="D658" s="5">
        <v>46025</v>
      </c>
      <c r="E658" s="5">
        <v>46025</v>
      </c>
      <c r="F658" s="120" t="s">
        <v>2112</v>
      </c>
      <c r="G658" s="1"/>
      <c r="H658" s="1" t="s">
        <v>533</v>
      </c>
      <c r="I658" s="1" t="s">
        <v>2113</v>
      </c>
      <c r="J658" s="80"/>
      <c r="K658" s="80"/>
      <c r="L658" s="80"/>
      <c r="M658" s="80"/>
      <c r="N658" s="80"/>
      <c r="O658" s="80"/>
      <c r="P658" s="80"/>
      <c r="Q658" s="80"/>
    </row>
    <row r="659" spans="1:17" customFormat="1" ht="28.5">
      <c r="A659" t="s">
        <v>239</v>
      </c>
      <c r="B659" t="s">
        <v>240</v>
      </c>
      <c r="C659" t="s">
        <v>2114</v>
      </c>
      <c r="D659" s="5">
        <v>46025</v>
      </c>
      <c r="E659" s="5">
        <v>46025</v>
      </c>
      <c r="F659" s="120" t="s">
        <v>2115</v>
      </c>
      <c r="G659" s="1"/>
      <c r="H659" s="1" t="s">
        <v>261</v>
      </c>
      <c r="I659" s="1" t="s">
        <v>2116</v>
      </c>
      <c r="J659" s="80"/>
      <c r="K659" s="80"/>
      <c r="L659" s="80"/>
      <c r="M659" s="80"/>
      <c r="N659" s="80"/>
      <c r="O659" s="80"/>
      <c r="P659" s="80"/>
      <c r="Q659" s="80"/>
    </row>
    <row r="660" spans="1:17" customFormat="1" ht="28.5">
      <c r="A660" t="s">
        <v>239</v>
      </c>
      <c r="B660" t="s">
        <v>240</v>
      </c>
      <c r="C660" t="s">
        <v>2114</v>
      </c>
      <c r="D660" s="5">
        <v>46025</v>
      </c>
      <c r="E660" s="5">
        <v>46025</v>
      </c>
      <c r="F660" s="120" t="s">
        <v>2117</v>
      </c>
      <c r="G660" s="1"/>
      <c r="H660" s="1" t="s">
        <v>1344</v>
      </c>
      <c r="I660" s="1" t="s">
        <v>2118</v>
      </c>
      <c r="J660" s="80"/>
      <c r="K660" s="80"/>
      <c r="L660" s="80"/>
      <c r="M660" s="80"/>
      <c r="N660" s="80"/>
      <c r="O660" s="80"/>
      <c r="P660" s="80"/>
      <c r="Q660" s="80"/>
    </row>
    <row r="661" spans="1:17" customFormat="1" ht="42.75">
      <c r="A661" t="s">
        <v>239</v>
      </c>
      <c r="B661" t="s">
        <v>240</v>
      </c>
      <c r="C661" t="s">
        <v>2119</v>
      </c>
      <c r="D661" s="5">
        <v>46026</v>
      </c>
      <c r="E661" s="5">
        <v>46026</v>
      </c>
      <c r="F661" s="120" t="s">
        <v>2120</v>
      </c>
      <c r="G661" s="1"/>
      <c r="H661" s="1" t="s">
        <v>630</v>
      </c>
      <c r="I661" s="1" t="s">
        <v>2121</v>
      </c>
      <c r="J661" s="80"/>
      <c r="K661" s="80"/>
      <c r="L661" s="80"/>
      <c r="M661" s="80"/>
      <c r="N661" s="80"/>
      <c r="O661" s="80"/>
      <c r="P661" s="80"/>
      <c r="Q661" s="80"/>
    </row>
    <row r="662" spans="1:17" customFormat="1" ht="28.5">
      <c r="A662" t="s">
        <v>239</v>
      </c>
      <c r="B662" t="s">
        <v>240</v>
      </c>
      <c r="C662" t="s">
        <v>2122</v>
      </c>
      <c r="D662" s="5">
        <v>46026</v>
      </c>
      <c r="E662" s="5">
        <v>46026</v>
      </c>
      <c r="F662" s="120" t="s">
        <v>2123</v>
      </c>
      <c r="G662" s="1"/>
      <c r="H662" s="1" t="s">
        <v>261</v>
      </c>
      <c r="I662" s="1" t="s">
        <v>2124</v>
      </c>
      <c r="J662" s="80"/>
      <c r="K662" s="80"/>
      <c r="L662" s="80"/>
      <c r="M662" s="80"/>
      <c r="N662" s="80"/>
      <c r="O662" s="80"/>
      <c r="P662" s="80"/>
      <c r="Q662" s="80"/>
    </row>
    <row r="663" spans="1:17" customFormat="1" ht="42.75">
      <c r="A663" t="s">
        <v>239</v>
      </c>
      <c r="B663" t="s">
        <v>240</v>
      </c>
      <c r="C663" t="s">
        <v>2122</v>
      </c>
      <c r="D663" s="5">
        <v>46026</v>
      </c>
      <c r="E663" s="5">
        <v>46026</v>
      </c>
      <c r="F663" s="120" t="s">
        <v>2125</v>
      </c>
      <c r="G663" s="1"/>
      <c r="H663" s="1" t="s">
        <v>2126</v>
      </c>
      <c r="I663" s="1" t="s">
        <v>2127</v>
      </c>
      <c r="J663" s="80"/>
      <c r="K663" s="80"/>
      <c r="L663" s="80"/>
      <c r="M663" s="80"/>
      <c r="N663" s="80"/>
      <c r="O663" s="80"/>
      <c r="P663" s="80"/>
      <c r="Q663" s="80"/>
    </row>
    <row r="664" spans="1:17" customFormat="1" ht="42.75">
      <c r="A664" t="s">
        <v>239</v>
      </c>
      <c r="B664" t="s">
        <v>240</v>
      </c>
      <c r="C664" t="s">
        <v>2128</v>
      </c>
      <c r="D664" s="5">
        <v>46027</v>
      </c>
      <c r="E664" s="5">
        <v>46027</v>
      </c>
      <c r="F664" s="120" t="s">
        <v>2129</v>
      </c>
      <c r="G664" s="1"/>
      <c r="H664" s="1" t="s">
        <v>630</v>
      </c>
      <c r="I664" s="1" t="s">
        <v>2130</v>
      </c>
      <c r="J664" s="80"/>
      <c r="K664" s="80"/>
      <c r="L664" s="80"/>
      <c r="M664" s="80"/>
      <c r="N664" s="80"/>
      <c r="O664" s="80"/>
      <c r="P664" s="80"/>
      <c r="Q664" s="80"/>
    </row>
    <row r="665" spans="1:17" customFormat="1" ht="42.75">
      <c r="A665" t="s">
        <v>239</v>
      </c>
      <c r="B665" t="s">
        <v>240</v>
      </c>
      <c r="C665" t="s">
        <v>2131</v>
      </c>
      <c r="D665" s="5">
        <v>46027</v>
      </c>
      <c r="E665" s="5">
        <v>46027</v>
      </c>
      <c r="F665" s="120" t="s">
        <v>2132</v>
      </c>
      <c r="G665" s="1"/>
      <c r="H665" s="1" t="s">
        <v>261</v>
      </c>
      <c r="I665" s="1" t="s">
        <v>2133</v>
      </c>
      <c r="J665" s="80"/>
      <c r="K665" s="80"/>
      <c r="L665" s="80"/>
      <c r="M665" s="80"/>
      <c r="N665" s="80"/>
      <c r="O665" s="80"/>
      <c r="P665" s="80"/>
      <c r="Q665" s="80"/>
    </row>
    <row r="666" spans="1:17" customFormat="1" ht="42.75">
      <c r="A666" t="s">
        <v>239</v>
      </c>
      <c r="B666" t="s">
        <v>240</v>
      </c>
      <c r="C666" t="s">
        <v>2131</v>
      </c>
      <c r="D666" s="5">
        <v>46027</v>
      </c>
      <c r="E666" s="5">
        <v>46027</v>
      </c>
      <c r="F666" s="120" t="s">
        <v>2134</v>
      </c>
      <c r="G666" s="1"/>
      <c r="H666" s="1" t="s">
        <v>2135</v>
      </c>
      <c r="I666" s="1" t="s">
        <v>2136</v>
      </c>
      <c r="J666" s="80"/>
      <c r="K666" s="80"/>
      <c r="L666" s="80"/>
      <c r="M666" s="80"/>
      <c r="N666" s="80"/>
      <c r="O666" s="80"/>
      <c r="P666" s="80"/>
      <c r="Q666" s="80"/>
    </row>
    <row r="667" spans="1:17" customFormat="1" ht="42.75">
      <c r="A667" t="s">
        <v>239</v>
      </c>
      <c r="B667" t="s">
        <v>240</v>
      </c>
      <c r="C667" t="s">
        <v>2137</v>
      </c>
      <c r="D667" s="5">
        <v>46027</v>
      </c>
      <c r="E667" s="5">
        <v>46027</v>
      </c>
      <c r="F667" s="120" t="s">
        <v>2138</v>
      </c>
      <c r="G667" s="1" t="s">
        <v>1557</v>
      </c>
      <c r="H667" s="1"/>
      <c r="I667" s="1" t="s">
        <v>2139</v>
      </c>
      <c r="J667" s="80"/>
      <c r="K667" s="80"/>
      <c r="L667" s="80"/>
      <c r="M667" s="80"/>
      <c r="N667" s="80"/>
      <c r="O667" s="80"/>
      <c r="P667" s="80"/>
      <c r="Q667" s="80"/>
    </row>
    <row r="668" spans="1:17" customFormat="1" ht="28.5">
      <c r="A668" t="s">
        <v>239</v>
      </c>
      <c r="B668" t="s">
        <v>240</v>
      </c>
      <c r="C668" t="s">
        <v>2140</v>
      </c>
      <c r="D668" s="5">
        <v>46027</v>
      </c>
      <c r="E668" s="5">
        <v>46027</v>
      </c>
      <c r="F668" s="120" t="s">
        <v>2141</v>
      </c>
      <c r="G668" s="1"/>
      <c r="H668" s="1" t="s">
        <v>261</v>
      </c>
      <c r="I668" s="1" t="s">
        <v>2142</v>
      </c>
      <c r="J668" s="80"/>
      <c r="K668" s="80"/>
      <c r="L668" s="80"/>
      <c r="M668" s="80"/>
      <c r="N668" s="80"/>
      <c r="O668" s="80"/>
      <c r="P668" s="80"/>
      <c r="Q668" s="80"/>
    </row>
    <row r="669" spans="1:17" customFormat="1" ht="42.75">
      <c r="A669" t="s">
        <v>239</v>
      </c>
      <c r="B669" t="s">
        <v>240</v>
      </c>
      <c r="C669" t="s">
        <v>2140</v>
      </c>
      <c r="D669" s="5">
        <v>46027</v>
      </c>
      <c r="E669" s="5">
        <v>46027</v>
      </c>
      <c r="F669" s="120" t="s">
        <v>2143</v>
      </c>
      <c r="G669" s="1"/>
      <c r="H669" s="1" t="s">
        <v>2144</v>
      </c>
      <c r="I669" s="1" t="s">
        <v>2145</v>
      </c>
      <c r="J669" s="80"/>
      <c r="K669" s="80"/>
      <c r="L669" s="80"/>
      <c r="M669" s="80"/>
      <c r="N669" s="80"/>
      <c r="O669" s="80"/>
      <c r="P669" s="80"/>
      <c r="Q669" s="80"/>
    </row>
    <row r="670" spans="1:17" customFormat="1" ht="28.5">
      <c r="A670" t="s">
        <v>239</v>
      </c>
      <c r="B670" t="s">
        <v>240</v>
      </c>
      <c r="C670" t="s">
        <v>2146</v>
      </c>
      <c r="D670" s="5">
        <v>46027</v>
      </c>
      <c r="E670" s="5">
        <v>46027</v>
      </c>
      <c r="F670" s="120" t="s">
        <v>2147</v>
      </c>
      <c r="G670" s="1"/>
      <c r="H670" s="1" t="s">
        <v>254</v>
      </c>
      <c r="I670" s="1" t="s">
        <v>2148</v>
      </c>
      <c r="J670" s="80"/>
      <c r="K670" s="80"/>
      <c r="L670" s="80"/>
      <c r="M670" s="80"/>
      <c r="N670" s="80"/>
      <c r="O670" s="80"/>
      <c r="P670" s="80"/>
      <c r="Q670" s="80"/>
    </row>
    <row r="671" spans="1:17" customFormat="1" ht="28.5">
      <c r="A671" t="s">
        <v>239</v>
      </c>
      <c r="B671" t="s">
        <v>240</v>
      </c>
      <c r="C671" t="s">
        <v>2146</v>
      </c>
      <c r="D671" s="5">
        <v>46027</v>
      </c>
      <c r="E671" s="5">
        <v>46027</v>
      </c>
      <c r="F671" s="120" t="s">
        <v>2149</v>
      </c>
      <c r="G671" s="1"/>
      <c r="H671" s="1" t="s">
        <v>1032</v>
      </c>
      <c r="I671" s="1" t="s">
        <v>2150</v>
      </c>
      <c r="J671" s="80"/>
      <c r="K671" s="80"/>
      <c r="L671" s="80"/>
      <c r="M671" s="80"/>
      <c r="N671" s="80"/>
      <c r="O671" s="80"/>
      <c r="P671" s="80"/>
      <c r="Q671" s="80"/>
    </row>
    <row r="672" spans="1:17" customFormat="1" ht="42.75">
      <c r="A672" t="s">
        <v>239</v>
      </c>
      <c r="B672" t="s">
        <v>240</v>
      </c>
      <c r="C672" t="s">
        <v>2151</v>
      </c>
      <c r="D672" s="5">
        <v>46027</v>
      </c>
      <c r="E672" s="5">
        <v>46027</v>
      </c>
      <c r="F672" s="120" t="s">
        <v>2152</v>
      </c>
      <c r="G672" s="1"/>
      <c r="H672" s="1" t="s">
        <v>2153</v>
      </c>
      <c r="I672" s="1" t="s">
        <v>2154</v>
      </c>
      <c r="J672" s="80"/>
      <c r="K672" s="80"/>
      <c r="L672" s="80"/>
      <c r="M672" s="80"/>
      <c r="N672" s="80"/>
      <c r="O672" s="80"/>
      <c r="P672" s="80"/>
      <c r="Q672" s="80"/>
    </row>
    <row r="673" spans="1:17" customFormat="1" ht="28.5">
      <c r="A673" t="s">
        <v>239</v>
      </c>
      <c r="B673" t="s">
        <v>240</v>
      </c>
      <c r="C673" t="s">
        <v>2155</v>
      </c>
      <c r="D673" s="5">
        <v>46027</v>
      </c>
      <c r="E673" s="5">
        <v>46027</v>
      </c>
      <c r="F673" s="120" t="s">
        <v>2156</v>
      </c>
      <c r="G673" s="1"/>
      <c r="H673" s="1" t="s">
        <v>254</v>
      </c>
      <c r="I673" s="1" t="s">
        <v>2157</v>
      </c>
      <c r="J673" s="80"/>
      <c r="K673" s="80"/>
      <c r="L673" s="80"/>
      <c r="M673" s="80"/>
      <c r="N673" s="80"/>
      <c r="O673" s="80"/>
      <c r="P673" s="80"/>
      <c r="Q673" s="80"/>
    </row>
    <row r="674" spans="1:17" customFormat="1" ht="42.75">
      <c r="A674" t="s">
        <v>239</v>
      </c>
      <c r="B674" t="s">
        <v>240</v>
      </c>
      <c r="C674" t="s">
        <v>2155</v>
      </c>
      <c r="D674" s="5">
        <v>46027</v>
      </c>
      <c r="E674" s="5">
        <v>46027</v>
      </c>
      <c r="F674" s="120" t="s">
        <v>2158</v>
      </c>
      <c r="G674" s="1"/>
      <c r="H674" s="1" t="s">
        <v>295</v>
      </c>
      <c r="I674" s="1" t="s">
        <v>2159</v>
      </c>
      <c r="J674" s="80"/>
      <c r="K674" s="80"/>
      <c r="L674" s="80"/>
      <c r="M674" s="80"/>
      <c r="N674" s="80"/>
      <c r="O674" s="80"/>
      <c r="P674" s="80"/>
      <c r="Q674" s="80"/>
    </row>
    <row r="675" spans="1:17" customFormat="1" ht="28.5">
      <c r="A675" t="s">
        <v>239</v>
      </c>
      <c r="B675" t="s">
        <v>240</v>
      </c>
      <c r="C675" t="s">
        <v>2160</v>
      </c>
      <c r="D675" s="5">
        <v>46027</v>
      </c>
      <c r="E675" s="5">
        <v>46027</v>
      </c>
      <c r="F675" s="120" t="s">
        <v>551</v>
      </c>
      <c r="G675" s="1"/>
      <c r="H675" s="1" t="s">
        <v>295</v>
      </c>
      <c r="I675" s="1" t="s">
        <v>2161</v>
      </c>
      <c r="J675" s="80"/>
      <c r="K675" s="80"/>
      <c r="L675" s="80"/>
      <c r="M675" s="80"/>
      <c r="N675" s="80"/>
      <c r="O675" s="80"/>
      <c r="P675" s="80"/>
      <c r="Q675" s="80"/>
    </row>
    <row r="676" spans="1:17" customFormat="1" ht="28.5">
      <c r="A676" t="s">
        <v>239</v>
      </c>
      <c r="B676" t="s">
        <v>240</v>
      </c>
      <c r="C676" t="s">
        <v>2162</v>
      </c>
      <c r="D676" s="5">
        <v>46028</v>
      </c>
      <c r="E676" s="5">
        <v>46028</v>
      </c>
      <c r="F676" s="120" t="s">
        <v>2163</v>
      </c>
      <c r="G676" s="1"/>
      <c r="H676" s="1" t="s">
        <v>254</v>
      </c>
      <c r="I676" s="1" t="s">
        <v>2164</v>
      </c>
      <c r="J676" s="80"/>
      <c r="K676" s="80"/>
      <c r="L676" s="80"/>
      <c r="M676" s="80"/>
      <c r="N676" s="80"/>
      <c r="O676" s="80"/>
      <c r="P676" s="80"/>
      <c r="Q676" s="80"/>
    </row>
    <row r="677" spans="1:17" customFormat="1" ht="28.5">
      <c r="A677" t="s">
        <v>239</v>
      </c>
      <c r="B677" t="s">
        <v>240</v>
      </c>
      <c r="C677" t="s">
        <v>2162</v>
      </c>
      <c r="D677" s="5">
        <v>46028</v>
      </c>
      <c r="E677" s="5">
        <v>46028</v>
      </c>
      <c r="F677" s="120" t="s">
        <v>2165</v>
      </c>
      <c r="G677" s="1"/>
      <c r="H677" s="1" t="s">
        <v>2166</v>
      </c>
      <c r="I677" s="1" t="s">
        <v>2167</v>
      </c>
      <c r="J677" s="80"/>
      <c r="K677" s="80"/>
      <c r="L677" s="80"/>
      <c r="M677" s="80"/>
      <c r="N677" s="80"/>
      <c r="O677" s="80"/>
      <c r="P677" s="80"/>
      <c r="Q677" s="80"/>
    </row>
    <row r="678" spans="1:17" customFormat="1" ht="28.5">
      <c r="A678" t="s">
        <v>239</v>
      </c>
      <c r="B678" t="s">
        <v>240</v>
      </c>
      <c r="C678" t="s">
        <v>2168</v>
      </c>
      <c r="D678" s="5">
        <v>46028</v>
      </c>
      <c r="E678" s="5">
        <v>46028</v>
      </c>
      <c r="F678" s="120" t="s">
        <v>2169</v>
      </c>
      <c r="G678" s="1" t="s">
        <v>1557</v>
      </c>
      <c r="H678" s="1"/>
      <c r="I678" s="1" t="s">
        <v>2170</v>
      </c>
      <c r="J678" s="80"/>
      <c r="K678" s="80"/>
      <c r="L678" s="80"/>
      <c r="M678" s="80"/>
      <c r="N678" s="80"/>
      <c r="O678" s="80"/>
      <c r="P678" s="80"/>
      <c r="Q678" s="80"/>
    </row>
    <row r="679" spans="1:17" customFormat="1" ht="28.5">
      <c r="A679" t="s">
        <v>239</v>
      </c>
      <c r="B679" t="s">
        <v>240</v>
      </c>
      <c r="C679" t="s">
        <v>2171</v>
      </c>
      <c r="D679" s="5">
        <v>46028</v>
      </c>
      <c r="E679" s="5">
        <v>46028</v>
      </c>
      <c r="F679" s="120" t="s">
        <v>2172</v>
      </c>
      <c r="G679" s="1"/>
      <c r="H679" s="1" t="s">
        <v>254</v>
      </c>
      <c r="I679" s="1" t="s">
        <v>2173</v>
      </c>
      <c r="J679" s="80"/>
      <c r="K679" s="80"/>
      <c r="L679" s="80"/>
      <c r="M679" s="80"/>
      <c r="N679" s="80"/>
      <c r="O679" s="80"/>
      <c r="P679" s="80"/>
      <c r="Q679" s="80"/>
    </row>
    <row r="680" spans="1:17" customFormat="1" ht="42.75">
      <c r="A680" t="s">
        <v>239</v>
      </c>
      <c r="B680" t="s">
        <v>240</v>
      </c>
      <c r="C680" t="s">
        <v>2171</v>
      </c>
      <c r="D680" s="5">
        <v>46028</v>
      </c>
      <c r="E680" s="5">
        <v>46028</v>
      </c>
      <c r="F680" s="120" t="s">
        <v>2174</v>
      </c>
      <c r="G680" s="1"/>
      <c r="H680" s="1" t="s">
        <v>1032</v>
      </c>
      <c r="I680" s="1" t="s">
        <v>2175</v>
      </c>
      <c r="J680" s="80"/>
      <c r="K680" s="80"/>
      <c r="L680" s="80"/>
      <c r="M680" s="80"/>
      <c r="N680" s="80"/>
      <c r="O680" s="80"/>
      <c r="P680" s="80"/>
      <c r="Q680" s="80"/>
    </row>
    <row r="681" spans="1:17" customFormat="1" ht="28.5">
      <c r="A681" t="s">
        <v>239</v>
      </c>
      <c r="B681" t="s">
        <v>240</v>
      </c>
      <c r="C681" t="s">
        <v>2176</v>
      </c>
      <c r="D681" s="5">
        <v>46028</v>
      </c>
      <c r="E681" s="5">
        <v>46028</v>
      </c>
      <c r="F681" s="120" t="s">
        <v>2177</v>
      </c>
      <c r="G681" s="1"/>
      <c r="H681" s="1" t="s">
        <v>254</v>
      </c>
      <c r="I681" s="1" t="s">
        <v>2178</v>
      </c>
      <c r="J681" s="80"/>
      <c r="K681" s="80"/>
      <c r="L681" s="80"/>
      <c r="M681" s="80"/>
      <c r="N681" s="80"/>
      <c r="O681" s="80"/>
      <c r="P681" s="80"/>
      <c r="Q681" s="80"/>
    </row>
    <row r="682" spans="1:17" customFormat="1" ht="42.75">
      <c r="A682" t="s">
        <v>239</v>
      </c>
      <c r="B682" t="s">
        <v>240</v>
      </c>
      <c r="C682" t="s">
        <v>2176</v>
      </c>
      <c r="D682" s="5">
        <v>46028</v>
      </c>
      <c r="E682" s="5">
        <v>46028</v>
      </c>
      <c r="F682" s="120" t="s">
        <v>2179</v>
      </c>
      <c r="G682" s="1"/>
      <c r="H682" s="1" t="s">
        <v>2180</v>
      </c>
      <c r="I682" s="1" t="s">
        <v>2181</v>
      </c>
      <c r="J682" s="80"/>
      <c r="K682" s="80"/>
      <c r="L682" s="80"/>
      <c r="M682" s="80"/>
      <c r="N682" s="80"/>
      <c r="O682" s="80"/>
      <c r="P682" s="80"/>
      <c r="Q682" s="80"/>
    </row>
    <row r="683" spans="1:17" customFormat="1" ht="42.75">
      <c r="A683" t="s">
        <v>239</v>
      </c>
      <c r="B683" t="s">
        <v>240</v>
      </c>
      <c r="C683" t="s">
        <v>2182</v>
      </c>
      <c r="D683" s="5">
        <v>46028</v>
      </c>
      <c r="E683" s="5">
        <v>46028</v>
      </c>
      <c r="F683" s="120" t="s">
        <v>2183</v>
      </c>
      <c r="G683" s="1"/>
      <c r="H683" s="1" t="s">
        <v>254</v>
      </c>
      <c r="I683" s="1" t="s">
        <v>2184</v>
      </c>
      <c r="J683" s="80"/>
      <c r="K683" s="80"/>
      <c r="L683" s="80"/>
      <c r="M683" s="80"/>
      <c r="N683" s="80"/>
      <c r="O683" s="80"/>
      <c r="P683" s="80"/>
      <c r="Q683" s="80"/>
    </row>
    <row r="684" spans="1:17" customFormat="1" ht="42.75">
      <c r="A684" t="s">
        <v>239</v>
      </c>
      <c r="B684" t="s">
        <v>240</v>
      </c>
      <c r="C684" t="s">
        <v>2182</v>
      </c>
      <c r="D684" s="5">
        <v>46028</v>
      </c>
      <c r="E684" s="5">
        <v>46028</v>
      </c>
      <c r="F684" s="120" t="s">
        <v>2185</v>
      </c>
      <c r="G684" s="1"/>
      <c r="H684" s="1" t="s">
        <v>1545</v>
      </c>
      <c r="I684" s="1" t="s">
        <v>2186</v>
      </c>
      <c r="J684" s="80"/>
      <c r="K684" s="80"/>
      <c r="L684" s="80"/>
      <c r="M684" s="80"/>
      <c r="N684" s="80"/>
      <c r="O684" s="80"/>
      <c r="P684" s="80"/>
      <c r="Q684" s="80"/>
    </row>
    <row r="685" spans="1:17" customFormat="1" ht="28.5">
      <c r="A685" t="s">
        <v>239</v>
      </c>
      <c r="B685" t="s">
        <v>240</v>
      </c>
      <c r="C685" t="s">
        <v>2187</v>
      </c>
      <c r="D685" s="5">
        <v>46028</v>
      </c>
      <c r="E685" s="5">
        <v>46028</v>
      </c>
      <c r="F685" s="120" t="s">
        <v>2188</v>
      </c>
      <c r="G685" s="1" t="s">
        <v>1476</v>
      </c>
      <c r="H685" s="1"/>
      <c r="I685" s="1" t="s">
        <v>2189</v>
      </c>
      <c r="J685" s="80"/>
      <c r="K685" s="80"/>
      <c r="L685" s="80"/>
      <c r="M685" s="80"/>
      <c r="N685" s="80"/>
      <c r="O685" s="80"/>
      <c r="P685" s="80"/>
      <c r="Q685" s="80"/>
    </row>
    <row r="686" spans="1:17" customFormat="1" ht="28.5">
      <c r="A686" t="s">
        <v>239</v>
      </c>
      <c r="B686" t="s">
        <v>240</v>
      </c>
      <c r="C686" t="s">
        <v>2190</v>
      </c>
      <c r="D686" s="5">
        <v>46028</v>
      </c>
      <c r="E686" s="5">
        <v>46028</v>
      </c>
      <c r="F686" s="120" t="s">
        <v>2156</v>
      </c>
      <c r="G686" s="1"/>
      <c r="H686" s="1" t="s">
        <v>261</v>
      </c>
      <c r="I686" s="1" t="s">
        <v>2191</v>
      </c>
      <c r="J686" s="80"/>
      <c r="K686" s="80"/>
      <c r="L686" s="80"/>
      <c r="M686" s="80"/>
      <c r="N686" s="80"/>
      <c r="O686" s="80"/>
      <c r="P686" s="80"/>
      <c r="Q686" s="80"/>
    </row>
    <row r="687" spans="1:17" customFormat="1" ht="42.75">
      <c r="A687" t="s">
        <v>239</v>
      </c>
      <c r="B687" t="s">
        <v>240</v>
      </c>
      <c r="C687" t="s">
        <v>2190</v>
      </c>
      <c r="D687" s="5">
        <v>46028</v>
      </c>
      <c r="E687" s="5">
        <v>46028</v>
      </c>
      <c r="F687" s="120" t="s">
        <v>2158</v>
      </c>
      <c r="G687" s="1"/>
      <c r="H687" s="1" t="s">
        <v>467</v>
      </c>
      <c r="I687" s="1" t="s">
        <v>2192</v>
      </c>
      <c r="J687" s="80"/>
      <c r="K687" s="80"/>
      <c r="L687" s="80"/>
      <c r="M687" s="80"/>
      <c r="N687" s="80"/>
      <c r="O687" s="80"/>
      <c r="P687" s="80"/>
      <c r="Q687" s="80"/>
    </row>
    <row r="688" spans="1:17" customFormat="1" ht="28.5">
      <c r="A688" t="s">
        <v>239</v>
      </c>
      <c r="B688" t="s">
        <v>240</v>
      </c>
      <c r="C688" t="s">
        <v>2193</v>
      </c>
      <c r="D688" s="5">
        <v>46028</v>
      </c>
      <c r="E688" s="5">
        <v>46028</v>
      </c>
      <c r="F688" s="120" t="s">
        <v>2194</v>
      </c>
      <c r="G688" s="1"/>
      <c r="H688" s="1" t="s">
        <v>254</v>
      </c>
      <c r="I688" s="1" t="s">
        <v>2195</v>
      </c>
      <c r="J688" s="80"/>
      <c r="K688" s="80"/>
      <c r="L688" s="80"/>
      <c r="M688" s="80"/>
      <c r="N688" s="80"/>
      <c r="O688" s="80"/>
      <c r="P688" s="80"/>
      <c r="Q688" s="80"/>
    </row>
    <row r="689" spans="1:17" customFormat="1" ht="28.5">
      <c r="A689" t="s">
        <v>239</v>
      </c>
      <c r="B689" t="s">
        <v>240</v>
      </c>
      <c r="C689" t="s">
        <v>2193</v>
      </c>
      <c r="D689" s="5">
        <v>46028</v>
      </c>
      <c r="E689" s="5">
        <v>46028</v>
      </c>
      <c r="F689" s="120" t="s">
        <v>2196</v>
      </c>
      <c r="G689" s="1"/>
      <c r="H689" s="1" t="s">
        <v>756</v>
      </c>
      <c r="I689" s="1" t="s">
        <v>2197</v>
      </c>
      <c r="J689" s="80"/>
      <c r="K689" s="80"/>
      <c r="L689" s="80"/>
      <c r="M689" s="80"/>
      <c r="N689" s="80"/>
      <c r="O689" s="80"/>
      <c r="P689" s="80"/>
      <c r="Q689" s="80"/>
    </row>
    <row r="690" spans="1:17" customFormat="1" ht="28.5">
      <c r="A690" t="s">
        <v>239</v>
      </c>
      <c r="B690" t="s">
        <v>240</v>
      </c>
      <c r="C690" t="s">
        <v>2198</v>
      </c>
      <c r="D690" s="5">
        <v>46028</v>
      </c>
      <c r="E690" s="5">
        <v>46028</v>
      </c>
      <c r="F690" s="120" t="s">
        <v>2199</v>
      </c>
      <c r="G690" s="1"/>
      <c r="H690" s="1" t="s">
        <v>277</v>
      </c>
      <c r="I690" s="1" t="s">
        <v>2200</v>
      </c>
      <c r="J690" s="80"/>
      <c r="K690" s="80"/>
      <c r="L690" s="80"/>
      <c r="M690" s="80"/>
      <c r="N690" s="80"/>
      <c r="O690" s="80"/>
      <c r="P690" s="80"/>
      <c r="Q690" s="80"/>
    </row>
    <row r="691" spans="1:17" customFormat="1" ht="28.5">
      <c r="A691" t="s">
        <v>239</v>
      </c>
      <c r="B691" t="s">
        <v>240</v>
      </c>
      <c r="C691" t="s">
        <v>2201</v>
      </c>
      <c r="D691" s="5">
        <v>46029</v>
      </c>
      <c r="E691" s="5">
        <v>46029</v>
      </c>
      <c r="F691" s="120" t="s">
        <v>2202</v>
      </c>
      <c r="G691" s="1"/>
      <c r="H691" s="1" t="s">
        <v>261</v>
      </c>
      <c r="I691" s="1" t="s">
        <v>2203</v>
      </c>
      <c r="J691" s="80"/>
      <c r="K691" s="80"/>
      <c r="L691" s="80"/>
      <c r="M691" s="80"/>
      <c r="N691" s="80"/>
      <c r="O691" s="80"/>
      <c r="P691" s="80"/>
      <c r="Q691" s="80"/>
    </row>
    <row r="692" spans="1:17" customFormat="1" ht="42.75">
      <c r="A692" t="s">
        <v>239</v>
      </c>
      <c r="B692" t="s">
        <v>240</v>
      </c>
      <c r="C692" t="s">
        <v>2201</v>
      </c>
      <c r="D692" s="5">
        <v>46029</v>
      </c>
      <c r="E692" s="5">
        <v>46029</v>
      </c>
      <c r="F692" s="120" t="s">
        <v>2204</v>
      </c>
      <c r="G692" s="1"/>
      <c r="H692" s="1" t="s">
        <v>2126</v>
      </c>
      <c r="I692" s="1" t="s">
        <v>2205</v>
      </c>
      <c r="J692" s="80"/>
      <c r="K692" s="80"/>
      <c r="L692" s="80"/>
      <c r="M692" s="80"/>
      <c r="N692" s="80"/>
      <c r="O692" s="80"/>
      <c r="P692" s="80"/>
      <c r="Q692" s="80"/>
    </row>
    <row r="693" spans="1:17" customFormat="1" ht="28.5">
      <c r="A693" t="s">
        <v>1539</v>
      </c>
      <c r="B693" t="s">
        <v>240</v>
      </c>
      <c r="C693" t="s">
        <v>2206</v>
      </c>
      <c r="D693" s="5">
        <v>46029</v>
      </c>
      <c r="E693" s="5">
        <v>46029</v>
      </c>
      <c r="F693" s="120" t="s">
        <v>2207</v>
      </c>
      <c r="G693" s="1" t="s">
        <v>1048</v>
      </c>
      <c r="H693" s="1"/>
      <c r="I693" s="1" t="s">
        <v>2208</v>
      </c>
      <c r="J693" s="80"/>
      <c r="K693" s="80"/>
      <c r="L693" s="80"/>
      <c r="M693" s="80"/>
      <c r="N693" s="80"/>
      <c r="O693" s="80"/>
      <c r="P693" s="80"/>
      <c r="Q693" s="80"/>
    </row>
    <row r="694" spans="1:17" customFormat="1" ht="28.5">
      <c r="A694" t="s">
        <v>239</v>
      </c>
      <c r="B694" t="s">
        <v>240</v>
      </c>
      <c r="C694" t="s">
        <v>2209</v>
      </c>
      <c r="D694" s="5">
        <v>46030</v>
      </c>
      <c r="E694" s="5">
        <v>46030</v>
      </c>
      <c r="F694" s="120" t="s">
        <v>2210</v>
      </c>
      <c r="G694" s="1"/>
      <c r="H694" s="1" t="s">
        <v>261</v>
      </c>
      <c r="I694" s="1" t="s">
        <v>2211</v>
      </c>
      <c r="J694" s="80"/>
      <c r="K694" s="80"/>
      <c r="L694" s="80"/>
      <c r="M694" s="80"/>
      <c r="N694" s="80"/>
      <c r="O694" s="80"/>
      <c r="P694" s="80"/>
      <c r="Q694" s="80"/>
    </row>
    <row r="695" spans="1:17" customFormat="1" ht="42.75">
      <c r="A695" t="s">
        <v>239</v>
      </c>
      <c r="B695" t="s">
        <v>240</v>
      </c>
      <c r="C695" t="s">
        <v>2209</v>
      </c>
      <c r="D695" s="5">
        <v>46030</v>
      </c>
      <c r="E695" s="5">
        <v>46030</v>
      </c>
      <c r="F695" s="120" t="s">
        <v>2212</v>
      </c>
      <c r="G695" s="1"/>
      <c r="H695" s="1" t="s">
        <v>480</v>
      </c>
      <c r="I695" s="1" t="s">
        <v>2213</v>
      </c>
      <c r="J695" s="80"/>
      <c r="K695" s="80"/>
      <c r="L695" s="80"/>
      <c r="M695" s="80"/>
      <c r="N695" s="80"/>
      <c r="O695" s="80"/>
      <c r="P695" s="80"/>
      <c r="Q695" s="80"/>
    </row>
    <row r="696" spans="1:17" customFormat="1" ht="28.5">
      <c r="A696" t="s">
        <v>1539</v>
      </c>
      <c r="B696" t="s">
        <v>240</v>
      </c>
      <c r="C696" t="s">
        <v>2214</v>
      </c>
      <c r="D696" s="5">
        <v>46030</v>
      </c>
      <c r="E696" s="5">
        <v>46030</v>
      </c>
      <c r="F696" s="120" t="s">
        <v>1611</v>
      </c>
      <c r="G696" s="1" t="s">
        <v>1557</v>
      </c>
      <c r="H696" s="1"/>
      <c r="I696" s="1" t="s">
        <v>2215</v>
      </c>
      <c r="J696" s="80"/>
      <c r="K696" s="80"/>
      <c r="L696" s="80"/>
      <c r="M696" s="80"/>
      <c r="N696" s="80"/>
      <c r="O696" s="80"/>
      <c r="P696" s="80"/>
      <c r="Q696" s="80"/>
    </row>
    <row r="697" spans="1:17" customFormat="1" ht="28.5">
      <c r="A697" t="s">
        <v>239</v>
      </c>
      <c r="B697" t="s">
        <v>240</v>
      </c>
      <c r="C697" t="s">
        <v>2216</v>
      </c>
      <c r="D697" s="5">
        <v>46030</v>
      </c>
      <c r="E697" s="5">
        <v>46030</v>
      </c>
      <c r="F697" s="120" t="s">
        <v>2217</v>
      </c>
      <c r="G697" s="1"/>
      <c r="H697" s="1" t="s">
        <v>254</v>
      </c>
      <c r="I697" s="1" t="s">
        <v>2218</v>
      </c>
      <c r="J697" s="80"/>
      <c r="K697" s="80"/>
      <c r="L697" s="80"/>
      <c r="M697" s="80"/>
      <c r="N697" s="80"/>
      <c r="O697" s="80"/>
      <c r="P697" s="80"/>
      <c r="Q697" s="80"/>
    </row>
    <row r="698" spans="1:17" customFormat="1" ht="28.5">
      <c r="A698" t="s">
        <v>239</v>
      </c>
      <c r="B698" t="s">
        <v>240</v>
      </c>
      <c r="C698" t="s">
        <v>2216</v>
      </c>
      <c r="D698" s="5">
        <v>46030</v>
      </c>
      <c r="E698" s="5">
        <v>46030</v>
      </c>
      <c r="F698" s="120" t="s">
        <v>2219</v>
      </c>
      <c r="G698" s="1"/>
      <c r="H698" s="1" t="s">
        <v>433</v>
      </c>
      <c r="I698" s="1" t="s">
        <v>2220</v>
      </c>
      <c r="J698" s="80"/>
      <c r="K698" s="80"/>
      <c r="L698" s="80"/>
      <c r="M698" s="80"/>
      <c r="N698" s="80"/>
      <c r="O698" s="80"/>
      <c r="P698" s="80"/>
      <c r="Q698" s="80"/>
    </row>
    <row r="699" spans="1:17" customFormat="1" ht="28.5">
      <c r="A699" t="s">
        <v>239</v>
      </c>
      <c r="B699" t="s">
        <v>240</v>
      </c>
      <c r="C699" t="s">
        <v>2221</v>
      </c>
      <c r="D699" s="5">
        <v>46030</v>
      </c>
      <c r="E699" s="5">
        <v>46030</v>
      </c>
      <c r="F699" s="120" t="s">
        <v>2222</v>
      </c>
      <c r="G699" s="1"/>
      <c r="H699" s="1" t="s">
        <v>254</v>
      </c>
      <c r="I699" s="1" t="s">
        <v>2223</v>
      </c>
      <c r="J699" s="80"/>
      <c r="K699" s="80"/>
      <c r="L699" s="80"/>
      <c r="M699" s="80"/>
      <c r="N699" s="80"/>
      <c r="O699" s="80"/>
      <c r="P699" s="80"/>
      <c r="Q699" s="80"/>
    </row>
    <row r="700" spans="1:17" customFormat="1" ht="28.5">
      <c r="A700" t="s">
        <v>239</v>
      </c>
      <c r="B700" t="s">
        <v>240</v>
      </c>
      <c r="C700" t="s">
        <v>2221</v>
      </c>
      <c r="D700" s="5">
        <v>46030</v>
      </c>
      <c r="E700" s="5">
        <v>46030</v>
      </c>
      <c r="F700" s="120" t="s">
        <v>2224</v>
      </c>
      <c r="G700" s="1"/>
      <c r="H700" s="1" t="s">
        <v>699</v>
      </c>
      <c r="I700" s="1" t="s">
        <v>2225</v>
      </c>
      <c r="J700" s="80"/>
      <c r="K700" s="80"/>
      <c r="L700" s="80"/>
      <c r="M700" s="80"/>
      <c r="N700" s="80"/>
      <c r="O700" s="80"/>
      <c r="P700" s="80"/>
      <c r="Q700" s="80"/>
    </row>
    <row r="701" spans="1:17" customFormat="1" ht="28.5">
      <c r="A701" t="s">
        <v>239</v>
      </c>
      <c r="B701" t="s">
        <v>240</v>
      </c>
      <c r="C701" t="s">
        <v>2226</v>
      </c>
      <c r="D701" s="5">
        <v>46030</v>
      </c>
      <c r="E701" s="5">
        <v>46030</v>
      </c>
      <c r="F701" s="120" t="s">
        <v>2227</v>
      </c>
      <c r="G701" s="1"/>
      <c r="H701" s="1" t="s">
        <v>261</v>
      </c>
      <c r="I701" s="1" t="s">
        <v>2228</v>
      </c>
      <c r="J701" s="80"/>
      <c r="K701" s="80"/>
      <c r="L701" s="80"/>
      <c r="M701" s="80"/>
      <c r="N701" s="80"/>
      <c r="O701" s="80"/>
      <c r="P701" s="80"/>
      <c r="Q701" s="80"/>
    </row>
    <row r="702" spans="1:17" customFormat="1" ht="28.5">
      <c r="A702" t="s">
        <v>239</v>
      </c>
      <c r="B702" t="s">
        <v>240</v>
      </c>
      <c r="C702" t="s">
        <v>2226</v>
      </c>
      <c r="D702" s="5">
        <v>46030</v>
      </c>
      <c r="E702" s="5">
        <v>46030</v>
      </c>
      <c r="F702" s="120" t="s">
        <v>2229</v>
      </c>
      <c r="G702" s="1"/>
      <c r="H702" s="1" t="s">
        <v>1144</v>
      </c>
      <c r="I702" s="1" t="s">
        <v>2230</v>
      </c>
      <c r="J702" s="80"/>
      <c r="K702" s="80"/>
      <c r="L702" s="80"/>
      <c r="M702" s="80"/>
      <c r="N702" s="80"/>
      <c r="O702" s="80"/>
      <c r="P702" s="80"/>
      <c r="Q702" s="80"/>
    </row>
    <row r="703" spans="1:17" customFormat="1">
      <c r="A703" t="s">
        <v>239</v>
      </c>
      <c r="B703" t="s">
        <v>240</v>
      </c>
      <c r="C703" t="s">
        <v>2231</v>
      </c>
      <c r="D703" s="5">
        <v>46030</v>
      </c>
      <c r="E703" s="5">
        <v>46030</v>
      </c>
      <c r="F703" s="120" t="s">
        <v>2232</v>
      </c>
      <c r="G703" s="1" t="s">
        <v>2233</v>
      </c>
      <c r="H703" s="1"/>
      <c r="I703" s="1" t="s">
        <v>2234</v>
      </c>
      <c r="J703" s="80"/>
      <c r="K703" s="80"/>
      <c r="L703" s="80"/>
      <c r="M703" s="80"/>
      <c r="N703" s="80"/>
      <c r="O703" s="80"/>
      <c r="P703" s="80"/>
      <c r="Q703" s="80"/>
    </row>
    <row r="704" spans="1:17" customFormat="1" ht="28.5">
      <c r="A704" t="s">
        <v>239</v>
      </c>
      <c r="B704" t="s">
        <v>240</v>
      </c>
      <c r="C704" t="s">
        <v>2235</v>
      </c>
      <c r="D704" s="5">
        <v>46030</v>
      </c>
      <c r="E704" s="5">
        <v>46030</v>
      </c>
      <c r="F704" s="120" t="s">
        <v>2236</v>
      </c>
      <c r="G704" s="1"/>
      <c r="H704" s="1" t="s">
        <v>261</v>
      </c>
      <c r="I704" s="1" t="s">
        <v>2237</v>
      </c>
      <c r="J704" s="80"/>
      <c r="K704" s="80"/>
      <c r="L704" s="80"/>
      <c r="M704" s="80"/>
      <c r="N704" s="80"/>
      <c r="O704" s="80"/>
      <c r="P704" s="80"/>
      <c r="Q704" s="80"/>
    </row>
    <row r="705" spans="1:17" customFormat="1" ht="28.5">
      <c r="A705" t="s">
        <v>239</v>
      </c>
      <c r="B705" t="s">
        <v>240</v>
      </c>
      <c r="C705" t="s">
        <v>2235</v>
      </c>
      <c r="D705" s="5">
        <v>46030</v>
      </c>
      <c r="E705" s="5">
        <v>46030</v>
      </c>
      <c r="F705" s="120" t="s">
        <v>2238</v>
      </c>
      <c r="G705" s="1"/>
      <c r="H705" s="1" t="s">
        <v>467</v>
      </c>
      <c r="I705" s="1" t="s">
        <v>2239</v>
      </c>
      <c r="J705" s="80"/>
      <c r="K705" s="80"/>
      <c r="L705" s="80"/>
      <c r="M705" s="80"/>
      <c r="N705" s="80"/>
      <c r="O705" s="80"/>
      <c r="P705" s="80"/>
      <c r="Q705" s="80"/>
    </row>
    <row r="706" spans="1:17" customFormat="1" ht="28.5">
      <c r="A706" t="s">
        <v>239</v>
      </c>
      <c r="B706" t="s">
        <v>240</v>
      </c>
      <c r="C706" t="s">
        <v>2240</v>
      </c>
      <c r="D706" s="5">
        <v>46030</v>
      </c>
      <c r="E706" s="5">
        <v>46030</v>
      </c>
      <c r="F706" s="120" t="s">
        <v>2241</v>
      </c>
      <c r="G706" s="1"/>
      <c r="H706" s="1" t="s">
        <v>254</v>
      </c>
      <c r="I706" s="1" t="s">
        <v>2242</v>
      </c>
      <c r="J706" s="80"/>
      <c r="K706" s="80"/>
      <c r="L706" s="80"/>
      <c r="M706" s="80"/>
      <c r="N706" s="80"/>
      <c r="O706" s="80"/>
      <c r="P706" s="80"/>
      <c r="Q706" s="80"/>
    </row>
    <row r="707" spans="1:17" customFormat="1" ht="28.5">
      <c r="A707" t="s">
        <v>239</v>
      </c>
      <c r="B707" t="s">
        <v>240</v>
      </c>
      <c r="C707" t="s">
        <v>2240</v>
      </c>
      <c r="D707" s="5">
        <v>46030</v>
      </c>
      <c r="E707" s="5">
        <v>46030</v>
      </c>
      <c r="F707" s="120" t="s">
        <v>2243</v>
      </c>
      <c r="G707" s="1"/>
      <c r="H707" s="1" t="s">
        <v>1118</v>
      </c>
      <c r="I707" s="1" t="s">
        <v>2244</v>
      </c>
      <c r="J707" s="80"/>
      <c r="K707" s="80"/>
      <c r="L707" s="80"/>
      <c r="M707" s="80"/>
      <c r="N707" s="80"/>
      <c r="O707" s="80"/>
      <c r="P707" s="80"/>
      <c r="Q707" s="80"/>
    </row>
    <row r="708" spans="1:17" customFormat="1" ht="28.5">
      <c r="A708" t="s">
        <v>239</v>
      </c>
      <c r="B708" t="s">
        <v>240</v>
      </c>
      <c r="C708" t="s">
        <v>2245</v>
      </c>
      <c r="D708" s="5">
        <v>46031</v>
      </c>
      <c r="E708" s="5">
        <v>46031</v>
      </c>
      <c r="F708" s="120" t="s">
        <v>2246</v>
      </c>
      <c r="G708" s="1"/>
      <c r="H708" s="1" t="s">
        <v>254</v>
      </c>
      <c r="I708" s="1" t="s">
        <v>2247</v>
      </c>
      <c r="J708" s="80"/>
      <c r="K708" s="80"/>
      <c r="L708" s="80"/>
      <c r="M708" s="80"/>
      <c r="N708" s="80"/>
      <c r="O708" s="80"/>
      <c r="P708" s="80"/>
      <c r="Q708" s="80"/>
    </row>
    <row r="709" spans="1:17" customFormat="1" ht="28.5">
      <c r="A709" t="s">
        <v>239</v>
      </c>
      <c r="B709" t="s">
        <v>240</v>
      </c>
      <c r="C709" t="s">
        <v>2245</v>
      </c>
      <c r="D709" s="5">
        <v>46031</v>
      </c>
      <c r="E709" s="5">
        <v>46031</v>
      </c>
      <c r="F709" s="120" t="s">
        <v>2248</v>
      </c>
      <c r="G709" s="1"/>
      <c r="H709" s="1" t="s">
        <v>250</v>
      </c>
      <c r="I709" s="1" t="s">
        <v>2249</v>
      </c>
      <c r="J709" s="80"/>
      <c r="K709" s="80"/>
      <c r="L709" s="80"/>
      <c r="M709" s="80"/>
      <c r="N709" s="80"/>
      <c r="O709" s="80"/>
      <c r="P709" s="80"/>
      <c r="Q709" s="80"/>
    </row>
    <row r="710" spans="1:17" customFormat="1" ht="28.5">
      <c r="A710" t="s">
        <v>239</v>
      </c>
      <c r="B710" t="s">
        <v>240</v>
      </c>
      <c r="C710" t="s">
        <v>2250</v>
      </c>
      <c r="D710" s="5">
        <v>46031</v>
      </c>
      <c r="E710" s="5">
        <v>46031</v>
      </c>
      <c r="F710" s="120" t="s">
        <v>2251</v>
      </c>
      <c r="G710" s="1"/>
      <c r="H710" s="1" t="s">
        <v>254</v>
      </c>
      <c r="I710" s="1" t="s">
        <v>2252</v>
      </c>
      <c r="J710" s="80"/>
      <c r="K710" s="80"/>
      <c r="L710" s="80"/>
      <c r="M710" s="80"/>
      <c r="N710" s="80"/>
      <c r="O710" s="80"/>
      <c r="P710" s="80"/>
      <c r="Q710" s="80"/>
    </row>
    <row r="711" spans="1:17" customFormat="1" ht="28.5">
      <c r="A711" t="s">
        <v>239</v>
      </c>
      <c r="B711" t="s">
        <v>240</v>
      </c>
      <c r="C711" t="s">
        <v>2250</v>
      </c>
      <c r="D711" s="5">
        <v>46031</v>
      </c>
      <c r="E711" s="5">
        <v>46031</v>
      </c>
      <c r="F711" s="120" t="s">
        <v>2253</v>
      </c>
      <c r="G711" s="1"/>
      <c r="H711" s="1" t="s">
        <v>2153</v>
      </c>
      <c r="I711" s="1" t="s">
        <v>2254</v>
      </c>
      <c r="J711" s="80"/>
      <c r="K711" s="80"/>
      <c r="L711" s="80"/>
      <c r="M711" s="80"/>
      <c r="N711" s="80"/>
      <c r="O711" s="80"/>
      <c r="P711" s="80"/>
      <c r="Q711" s="80"/>
    </row>
    <row r="712" spans="1:17" customFormat="1" ht="42.75">
      <c r="A712" t="s">
        <v>239</v>
      </c>
      <c r="B712" t="s">
        <v>240</v>
      </c>
      <c r="C712" t="s">
        <v>2255</v>
      </c>
      <c r="D712" s="5">
        <v>46031</v>
      </c>
      <c r="E712" s="5">
        <v>46031</v>
      </c>
      <c r="F712" s="120" t="s">
        <v>2256</v>
      </c>
      <c r="G712" s="1"/>
      <c r="H712" s="1" t="s">
        <v>433</v>
      </c>
      <c r="I712" s="1" t="s">
        <v>2257</v>
      </c>
      <c r="J712" s="80"/>
      <c r="K712" s="80"/>
      <c r="L712" s="80"/>
      <c r="M712" s="80"/>
      <c r="N712" s="80"/>
      <c r="O712" s="80"/>
      <c r="P712" s="80"/>
      <c r="Q712" s="80"/>
    </row>
    <row r="713" spans="1:17" customFormat="1" ht="28.5">
      <c r="A713" t="s">
        <v>239</v>
      </c>
      <c r="B713" t="s">
        <v>240</v>
      </c>
      <c r="C713" t="s">
        <v>2258</v>
      </c>
      <c r="D713" s="5">
        <v>46031</v>
      </c>
      <c r="E713" s="5">
        <v>46031</v>
      </c>
      <c r="F713" s="120" t="s">
        <v>2259</v>
      </c>
      <c r="G713" s="1"/>
      <c r="H713" s="1" t="s">
        <v>254</v>
      </c>
      <c r="I713" s="1" t="s">
        <v>2260</v>
      </c>
      <c r="J713" s="80"/>
      <c r="K713" s="80"/>
      <c r="L713" s="80"/>
      <c r="M713" s="80"/>
      <c r="N713" s="80"/>
      <c r="O713" s="80"/>
      <c r="P713" s="80"/>
      <c r="Q713" s="80"/>
    </row>
    <row r="714" spans="1:17" customFormat="1" ht="42.75">
      <c r="A714" t="s">
        <v>239</v>
      </c>
      <c r="B714" t="s">
        <v>240</v>
      </c>
      <c r="C714" t="s">
        <v>2258</v>
      </c>
      <c r="D714" s="5">
        <v>46031</v>
      </c>
      <c r="E714" s="5">
        <v>46031</v>
      </c>
      <c r="F714" s="120" t="s">
        <v>2261</v>
      </c>
      <c r="G714" s="1"/>
      <c r="H714" s="1" t="s">
        <v>250</v>
      </c>
      <c r="I714" s="1" t="s">
        <v>2262</v>
      </c>
      <c r="J714" s="80"/>
      <c r="K714" s="80"/>
      <c r="L714" s="80"/>
      <c r="M714" s="80"/>
      <c r="N714" s="80"/>
      <c r="O714" s="80"/>
      <c r="P714" s="80"/>
      <c r="Q714" s="80"/>
    </row>
    <row r="715" spans="1:17" customFormat="1" ht="28.5">
      <c r="A715" t="s">
        <v>239</v>
      </c>
      <c r="B715" t="s">
        <v>240</v>
      </c>
      <c r="C715" t="s">
        <v>2263</v>
      </c>
      <c r="D715" s="5">
        <v>46031</v>
      </c>
      <c r="E715" s="5">
        <v>46031</v>
      </c>
      <c r="F715" s="120" t="s">
        <v>2264</v>
      </c>
      <c r="G715" s="1"/>
      <c r="H715" s="1" t="s">
        <v>261</v>
      </c>
      <c r="I715" s="1" t="s">
        <v>2265</v>
      </c>
      <c r="J715" s="80"/>
      <c r="K715" s="80"/>
      <c r="L715" s="80"/>
      <c r="M715" s="80"/>
      <c r="N715" s="80"/>
      <c r="O715" s="80"/>
      <c r="P715" s="80"/>
      <c r="Q715" s="80"/>
    </row>
    <row r="716" spans="1:17" customFormat="1" ht="42.75">
      <c r="A716" t="s">
        <v>239</v>
      </c>
      <c r="B716" t="s">
        <v>240</v>
      </c>
      <c r="C716" t="s">
        <v>2263</v>
      </c>
      <c r="D716" s="5">
        <v>46031</v>
      </c>
      <c r="E716" s="5">
        <v>46031</v>
      </c>
      <c r="F716" s="120" t="s">
        <v>2266</v>
      </c>
      <c r="G716" s="1"/>
      <c r="H716" s="1" t="s">
        <v>630</v>
      </c>
      <c r="I716" s="1" t="s">
        <v>2267</v>
      </c>
      <c r="J716" s="80"/>
      <c r="K716" s="80"/>
      <c r="L716" s="80"/>
      <c r="M716" s="80"/>
      <c r="N716" s="80"/>
      <c r="O716" s="80"/>
      <c r="P716" s="80"/>
      <c r="Q716" s="80"/>
    </row>
    <row r="717" spans="1:17" customFormat="1" ht="28.5">
      <c r="A717" t="s">
        <v>239</v>
      </c>
      <c r="B717" t="s">
        <v>240</v>
      </c>
      <c r="C717" t="s">
        <v>2268</v>
      </c>
      <c r="D717" s="5">
        <v>46032</v>
      </c>
      <c r="E717" s="5">
        <v>46032</v>
      </c>
      <c r="F717" s="120" t="s">
        <v>1912</v>
      </c>
      <c r="G717" s="1"/>
      <c r="H717" s="1" t="s">
        <v>261</v>
      </c>
      <c r="I717" s="1" t="s">
        <v>2269</v>
      </c>
      <c r="J717" s="80"/>
      <c r="K717" s="80"/>
      <c r="L717" s="80"/>
      <c r="M717" s="80"/>
      <c r="N717" s="80"/>
      <c r="O717" s="80"/>
      <c r="P717" s="80"/>
      <c r="Q717" s="80"/>
    </row>
    <row r="718" spans="1:17" customFormat="1" ht="28.5">
      <c r="A718" t="s">
        <v>239</v>
      </c>
      <c r="B718" t="s">
        <v>240</v>
      </c>
      <c r="C718" t="s">
        <v>2268</v>
      </c>
      <c r="D718" s="5">
        <v>46032</v>
      </c>
      <c r="E718" s="5">
        <v>46032</v>
      </c>
      <c r="F718" s="120" t="s">
        <v>1914</v>
      </c>
      <c r="G718" s="1"/>
      <c r="H718" s="1" t="s">
        <v>307</v>
      </c>
      <c r="I718" s="1" t="s">
        <v>2270</v>
      </c>
      <c r="J718" s="80"/>
      <c r="K718" s="80"/>
      <c r="L718" s="80"/>
      <c r="M718" s="80"/>
      <c r="N718" s="80"/>
      <c r="O718" s="80"/>
      <c r="P718" s="80"/>
      <c r="Q718" s="80"/>
    </row>
    <row r="719" spans="1:17" customFormat="1" ht="28.5">
      <c r="A719" t="s">
        <v>239</v>
      </c>
      <c r="B719" t="s">
        <v>240</v>
      </c>
      <c r="C719" t="s">
        <v>2271</v>
      </c>
      <c r="D719" s="5">
        <v>46032</v>
      </c>
      <c r="E719" s="5">
        <v>46032</v>
      </c>
      <c r="F719" s="120" t="s">
        <v>2272</v>
      </c>
      <c r="G719" s="1"/>
      <c r="H719" s="1" t="s">
        <v>261</v>
      </c>
      <c r="I719" s="1" t="s">
        <v>2273</v>
      </c>
      <c r="J719" s="80"/>
      <c r="K719" s="80"/>
      <c r="L719" s="80"/>
      <c r="M719" s="80"/>
      <c r="N719" s="80"/>
      <c r="O719" s="80"/>
      <c r="P719" s="80"/>
      <c r="Q719" s="80"/>
    </row>
    <row r="720" spans="1:17" customFormat="1" ht="42.75">
      <c r="A720" t="s">
        <v>239</v>
      </c>
      <c r="B720" t="s">
        <v>240</v>
      </c>
      <c r="C720" t="s">
        <v>2271</v>
      </c>
      <c r="D720" s="5">
        <v>46032</v>
      </c>
      <c r="E720" s="5">
        <v>46032</v>
      </c>
      <c r="F720" s="120" t="s">
        <v>2274</v>
      </c>
      <c r="G720" s="1"/>
      <c r="H720" s="1" t="s">
        <v>630</v>
      </c>
      <c r="I720" s="1" t="s">
        <v>2275</v>
      </c>
      <c r="J720" s="80"/>
      <c r="K720" s="80"/>
      <c r="L720" s="80"/>
      <c r="M720" s="80"/>
      <c r="N720" s="80"/>
      <c r="O720" s="80"/>
      <c r="P720" s="80"/>
      <c r="Q720" s="80"/>
    </row>
    <row r="721" spans="1:17" customFormat="1" ht="28.5">
      <c r="A721" t="s">
        <v>239</v>
      </c>
      <c r="B721" t="s">
        <v>240</v>
      </c>
      <c r="C721" t="s">
        <v>2276</v>
      </c>
      <c r="D721" s="5">
        <v>46032</v>
      </c>
      <c r="E721" s="5">
        <v>46032</v>
      </c>
      <c r="F721" s="120" t="s">
        <v>2277</v>
      </c>
      <c r="G721" s="1"/>
      <c r="H721" s="1" t="s">
        <v>261</v>
      </c>
      <c r="I721" s="1" t="s">
        <v>2278</v>
      </c>
      <c r="J721" s="80"/>
      <c r="K721" s="80"/>
      <c r="L721" s="80"/>
      <c r="M721" s="80"/>
      <c r="N721" s="80"/>
      <c r="O721" s="80"/>
      <c r="P721" s="80"/>
      <c r="Q721" s="80"/>
    </row>
    <row r="722" spans="1:17" customFormat="1" ht="42.75">
      <c r="A722" t="s">
        <v>239</v>
      </c>
      <c r="B722" t="s">
        <v>240</v>
      </c>
      <c r="C722" t="s">
        <v>2276</v>
      </c>
      <c r="D722" s="5">
        <v>46032</v>
      </c>
      <c r="E722" s="5">
        <v>46032</v>
      </c>
      <c r="F722" s="120" t="s">
        <v>2279</v>
      </c>
      <c r="G722" s="1"/>
      <c r="H722" s="1" t="s">
        <v>433</v>
      </c>
      <c r="I722" s="1" t="s">
        <v>2280</v>
      </c>
      <c r="J722" s="80"/>
      <c r="K722" s="80"/>
      <c r="L722" s="80"/>
      <c r="M722" s="80"/>
      <c r="N722" s="80"/>
      <c r="O722" s="80"/>
      <c r="P722" s="80"/>
      <c r="Q722" s="80"/>
    </row>
    <row r="723" spans="1:17" customFormat="1" ht="28.5">
      <c r="A723" t="s">
        <v>239</v>
      </c>
      <c r="B723" t="s">
        <v>240</v>
      </c>
      <c r="C723" t="s">
        <v>2281</v>
      </c>
      <c r="D723" s="5">
        <v>46032</v>
      </c>
      <c r="E723" s="5">
        <v>46032</v>
      </c>
      <c r="F723" s="120" t="s">
        <v>2282</v>
      </c>
      <c r="G723" s="1" t="s">
        <v>1004</v>
      </c>
      <c r="H723" s="1"/>
      <c r="I723" s="1" t="s">
        <v>2283</v>
      </c>
      <c r="J723" s="80"/>
      <c r="K723" s="80"/>
      <c r="L723" s="80"/>
      <c r="M723" s="80"/>
      <c r="N723" s="80"/>
      <c r="O723" s="80"/>
      <c r="P723" s="80"/>
      <c r="Q723" s="80"/>
    </row>
    <row r="724" spans="1:17" customFormat="1" ht="28.5">
      <c r="A724" t="s">
        <v>239</v>
      </c>
      <c r="B724" t="s">
        <v>240</v>
      </c>
      <c r="C724" t="s">
        <v>2284</v>
      </c>
      <c r="D724" s="5">
        <v>46033</v>
      </c>
      <c r="E724" s="5">
        <v>46033</v>
      </c>
      <c r="F724" s="120" t="s">
        <v>2285</v>
      </c>
      <c r="G724" s="1" t="s">
        <v>1557</v>
      </c>
      <c r="H724" s="1"/>
      <c r="I724" s="1" t="s">
        <v>2286</v>
      </c>
      <c r="J724" s="80"/>
      <c r="K724" s="80"/>
      <c r="L724" s="80"/>
      <c r="M724" s="80"/>
      <c r="N724" s="80"/>
      <c r="O724" s="80"/>
      <c r="P724" s="80"/>
      <c r="Q724" s="80"/>
    </row>
    <row r="725" spans="1:17" customFormat="1" ht="28.5">
      <c r="A725" t="s">
        <v>239</v>
      </c>
      <c r="B725" t="s">
        <v>240</v>
      </c>
      <c r="C725" t="s">
        <v>2287</v>
      </c>
      <c r="D725" s="5">
        <v>46033</v>
      </c>
      <c r="E725" s="5">
        <v>46033</v>
      </c>
      <c r="F725" s="120" t="s">
        <v>2288</v>
      </c>
      <c r="G725" s="1" t="s">
        <v>2289</v>
      </c>
      <c r="H725" s="1"/>
      <c r="I725" s="1" t="s">
        <v>2290</v>
      </c>
      <c r="J725" s="80"/>
      <c r="K725" s="80"/>
      <c r="L725" s="80"/>
      <c r="M725" s="80"/>
      <c r="N725" s="80"/>
      <c r="O725" s="80"/>
      <c r="P725" s="80"/>
      <c r="Q725" s="80"/>
    </row>
    <row r="726" spans="1:17" customFormat="1" ht="28.5">
      <c r="A726" t="s">
        <v>239</v>
      </c>
      <c r="B726" t="s">
        <v>240</v>
      </c>
      <c r="C726" t="s">
        <v>2291</v>
      </c>
      <c r="D726" s="5">
        <v>46033</v>
      </c>
      <c r="E726" s="5">
        <v>46033</v>
      </c>
      <c r="F726" s="120" t="s">
        <v>331</v>
      </c>
      <c r="G726" s="1"/>
      <c r="H726" s="1" t="s">
        <v>2292</v>
      </c>
      <c r="I726" s="1" t="s">
        <v>2293</v>
      </c>
      <c r="J726" s="80"/>
      <c r="K726" s="80"/>
      <c r="L726" s="80"/>
      <c r="M726" s="80"/>
      <c r="N726" s="80"/>
      <c r="O726" s="80"/>
      <c r="P726" s="80"/>
      <c r="Q726" s="80"/>
    </row>
    <row r="727" spans="1:17" customFormat="1" ht="28.5">
      <c r="A727" t="s">
        <v>239</v>
      </c>
      <c r="B727" t="s">
        <v>240</v>
      </c>
      <c r="C727" t="s">
        <v>2294</v>
      </c>
      <c r="D727" s="5">
        <v>46034</v>
      </c>
      <c r="E727" s="5">
        <v>46034</v>
      </c>
      <c r="F727" s="120" t="s">
        <v>2295</v>
      </c>
      <c r="G727" s="1"/>
      <c r="H727" s="1" t="s">
        <v>261</v>
      </c>
      <c r="I727" s="1" t="s">
        <v>2296</v>
      </c>
      <c r="J727" s="80"/>
      <c r="K727" s="80"/>
      <c r="L727" s="80"/>
      <c r="M727" s="80"/>
      <c r="N727" s="80"/>
      <c r="O727" s="80"/>
      <c r="P727" s="80"/>
      <c r="Q727" s="80"/>
    </row>
    <row r="728" spans="1:17" customFormat="1" ht="28.5">
      <c r="A728" t="s">
        <v>239</v>
      </c>
      <c r="B728" t="s">
        <v>240</v>
      </c>
      <c r="C728" t="s">
        <v>2294</v>
      </c>
      <c r="D728" s="5">
        <v>46034</v>
      </c>
      <c r="E728" s="5">
        <v>46034</v>
      </c>
      <c r="F728" s="120" t="s">
        <v>2297</v>
      </c>
      <c r="G728" s="1"/>
      <c r="H728" s="1" t="s">
        <v>2298</v>
      </c>
      <c r="I728" s="1" t="s">
        <v>2299</v>
      </c>
      <c r="J728" s="80"/>
      <c r="K728" s="80"/>
      <c r="L728" s="80"/>
      <c r="M728" s="80"/>
      <c r="N728" s="80"/>
      <c r="O728" s="80"/>
      <c r="P728" s="80"/>
      <c r="Q728" s="80"/>
    </row>
    <row r="729" spans="1:17" customFormat="1" ht="28.5">
      <c r="A729" t="s">
        <v>239</v>
      </c>
      <c r="B729" t="s">
        <v>240</v>
      </c>
      <c r="C729" t="s">
        <v>2300</v>
      </c>
      <c r="D729" s="5">
        <v>46034</v>
      </c>
      <c r="E729" s="5">
        <v>46034</v>
      </c>
      <c r="F729" s="120" t="s">
        <v>2301</v>
      </c>
      <c r="G729" s="1"/>
      <c r="H729" s="1" t="s">
        <v>261</v>
      </c>
      <c r="I729" s="1" t="s">
        <v>2302</v>
      </c>
      <c r="J729" s="80"/>
      <c r="K729" s="80"/>
      <c r="L729" s="80"/>
      <c r="M729" s="80"/>
      <c r="N729" s="80"/>
      <c r="O729" s="80"/>
      <c r="P729" s="80"/>
      <c r="Q729" s="80"/>
    </row>
    <row r="730" spans="1:17" customFormat="1" ht="42.75">
      <c r="A730" t="s">
        <v>239</v>
      </c>
      <c r="B730" t="s">
        <v>240</v>
      </c>
      <c r="C730" t="s">
        <v>2300</v>
      </c>
      <c r="D730" s="5">
        <v>46034</v>
      </c>
      <c r="E730" s="5">
        <v>46034</v>
      </c>
      <c r="F730" s="120" t="s">
        <v>2303</v>
      </c>
      <c r="G730" s="1"/>
      <c r="H730" s="1" t="s">
        <v>2304</v>
      </c>
      <c r="I730" s="1" t="s">
        <v>2305</v>
      </c>
      <c r="J730" s="80"/>
      <c r="K730" s="80"/>
      <c r="L730" s="80"/>
      <c r="M730" s="80"/>
      <c r="N730" s="80"/>
      <c r="O730" s="80"/>
      <c r="P730" s="80"/>
      <c r="Q730" s="80"/>
    </row>
    <row r="731" spans="1:17" customFormat="1" ht="28.5">
      <c r="A731" t="s">
        <v>239</v>
      </c>
      <c r="B731" t="s">
        <v>240</v>
      </c>
      <c r="C731" t="s">
        <v>2306</v>
      </c>
      <c r="D731" s="5">
        <v>46034</v>
      </c>
      <c r="E731" s="5">
        <v>46034</v>
      </c>
      <c r="F731" s="120" t="s">
        <v>2307</v>
      </c>
      <c r="G731" s="1"/>
      <c r="H731" s="1" t="s">
        <v>254</v>
      </c>
      <c r="I731" s="1" t="s">
        <v>2308</v>
      </c>
      <c r="J731" s="80"/>
      <c r="K731" s="80"/>
      <c r="L731" s="80"/>
      <c r="M731" s="80"/>
      <c r="N731" s="80"/>
      <c r="O731" s="80"/>
      <c r="P731" s="80"/>
      <c r="Q731" s="80"/>
    </row>
    <row r="732" spans="1:17" customFormat="1" ht="42.75">
      <c r="A732" t="s">
        <v>239</v>
      </c>
      <c r="B732" t="s">
        <v>240</v>
      </c>
      <c r="C732" t="s">
        <v>2306</v>
      </c>
      <c r="D732" s="5">
        <v>46034</v>
      </c>
      <c r="E732" s="5">
        <v>46034</v>
      </c>
      <c r="F732" s="120" t="s">
        <v>2309</v>
      </c>
      <c r="G732" s="1"/>
      <c r="H732" s="1" t="s">
        <v>295</v>
      </c>
      <c r="I732" s="1" t="s">
        <v>2310</v>
      </c>
      <c r="J732" s="80"/>
      <c r="K732" s="80"/>
      <c r="L732" s="80"/>
      <c r="M732" s="80"/>
      <c r="N732" s="80"/>
      <c r="O732" s="80"/>
      <c r="P732" s="80"/>
      <c r="Q732" s="80"/>
    </row>
    <row r="733" spans="1:17" customFormat="1">
      <c r="A733" t="s">
        <v>1539</v>
      </c>
      <c r="B733" t="s">
        <v>240</v>
      </c>
      <c r="C733" t="s">
        <v>2311</v>
      </c>
      <c r="D733" s="5">
        <v>46034</v>
      </c>
      <c r="E733" s="5">
        <v>46034</v>
      </c>
      <c r="F733" s="120" t="s">
        <v>2312</v>
      </c>
      <c r="G733" s="1" t="s">
        <v>1545</v>
      </c>
      <c r="H733" s="1"/>
      <c r="I733" s="1" t="s">
        <v>2313</v>
      </c>
      <c r="J733" s="80"/>
      <c r="K733" s="80"/>
      <c r="L733" s="80"/>
      <c r="M733" s="80"/>
      <c r="N733" s="80"/>
      <c r="O733" s="80"/>
      <c r="P733" s="80"/>
      <c r="Q733" s="80"/>
    </row>
    <row r="734" spans="1:17" customFormat="1" ht="42.75">
      <c r="A734" t="s">
        <v>239</v>
      </c>
      <c r="B734" t="s">
        <v>240</v>
      </c>
      <c r="C734" t="s">
        <v>2314</v>
      </c>
      <c r="D734" s="5">
        <v>46034</v>
      </c>
      <c r="E734" s="5">
        <v>46034</v>
      </c>
      <c r="F734" s="120" t="s">
        <v>2315</v>
      </c>
      <c r="G734" s="1"/>
      <c r="H734" s="1" t="s">
        <v>261</v>
      </c>
      <c r="I734" s="1" t="s">
        <v>2316</v>
      </c>
      <c r="J734" s="80"/>
      <c r="K734" s="80"/>
      <c r="L734" s="80"/>
      <c r="M734" s="80"/>
      <c r="N734" s="80"/>
      <c r="O734" s="80"/>
      <c r="P734" s="80"/>
      <c r="Q734" s="80"/>
    </row>
    <row r="735" spans="1:17" customFormat="1" ht="42.75">
      <c r="A735" t="s">
        <v>239</v>
      </c>
      <c r="B735" t="s">
        <v>240</v>
      </c>
      <c r="C735" t="s">
        <v>2314</v>
      </c>
      <c r="D735" s="5">
        <v>46034</v>
      </c>
      <c r="E735" s="5">
        <v>46034</v>
      </c>
      <c r="F735" s="120" t="s">
        <v>2317</v>
      </c>
      <c r="G735" s="1"/>
      <c r="H735" s="1" t="s">
        <v>467</v>
      </c>
      <c r="I735" s="1" t="s">
        <v>2318</v>
      </c>
      <c r="J735" s="80"/>
      <c r="K735" s="80"/>
      <c r="L735" s="80"/>
      <c r="M735" s="80"/>
      <c r="N735" s="80"/>
      <c r="O735" s="80"/>
      <c r="P735" s="80"/>
      <c r="Q735" s="80"/>
    </row>
    <row r="736" spans="1:17" customFormat="1" ht="28.5">
      <c r="A736" t="s">
        <v>239</v>
      </c>
      <c r="B736" t="s">
        <v>240</v>
      </c>
      <c r="C736" t="s">
        <v>2319</v>
      </c>
      <c r="D736" s="5">
        <v>46034</v>
      </c>
      <c r="E736" s="5">
        <v>46034</v>
      </c>
      <c r="F736" s="120" t="s">
        <v>2320</v>
      </c>
      <c r="G736" s="1" t="s">
        <v>1557</v>
      </c>
      <c r="H736" s="1"/>
      <c r="I736" s="1" t="s">
        <v>2321</v>
      </c>
      <c r="J736" s="80"/>
      <c r="K736" s="80"/>
      <c r="L736" s="80"/>
      <c r="M736" s="80"/>
      <c r="N736" s="80"/>
      <c r="O736" s="80"/>
      <c r="P736" s="80"/>
      <c r="Q736" s="80"/>
    </row>
    <row r="737" spans="1:17" customFormat="1" ht="28.5">
      <c r="A737" t="s">
        <v>239</v>
      </c>
      <c r="B737" t="s">
        <v>240</v>
      </c>
      <c r="C737" t="s">
        <v>2322</v>
      </c>
      <c r="D737" s="5">
        <v>46035</v>
      </c>
      <c r="E737" s="5">
        <v>46035</v>
      </c>
      <c r="F737" s="120" t="s">
        <v>2323</v>
      </c>
      <c r="G737" s="1"/>
      <c r="H737" s="1" t="s">
        <v>254</v>
      </c>
      <c r="I737" s="1" t="s">
        <v>2324</v>
      </c>
      <c r="J737" s="80"/>
      <c r="K737" s="80"/>
      <c r="L737" s="80"/>
      <c r="M737" s="80"/>
      <c r="N737" s="80"/>
      <c r="O737" s="80"/>
      <c r="P737" s="80"/>
      <c r="Q737" s="80"/>
    </row>
    <row r="738" spans="1:17" customFormat="1" ht="28.5">
      <c r="A738" t="s">
        <v>239</v>
      </c>
      <c r="B738" t="s">
        <v>240</v>
      </c>
      <c r="C738" t="s">
        <v>2322</v>
      </c>
      <c r="D738" s="5">
        <v>46035</v>
      </c>
      <c r="E738" s="5">
        <v>46035</v>
      </c>
      <c r="F738" s="120" t="s">
        <v>2325</v>
      </c>
      <c r="G738" s="1"/>
      <c r="H738" s="1" t="s">
        <v>2326</v>
      </c>
      <c r="I738" s="1" t="s">
        <v>2327</v>
      </c>
      <c r="J738" s="80"/>
      <c r="K738" s="80"/>
      <c r="L738" s="80"/>
      <c r="M738" s="80"/>
      <c r="N738" s="80"/>
      <c r="O738" s="80"/>
      <c r="P738" s="80"/>
      <c r="Q738" s="80"/>
    </row>
    <row r="739" spans="1:17" customFormat="1" ht="28.5">
      <c r="A739" t="s">
        <v>239</v>
      </c>
      <c r="B739" t="s">
        <v>240</v>
      </c>
      <c r="C739" t="s">
        <v>2328</v>
      </c>
      <c r="D739" s="5">
        <v>46035</v>
      </c>
      <c r="E739" s="5">
        <v>46035</v>
      </c>
      <c r="F739" s="120" t="s">
        <v>2329</v>
      </c>
      <c r="G739" s="1"/>
      <c r="H739" s="1" t="s">
        <v>254</v>
      </c>
      <c r="I739" s="1" t="s">
        <v>2330</v>
      </c>
      <c r="J739" s="80"/>
      <c r="K739" s="80"/>
      <c r="L739" s="80"/>
      <c r="M739" s="80"/>
      <c r="N739" s="80"/>
      <c r="O739" s="80"/>
      <c r="P739" s="80"/>
      <c r="Q739" s="80"/>
    </row>
    <row r="740" spans="1:17" customFormat="1" ht="28.5">
      <c r="A740" t="s">
        <v>239</v>
      </c>
      <c r="B740" t="s">
        <v>240</v>
      </c>
      <c r="C740" t="s">
        <v>2328</v>
      </c>
      <c r="D740" s="5">
        <v>46035</v>
      </c>
      <c r="E740" s="5">
        <v>46035</v>
      </c>
      <c r="F740" s="120" t="s">
        <v>2331</v>
      </c>
      <c r="G740" s="1"/>
      <c r="H740" s="1" t="s">
        <v>264</v>
      </c>
      <c r="I740" s="1" t="s">
        <v>2332</v>
      </c>
      <c r="J740" s="80"/>
      <c r="K740" s="80"/>
      <c r="L740" s="80"/>
      <c r="M740" s="80"/>
      <c r="N740" s="80"/>
      <c r="O740" s="80"/>
      <c r="P740" s="80"/>
      <c r="Q740" s="80"/>
    </row>
    <row r="741" spans="1:17" customFormat="1" ht="28.5">
      <c r="A741" t="s">
        <v>239</v>
      </c>
      <c r="B741" t="s">
        <v>240</v>
      </c>
      <c r="C741" t="s">
        <v>2333</v>
      </c>
      <c r="D741" s="5">
        <v>46035</v>
      </c>
      <c r="E741" s="5">
        <v>46035</v>
      </c>
      <c r="F741" s="120" t="s">
        <v>2334</v>
      </c>
      <c r="G741" s="1"/>
      <c r="H741" s="1" t="s">
        <v>2335</v>
      </c>
      <c r="I741" s="1" t="s">
        <v>2336</v>
      </c>
      <c r="J741" s="80"/>
      <c r="K741" s="80"/>
      <c r="L741" s="80"/>
      <c r="M741" s="80"/>
      <c r="N741" s="80"/>
      <c r="O741" s="80"/>
      <c r="P741" s="80"/>
      <c r="Q741" s="80"/>
    </row>
    <row r="742" spans="1:17" customFormat="1" ht="42.75">
      <c r="A742" t="s">
        <v>239</v>
      </c>
      <c r="B742" t="s">
        <v>240</v>
      </c>
      <c r="C742" t="s">
        <v>2333</v>
      </c>
      <c r="D742" s="5">
        <v>46035</v>
      </c>
      <c r="E742" s="5">
        <v>46035</v>
      </c>
      <c r="F742" s="120" t="s">
        <v>2337</v>
      </c>
      <c r="G742" s="1"/>
      <c r="H742" s="1" t="s">
        <v>1839</v>
      </c>
      <c r="I742" s="1" t="s">
        <v>2338</v>
      </c>
      <c r="J742" s="80"/>
      <c r="K742" s="80"/>
      <c r="L742" s="80"/>
      <c r="M742" s="80"/>
      <c r="N742" s="80"/>
      <c r="O742" s="80"/>
      <c r="P742" s="80"/>
      <c r="Q742" s="80"/>
    </row>
    <row r="743" spans="1:17" customFormat="1" ht="28.5">
      <c r="A743" t="s">
        <v>239</v>
      </c>
      <c r="B743" t="s">
        <v>240</v>
      </c>
      <c r="C743" t="s">
        <v>2339</v>
      </c>
      <c r="D743" s="5">
        <v>46035</v>
      </c>
      <c r="E743" s="5">
        <v>46035</v>
      </c>
      <c r="F743" s="120" t="s">
        <v>2340</v>
      </c>
      <c r="G743" s="1" t="s">
        <v>2341</v>
      </c>
      <c r="H743" s="1"/>
      <c r="I743" s="1" t="s">
        <v>2342</v>
      </c>
      <c r="J743" s="80"/>
      <c r="K743" s="80"/>
      <c r="L743" s="80"/>
      <c r="M743" s="80"/>
      <c r="N743" s="80"/>
      <c r="O743" s="80"/>
      <c r="P743" s="80"/>
      <c r="Q743" s="80"/>
    </row>
    <row r="744" spans="1:17" customFormat="1" ht="42.75">
      <c r="A744" t="s">
        <v>239</v>
      </c>
      <c r="B744" t="s">
        <v>240</v>
      </c>
      <c r="C744" t="s">
        <v>2343</v>
      </c>
      <c r="D744" s="5">
        <v>46035</v>
      </c>
      <c r="E744" s="5">
        <v>46035</v>
      </c>
      <c r="F744" s="120" t="s">
        <v>2344</v>
      </c>
      <c r="G744" s="1"/>
      <c r="H744" s="1" t="s">
        <v>243</v>
      </c>
      <c r="I744" s="1" t="s">
        <v>2345</v>
      </c>
      <c r="J744" s="80"/>
      <c r="K744" s="80"/>
      <c r="L744" s="80"/>
      <c r="M744" s="80"/>
      <c r="N744" s="80"/>
      <c r="O744" s="80"/>
      <c r="P744" s="80"/>
      <c r="Q744" s="80"/>
    </row>
    <row r="745" spans="1:17" customFormat="1" ht="42.75">
      <c r="A745" t="s">
        <v>239</v>
      </c>
      <c r="B745" t="s">
        <v>240</v>
      </c>
      <c r="C745" t="s">
        <v>2343</v>
      </c>
      <c r="D745" s="5">
        <v>46035</v>
      </c>
      <c r="E745" s="5">
        <v>46035</v>
      </c>
      <c r="F745" s="120" t="s">
        <v>2346</v>
      </c>
      <c r="G745" s="1"/>
      <c r="H745" s="1" t="s">
        <v>2347</v>
      </c>
      <c r="I745" s="1" t="s">
        <v>2348</v>
      </c>
      <c r="J745" s="80"/>
      <c r="K745" s="80"/>
      <c r="L745" s="80"/>
      <c r="M745" s="80"/>
      <c r="N745" s="80"/>
      <c r="O745" s="80"/>
      <c r="P745" s="80"/>
      <c r="Q745" s="80"/>
    </row>
    <row r="746" spans="1:17" customFormat="1" ht="28.5">
      <c r="A746" t="s">
        <v>239</v>
      </c>
      <c r="B746" t="s">
        <v>240</v>
      </c>
      <c r="C746" t="s">
        <v>2349</v>
      </c>
      <c r="D746" s="5">
        <v>46035</v>
      </c>
      <c r="E746" s="5">
        <v>46035</v>
      </c>
      <c r="F746" s="120" t="s">
        <v>2350</v>
      </c>
      <c r="G746" s="1"/>
      <c r="H746" s="1" t="s">
        <v>2335</v>
      </c>
      <c r="I746" s="1" t="s">
        <v>2351</v>
      </c>
      <c r="J746" s="80"/>
      <c r="K746" s="80"/>
      <c r="L746" s="80"/>
      <c r="M746" s="80"/>
      <c r="N746" s="80"/>
      <c r="O746" s="80"/>
      <c r="P746" s="80"/>
      <c r="Q746" s="80"/>
    </row>
    <row r="747" spans="1:17" customFormat="1" ht="42.75">
      <c r="A747" t="s">
        <v>239</v>
      </c>
      <c r="B747" t="s">
        <v>240</v>
      </c>
      <c r="C747" t="s">
        <v>2349</v>
      </c>
      <c r="D747" s="5">
        <v>46035</v>
      </c>
      <c r="E747" s="5">
        <v>46035</v>
      </c>
      <c r="F747" s="120" t="s">
        <v>2352</v>
      </c>
      <c r="G747" s="1"/>
      <c r="H747" s="1" t="s">
        <v>1839</v>
      </c>
      <c r="I747" s="1" t="s">
        <v>2353</v>
      </c>
      <c r="J747" s="80"/>
      <c r="K747" s="80"/>
      <c r="L747" s="80"/>
      <c r="M747" s="80"/>
      <c r="N747" s="80"/>
      <c r="O747" s="80"/>
      <c r="P747" s="80"/>
      <c r="Q747" s="80"/>
    </row>
    <row r="748" spans="1:17" customFormat="1" ht="28.5">
      <c r="A748" t="s">
        <v>239</v>
      </c>
      <c r="B748" t="s">
        <v>240</v>
      </c>
      <c r="C748" t="s">
        <v>2354</v>
      </c>
      <c r="D748" s="5">
        <v>46035</v>
      </c>
      <c r="E748" s="5">
        <v>46035</v>
      </c>
      <c r="F748" s="120" t="s">
        <v>2355</v>
      </c>
      <c r="G748" s="1"/>
      <c r="H748" s="1" t="s">
        <v>1706</v>
      </c>
      <c r="I748" s="1" t="s">
        <v>2356</v>
      </c>
      <c r="J748" s="80"/>
      <c r="K748" s="80"/>
      <c r="L748" s="80"/>
      <c r="M748" s="80"/>
      <c r="N748" s="80"/>
      <c r="O748" s="80"/>
      <c r="P748" s="80"/>
      <c r="Q748" s="80"/>
    </row>
    <row r="749" spans="1:17" customFormat="1" ht="28.5">
      <c r="A749" t="s">
        <v>239</v>
      </c>
      <c r="B749" t="s">
        <v>240</v>
      </c>
      <c r="C749" t="s">
        <v>2357</v>
      </c>
      <c r="D749" s="5">
        <v>46035</v>
      </c>
      <c r="E749" s="5">
        <v>46035</v>
      </c>
      <c r="F749" s="120" t="s">
        <v>412</v>
      </c>
      <c r="G749" s="1"/>
      <c r="H749" s="1" t="s">
        <v>756</v>
      </c>
      <c r="I749" s="1" t="s">
        <v>2358</v>
      </c>
      <c r="J749" s="80"/>
      <c r="K749" s="80"/>
      <c r="L749" s="80"/>
      <c r="M749" s="80"/>
      <c r="N749" s="80"/>
      <c r="O749" s="80"/>
      <c r="P749" s="80"/>
      <c r="Q749" s="80"/>
    </row>
    <row r="750" spans="1:17" customFormat="1" ht="28.5">
      <c r="A750" t="s">
        <v>239</v>
      </c>
      <c r="B750" t="s">
        <v>240</v>
      </c>
      <c r="C750" t="s">
        <v>2359</v>
      </c>
      <c r="D750" s="5">
        <v>46035</v>
      </c>
      <c r="E750" s="5">
        <v>46035</v>
      </c>
      <c r="F750" s="120" t="s">
        <v>551</v>
      </c>
      <c r="G750" s="1"/>
      <c r="H750" s="1" t="s">
        <v>295</v>
      </c>
      <c r="I750" s="1" t="s">
        <v>2360</v>
      </c>
      <c r="J750" s="80"/>
      <c r="K750" s="80"/>
      <c r="L750" s="80"/>
      <c r="M750" s="80"/>
      <c r="N750" s="80"/>
      <c r="O750" s="80"/>
      <c r="P750" s="80"/>
      <c r="Q750" s="80"/>
    </row>
    <row r="751" spans="1:17" customFormat="1" ht="42.75">
      <c r="A751" t="s">
        <v>239</v>
      </c>
      <c r="B751" t="s">
        <v>240</v>
      </c>
      <c r="C751" t="s">
        <v>2361</v>
      </c>
      <c r="D751" s="5">
        <v>46035</v>
      </c>
      <c r="E751" s="5">
        <v>46035</v>
      </c>
      <c r="F751" s="120" t="s">
        <v>2362</v>
      </c>
      <c r="G751" s="1"/>
      <c r="H751" s="1" t="s">
        <v>261</v>
      </c>
      <c r="I751" s="1" t="s">
        <v>2363</v>
      </c>
      <c r="J751" s="80"/>
      <c r="K751" s="80"/>
      <c r="L751" s="80"/>
      <c r="M751" s="80"/>
      <c r="N751" s="80"/>
      <c r="O751" s="80"/>
      <c r="P751" s="80"/>
      <c r="Q751" s="80"/>
    </row>
    <row r="752" spans="1:17" customFormat="1" ht="42.75">
      <c r="A752" t="s">
        <v>239</v>
      </c>
      <c r="B752" t="s">
        <v>240</v>
      </c>
      <c r="C752" t="s">
        <v>2361</v>
      </c>
      <c r="D752" s="5">
        <v>46035</v>
      </c>
      <c r="E752" s="5">
        <v>46035</v>
      </c>
      <c r="F752" s="120" t="s">
        <v>2364</v>
      </c>
      <c r="G752" s="1"/>
      <c r="H752" s="1" t="s">
        <v>467</v>
      </c>
      <c r="I752" s="1" t="s">
        <v>2365</v>
      </c>
      <c r="J752" s="80"/>
      <c r="K752" s="80"/>
      <c r="L752" s="80"/>
      <c r="M752" s="80"/>
      <c r="N752" s="80"/>
      <c r="O752" s="80"/>
      <c r="P752" s="80"/>
      <c r="Q752" s="80"/>
    </row>
    <row r="753" spans="1:17" customFormat="1" ht="28.5">
      <c r="A753" t="s">
        <v>239</v>
      </c>
      <c r="B753" t="s">
        <v>240</v>
      </c>
      <c r="C753" t="s">
        <v>2366</v>
      </c>
      <c r="D753" s="5">
        <v>46035</v>
      </c>
      <c r="E753" s="5">
        <v>46035</v>
      </c>
      <c r="F753" s="120" t="s">
        <v>2367</v>
      </c>
      <c r="G753" s="1"/>
      <c r="H753" s="1" t="s">
        <v>261</v>
      </c>
      <c r="I753" s="1" t="s">
        <v>2368</v>
      </c>
      <c r="J753" s="80"/>
      <c r="K753" s="80"/>
      <c r="L753" s="80"/>
      <c r="M753" s="80"/>
      <c r="N753" s="80"/>
      <c r="O753" s="80"/>
      <c r="P753" s="80"/>
      <c r="Q753" s="80"/>
    </row>
    <row r="754" spans="1:17" customFormat="1" ht="42.75">
      <c r="A754" t="s">
        <v>239</v>
      </c>
      <c r="B754" t="s">
        <v>240</v>
      </c>
      <c r="C754" t="s">
        <v>2366</v>
      </c>
      <c r="D754" s="5">
        <v>46035</v>
      </c>
      <c r="E754" s="5">
        <v>46035</v>
      </c>
      <c r="F754" s="120" t="s">
        <v>2369</v>
      </c>
      <c r="G754" s="1"/>
      <c r="H754" s="1" t="s">
        <v>467</v>
      </c>
      <c r="I754" s="1" t="s">
        <v>2370</v>
      </c>
      <c r="J754" s="80"/>
      <c r="K754" s="80"/>
      <c r="L754" s="80"/>
      <c r="M754" s="80"/>
      <c r="N754" s="80"/>
      <c r="O754" s="80"/>
      <c r="P754" s="80"/>
      <c r="Q754" s="80"/>
    </row>
    <row r="755" spans="1:17" customFormat="1" ht="28.5">
      <c r="A755" t="s">
        <v>239</v>
      </c>
      <c r="B755" t="s">
        <v>240</v>
      </c>
      <c r="C755" t="s">
        <v>2371</v>
      </c>
      <c r="D755" s="5">
        <v>46035</v>
      </c>
      <c r="E755" s="5">
        <v>46035</v>
      </c>
      <c r="F755" s="120" t="s">
        <v>2372</v>
      </c>
      <c r="G755" s="1"/>
      <c r="H755" s="1" t="s">
        <v>527</v>
      </c>
      <c r="I755" s="1" t="s">
        <v>2373</v>
      </c>
      <c r="J755" s="80"/>
      <c r="K755" s="80"/>
      <c r="L755" s="80"/>
      <c r="M755" s="80"/>
      <c r="N755" s="80"/>
      <c r="O755" s="80"/>
      <c r="P755" s="80"/>
      <c r="Q755" s="80"/>
    </row>
    <row r="756" spans="1:17" customFormat="1" ht="42.75">
      <c r="A756" t="s">
        <v>239</v>
      </c>
      <c r="B756" t="s">
        <v>240</v>
      </c>
      <c r="C756" t="s">
        <v>2374</v>
      </c>
      <c r="D756" s="5">
        <v>46035</v>
      </c>
      <c r="E756" s="5">
        <v>46035</v>
      </c>
      <c r="F756" s="120" t="s">
        <v>2375</v>
      </c>
      <c r="G756" s="1" t="s">
        <v>1307</v>
      </c>
      <c r="H756" s="1"/>
      <c r="I756" s="1" t="s">
        <v>2376</v>
      </c>
      <c r="J756" s="80"/>
      <c r="K756" s="80"/>
      <c r="L756" s="80"/>
      <c r="M756" s="80"/>
      <c r="N756" s="80"/>
      <c r="O756" s="80"/>
      <c r="P756" s="80"/>
      <c r="Q756" s="80"/>
    </row>
    <row r="757" spans="1:17" customFormat="1" ht="28.5">
      <c r="A757" t="s">
        <v>239</v>
      </c>
      <c r="B757" t="s">
        <v>240</v>
      </c>
      <c r="C757" t="s">
        <v>2377</v>
      </c>
      <c r="D757" s="5">
        <v>46036</v>
      </c>
      <c r="E757" s="5">
        <v>46036</v>
      </c>
      <c r="F757" s="120" t="s">
        <v>2378</v>
      </c>
      <c r="G757" s="1"/>
      <c r="H757" s="1" t="s">
        <v>254</v>
      </c>
      <c r="I757" s="1" t="s">
        <v>2379</v>
      </c>
      <c r="J757" s="80"/>
      <c r="K757" s="80"/>
      <c r="L757" s="80"/>
      <c r="M757" s="80"/>
      <c r="N757" s="80"/>
      <c r="O757" s="80"/>
      <c r="P757" s="80"/>
      <c r="Q757" s="80"/>
    </row>
    <row r="758" spans="1:17" customFormat="1" ht="28.5">
      <c r="A758" t="s">
        <v>239</v>
      </c>
      <c r="B758" t="s">
        <v>240</v>
      </c>
      <c r="C758" t="s">
        <v>2377</v>
      </c>
      <c r="D758" s="5">
        <v>46036</v>
      </c>
      <c r="E758" s="5">
        <v>46036</v>
      </c>
      <c r="F758" s="120" t="s">
        <v>2380</v>
      </c>
      <c r="G758" s="1"/>
      <c r="H758" s="1" t="s">
        <v>264</v>
      </c>
      <c r="I758" s="1" t="s">
        <v>2381</v>
      </c>
      <c r="J758" s="80"/>
      <c r="K758" s="80"/>
      <c r="L758" s="80"/>
      <c r="M758" s="80"/>
      <c r="N758" s="80"/>
      <c r="O758" s="80"/>
      <c r="P758" s="80"/>
      <c r="Q758" s="80"/>
    </row>
    <row r="759" spans="1:17" customFormat="1" ht="28.5">
      <c r="A759" t="s">
        <v>239</v>
      </c>
      <c r="B759" t="s">
        <v>240</v>
      </c>
      <c r="C759" t="s">
        <v>2382</v>
      </c>
      <c r="D759" s="5">
        <v>46036</v>
      </c>
      <c r="E759" s="5">
        <v>46036</v>
      </c>
      <c r="F759" s="120" t="s">
        <v>2383</v>
      </c>
      <c r="G759" s="1"/>
      <c r="H759" s="1" t="s">
        <v>261</v>
      </c>
      <c r="I759" s="1" t="s">
        <v>2384</v>
      </c>
      <c r="J759" s="80"/>
      <c r="K759" s="80"/>
      <c r="L759" s="80"/>
      <c r="M759" s="80"/>
      <c r="N759" s="80"/>
      <c r="O759" s="80"/>
      <c r="P759" s="80"/>
      <c r="Q759" s="80"/>
    </row>
    <row r="760" spans="1:17" customFormat="1" ht="42.75">
      <c r="A760" t="s">
        <v>239</v>
      </c>
      <c r="B760" t="s">
        <v>240</v>
      </c>
      <c r="C760" t="s">
        <v>2382</v>
      </c>
      <c r="D760" s="5">
        <v>46036</v>
      </c>
      <c r="E760" s="5">
        <v>46036</v>
      </c>
      <c r="F760" s="120" t="s">
        <v>2385</v>
      </c>
      <c r="G760" s="1"/>
      <c r="H760" s="1" t="s">
        <v>467</v>
      </c>
      <c r="I760" s="1" t="s">
        <v>2386</v>
      </c>
      <c r="J760" s="80"/>
      <c r="K760" s="80"/>
      <c r="L760" s="80"/>
      <c r="M760" s="80"/>
      <c r="N760" s="80"/>
      <c r="O760" s="80"/>
      <c r="P760" s="80"/>
      <c r="Q760" s="80"/>
    </row>
    <row r="761" spans="1:17" customFormat="1" ht="28.5">
      <c r="A761" t="s">
        <v>239</v>
      </c>
      <c r="B761" t="s">
        <v>240</v>
      </c>
      <c r="C761" t="s">
        <v>2387</v>
      </c>
      <c r="D761" s="5">
        <v>46036</v>
      </c>
      <c r="E761" s="5">
        <v>46036</v>
      </c>
      <c r="F761" s="120" t="s">
        <v>2388</v>
      </c>
      <c r="G761" s="1"/>
      <c r="H761" s="1" t="s">
        <v>254</v>
      </c>
      <c r="I761" s="1" t="s">
        <v>2389</v>
      </c>
      <c r="J761" s="80"/>
      <c r="K761" s="80"/>
      <c r="L761" s="80"/>
      <c r="M761" s="80"/>
      <c r="N761" s="80"/>
      <c r="O761" s="80"/>
      <c r="P761" s="80"/>
      <c r="Q761" s="80"/>
    </row>
    <row r="762" spans="1:17" customFormat="1" ht="28.5">
      <c r="A762" t="s">
        <v>239</v>
      </c>
      <c r="B762" t="s">
        <v>240</v>
      </c>
      <c r="C762" t="s">
        <v>2387</v>
      </c>
      <c r="D762" s="5">
        <v>46036</v>
      </c>
      <c r="E762" s="5">
        <v>46036</v>
      </c>
      <c r="F762" s="120" t="s">
        <v>2390</v>
      </c>
      <c r="G762" s="1"/>
      <c r="H762" s="1" t="s">
        <v>250</v>
      </c>
      <c r="I762" s="1" t="s">
        <v>2391</v>
      </c>
      <c r="J762" s="80"/>
      <c r="K762" s="80"/>
      <c r="L762" s="80"/>
      <c r="M762" s="80"/>
      <c r="N762" s="80"/>
      <c r="O762" s="80"/>
      <c r="P762" s="80"/>
      <c r="Q762" s="80"/>
    </row>
    <row r="763" spans="1:17" customFormat="1" ht="28.5">
      <c r="A763" t="s">
        <v>239</v>
      </c>
      <c r="B763" t="s">
        <v>240</v>
      </c>
      <c r="C763" t="s">
        <v>2392</v>
      </c>
      <c r="D763" s="5">
        <v>46036</v>
      </c>
      <c r="E763" s="5">
        <v>46036</v>
      </c>
      <c r="F763" s="120" t="s">
        <v>2393</v>
      </c>
      <c r="G763" s="1"/>
      <c r="H763" s="1" t="s">
        <v>1839</v>
      </c>
      <c r="I763" s="1" t="s">
        <v>2394</v>
      </c>
      <c r="J763" s="80"/>
      <c r="K763" s="80"/>
      <c r="L763" s="80"/>
      <c r="M763" s="80"/>
      <c r="N763" s="80"/>
      <c r="O763" s="80"/>
      <c r="P763" s="80"/>
      <c r="Q763" s="80"/>
    </row>
    <row r="764" spans="1:17" customFormat="1" ht="28.5">
      <c r="A764" t="s">
        <v>239</v>
      </c>
      <c r="B764" t="s">
        <v>240</v>
      </c>
      <c r="C764" t="s">
        <v>2395</v>
      </c>
      <c r="D764" s="5">
        <v>46036</v>
      </c>
      <c r="E764" s="5">
        <v>46036</v>
      </c>
      <c r="F764" s="120" t="s">
        <v>2396</v>
      </c>
      <c r="G764" s="1"/>
      <c r="H764" s="1" t="s">
        <v>254</v>
      </c>
      <c r="I764" s="1" t="s">
        <v>2397</v>
      </c>
      <c r="J764" s="80"/>
      <c r="K764" s="80"/>
      <c r="L764" s="80"/>
      <c r="M764" s="80"/>
      <c r="N764" s="80"/>
      <c r="O764" s="80"/>
      <c r="P764" s="80"/>
      <c r="Q764" s="80"/>
    </row>
    <row r="765" spans="1:17" customFormat="1" ht="28.5">
      <c r="A765" t="s">
        <v>239</v>
      </c>
      <c r="B765" t="s">
        <v>240</v>
      </c>
      <c r="C765" t="s">
        <v>2395</v>
      </c>
      <c r="D765" s="5">
        <v>46036</v>
      </c>
      <c r="E765" s="5">
        <v>46036</v>
      </c>
      <c r="F765" s="120" t="s">
        <v>2398</v>
      </c>
      <c r="G765" s="1"/>
      <c r="H765" s="1" t="s">
        <v>295</v>
      </c>
      <c r="I765" s="1" t="s">
        <v>2399</v>
      </c>
      <c r="J765" s="80"/>
      <c r="K765" s="80"/>
      <c r="L765" s="80"/>
      <c r="M765" s="80"/>
      <c r="N765" s="80"/>
      <c r="O765" s="80"/>
      <c r="P765" s="80"/>
      <c r="Q765" s="80"/>
    </row>
    <row r="766" spans="1:17" customFormat="1" ht="42.75">
      <c r="A766" t="s">
        <v>239</v>
      </c>
      <c r="B766" t="s">
        <v>240</v>
      </c>
      <c r="C766" t="s">
        <v>2400</v>
      </c>
      <c r="D766" s="5">
        <v>46036</v>
      </c>
      <c r="E766" s="5">
        <v>46036</v>
      </c>
      <c r="F766" s="120" t="s">
        <v>2401</v>
      </c>
      <c r="G766" s="1"/>
      <c r="H766" s="1" t="s">
        <v>630</v>
      </c>
      <c r="I766" s="1" t="s">
        <v>2402</v>
      </c>
      <c r="J766" s="80"/>
      <c r="K766" s="80"/>
      <c r="L766" s="80"/>
      <c r="M766" s="80"/>
      <c r="N766" s="80"/>
      <c r="O766" s="80"/>
      <c r="P766" s="80"/>
      <c r="Q766" s="80"/>
    </row>
    <row r="767" spans="1:17" customFormat="1" ht="42.75">
      <c r="A767" t="s">
        <v>239</v>
      </c>
      <c r="B767" t="s">
        <v>240</v>
      </c>
      <c r="C767" t="s">
        <v>2403</v>
      </c>
      <c r="D767" s="5">
        <v>46036</v>
      </c>
      <c r="E767" s="5">
        <v>46036</v>
      </c>
      <c r="F767" s="120" t="s">
        <v>2404</v>
      </c>
      <c r="G767" s="1"/>
      <c r="H767" s="1" t="s">
        <v>433</v>
      </c>
      <c r="I767" s="1" t="s">
        <v>2405</v>
      </c>
      <c r="J767" s="80"/>
      <c r="K767" s="80"/>
      <c r="L767" s="80"/>
      <c r="M767" s="80"/>
      <c r="N767" s="80"/>
      <c r="O767" s="80"/>
      <c r="P767" s="80"/>
      <c r="Q767" s="80"/>
    </row>
    <row r="768" spans="1:17" customFormat="1" ht="42.75">
      <c r="A768" t="s">
        <v>239</v>
      </c>
      <c r="B768" t="s">
        <v>240</v>
      </c>
      <c r="C768" t="s">
        <v>2406</v>
      </c>
      <c r="D768" s="5">
        <v>46036</v>
      </c>
      <c r="E768" s="5">
        <v>46036</v>
      </c>
      <c r="F768" s="120" t="s">
        <v>2407</v>
      </c>
      <c r="G768" s="1"/>
      <c r="H768" s="1" t="s">
        <v>2408</v>
      </c>
      <c r="I768" s="1" t="s">
        <v>2409</v>
      </c>
      <c r="J768" s="80"/>
      <c r="K768" s="80"/>
      <c r="L768" s="80"/>
      <c r="M768" s="80"/>
      <c r="N768" s="80"/>
      <c r="O768" s="80"/>
      <c r="P768" s="80"/>
      <c r="Q768" s="80"/>
    </row>
    <row r="769" spans="1:17" customFormat="1" ht="28.5">
      <c r="A769" t="s">
        <v>239</v>
      </c>
      <c r="B769" t="s">
        <v>240</v>
      </c>
      <c r="C769" t="s">
        <v>2410</v>
      </c>
      <c r="D769" s="5">
        <v>46036</v>
      </c>
      <c r="E769" s="5">
        <v>46036</v>
      </c>
      <c r="F769" s="120" t="s">
        <v>2411</v>
      </c>
      <c r="G769" s="1"/>
      <c r="H769" s="1" t="s">
        <v>261</v>
      </c>
      <c r="I769" s="1" t="s">
        <v>2412</v>
      </c>
      <c r="J769" s="80"/>
      <c r="K769" s="80"/>
      <c r="L769" s="80"/>
      <c r="M769" s="80"/>
      <c r="N769" s="80"/>
      <c r="O769" s="80"/>
      <c r="P769" s="80"/>
      <c r="Q769" s="80"/>
    </row>
    <row r="770" spans="1:17" customFormat="1" ht="42.75">
      <c r="A770" t="s">
        <v>239</v>
      </c>
      <c r="B770" t="s">
        <v>240</v>
      </c>
      <c r="C770" t="s">
        <v>2410</v>
      </c>
      <c r="D770" s="5">
        <v>46036</v>
      </c>
      <c r="E770" s="5">
        <v>46036</v>
      </c>
      <c r="F770" s="120" t="s">
        <v>2413</v>
      </c>
      <c r="G770" s="1"/>
      <c r="H770" s="1" t="s">
        <v>467</v>
      </c>
      <c r="I770" s="1" t="s">
        <v>2414</v>
      </c>
      <c r="J770" s="80"/>
      <c r="K770" s="80"/>
      <c r="L770" s="80"/>
      <c r="M770" s="80"/>
      <c r="N770" s="80"/>
      <c r="O770" s="80"/>
      <c r="P770" s="80"/>
      <c r="Q770" s="80"/>
    </row>
    <row r="771" spans="1:17" customFormat="1" ht="28.5">
      <c r="A771" t="s">
        <v>239</v>
      </c>
      <c r="B771" t="s">
        <v>240</v>
      </c>
      <c r="C771" t="s">
        <v>2415</v>
      </c>
      <c r="D771" s="5">
        <v>46037</v>
      </c>
      <c r="E771" s="5">
        <v>46037</v>
      </c>
      <c r="F771" s="120" t="s">
        <v>2416</v>
      </c>
      <c r="G771" s="1"/>
      <c r="H771" s="1" t="s">
        <v>254</v>
      </c>
      <c r="I771" s="1" t="s">
        <v>2417</v>
      </c>
      <c r="J771" s="80"/>
      <c r="K771" s="80"/>
      <c r="L771" s="80"/>
      <c r="M771" s="80"/>
      <c r="N771" s="80"/>
      <c r="O771" s="80"/>
      <c r="P771" s="80"/>
      <c r="Q771" s="80"/>
    </row>
    <row r="772" spans="1:17" customFormat="1" ht="42.75">
      <c r="A772" t="s">
        <v>239</v>
      </c>
      <c r="B772" t="s">
        <v>240</v>
      </c>
      <c r="C772" t="s">
        <v>2415</v>
      </c>
      <c r="D772" s="5">
        <v>46037</v>
      </c>
      <c r="E772" s="5">
        <v>46037</v>
      </c>
      <c r="F772" s="120" t="s">
        <v>2418</v>
      </c>
      <c r="G772" s="1"/>
      <c r="H772" s="1" t="s">
        <v>250</v>
      </c>
      <c r="I772" s="1" t="s">
        <v>2419</v>
      </c>
      <c r="J772" s="80"/>
      <c r="K772" s="80"/>
      <c r="L772" s="80"/>
      <c r="M772" s="80"/>
      <c r="N772" s="80"/>
      <c r="O772" s="80"/>
      <c r="P772" s="80"/>
      <c r="Q772" s="80"/>
    </row>
    <row r="773" spans="1:17" customFormat="1" ht="28.5">
      <c r="A773" t="s">
        <v>239</v>
      </c>
      <c r="B773" t="s">
        <v>240</v>
      </c>
      <c r="C773" t="s">
        <v>2420</v>
      </c>
      <c r="D773" s="5">
        <v>46037</v>
      </c>
      <c r="E773" s="5">
        <v>46037</v>
      </c>
      <c r="F773" s="120" t="s">
        <v>2421</v>
      </c>
      <c r="G773" s="1"/>
      <c r="H773" s="1" t="s">
        <v>254</v>
      </c>
      <c r="I773" s="1" t="s">
        <v>2422</v>
      </c>
      <c r="J773" s="80"/>
      <c r="K773" s="80"/>
      <c r="L773" s="80"/>
      <c r="M773" s="80"/>
      <c r="N773" s="80"/>
      <c r="O773" s="80"/>
      <c r="P773" s="80"/>
      <c r="Q773" s="80"/>
    </row>
    <row r="774" spans="1:17" customFormat="1" ht="28.5">
      <c r="A774" t="s">
        <v>239</v>
      </c>
      <c r="B774" t="s">
        <v>240</v>
      </c>
      <c r="C774" t="s">
        <v>2420</v>
      </c>
      <c r="D774" s="5">
        <v>46037</v>
      </c>
      <c r="E774" s="5">
        <v>46037</v>
      </c>
      <c r="F774" s="120" t="s">
        <v>2423</v>
      </c>
      <c r="G774" s="1"/>
      <c r="H774" s="1" t="s">
        <v>250</v>
      </c>
      <c r="I774" s="1" t="s">
        <v>2424</v>
      </c>
      <c r="J774" s="80"/>
      <c r="K774" s="80"/>
      <c r="L774" s="80"/>
      <c r="M774" s="80"/>
      <c r="N774" s="80"/>
      <c r="O774" s="80"/>
      <c r="P774" s="80"/>
      <c r="Q774" s="80"/>
    </row>
    <row r="775" spans="1:17" customFormat="1" ht="28.5">
      <c r="A775" t="s">
        <v>239</v>
      </c>
      <c r="B775" t="s">
        <v>240</v>
      </c>
      <c r="C775" t="s">
        <v>2425</v>
      </c>
      <c r="D775" s="5">
        <v>46037</v>
      </c>
      <c r="E775" s="5">
        <v>46037</v>
      </c>
      <c r="F775" s="120" t="s">
        <v>2426</v>
      </c>
      <c r="G775" s="1"/>
      <c r="H775" s="1" t="s">
        <v>261</v>
      </c>
      <c r="I775" s="1" t="s">
        <v>2427</v>
      </c>
      <c r="J775" s="80"/>
      <c r="K775" s="80"/>
      <c r="L775" s="80"/>
      <c r="M775" s="80"/>
      <c r="N775" s="80"/>
      <c r="O775" s="80"/>
      <c r="P775" s="80"/>
      <c r="Q775" s="80"/>
    </row>
    <row r="776" spans="1:17" customFormat="1" ht="42.75">
      <c r="A776" t="s">
        <v>239</v>
      </c>
      <c r="B776" t="s">
        <v>240</v>
      </c>
      <c r="C776" t="s">
        <v>2425</v>
      </c>
      <c r="D776" s="5">
        <v>46037</v>
      </c>
      <c r="E776" s="5">
        <v>46037</v>
      </c>
      <c r="F776" s="120" t="s">
        <v>2428</v>
      </c>
      <c r="G776" s="1"/>
      <c r="H776" s="1" t="s">
        <v>319</v>
      </c>
      <c r="I776" s="1" t="s">
        <v>2429</v>
      </c>
      <c r="J776" s="80"/>
      <c r="K776" s="80"/>
      <c r="L776" s="80"/>
      <c r="M776" s="80"/>
      <c r="N776" s="80"/>
      <c r="O776" s="80"/>
      <c r="P776" s="80"/>
      <c r="Q776" s="80"/>
    </row>
    <row r="777" spans="1:17" customFormat="1" ht="28.5">
      <c r="A777" t="s">
        <v>239</v>
      </c>
      <c r="B777" t="s">
        <v>240</v>
      </c>
      <c r="C777" t="s">
        <v>2430</v>
      </c>
      <c r="D777" s="5">
        <v>46037</v>
      </c>
      <c r="E777" s="5">
        <v>46037</v>
      </c>
      <c r="F777" s="120" t="s">
        <v>2431</v>
      </c>
      <c r="G777" s="1"/>
      <c r="H777" s="1" t="s">
        <v>295</v>
      </c>
      <c r="I777" s="1" t="s">
        <v>2432</v>
      </c>
      <c r="J777" s="80"/>
      <c r="K777" s="80"/>
      <c r="L777" s="80"/>
      <c r="M777" s="80"/>
      <c r="N777" s="80"/>
      <c r="O777" s="80"/>
      <c r="P777" s="80"/>
      <c r="Q777" s="80"/>
    </row>
    <row r="778" spans="1:17" customFormat="1" ht="28.5">
      <c r="A778" t="s">
        <v>239</v>
      </c>
      <c r="B778" t="s">
        <v>240</v>
      </c>
      <c r="C778" t="s">
        <v>2433</v>
      </c>
      <c r="D778" s="5">
        <v>46037</v>
      </c>
      <c r="E778" s="5">
        <v>46037</v>
      </c>
      <c r="F778" s="128" t="s">
        <v>2434</v>
      </c>
      <c r="G778" s="119" t="s">
        <v>2435</v>
      </c>
      <c r="H778" s="1"/>
      <c r="I778" s="1" t="s">
        <v>2436</v>
      </c>
      <c r="J778" s="80"/>
      <c r="K778" s="80"/>
      <c r="L778" s="80"/>
      <c r="M778" s="80"/>
      <c r="N778" s="80"/>
      <c r="O778" s="80"/>
      <c r="P778" s="80"/>
      <c r="Q778" s="80"/>
    </row>
    <row r="779" spans="1:17" customFormat="1" ht="28.5">
      <c r="A779" t="s">
        <v>239</v>
      </c>
      <c r="B779" t="s">
        <v>240</v>
      </c>
      <c r="C779" t="s">
        <v>2437</v>
      </c>
      <c r="D779" s="5">
        <v>46037</v>
      </c>
      <c r="E779" s="5">
        <v>46037</v>
      </c>
      <c r="F779" s="120" t="s">
        <v>2438</v>
      </c>
      <c r="G779" s="1"/>
      <c r="H779" s="1" t="s">
        <v>254</v>
      </c>
      <c r="I779" s="1" t="s">
        <v>2439</v>
      </c>
      <c r="J779" s="80"/>
      <c r="K779" s="80"/>
      <c r="L779" s="80"/>
      <c r="M779" s="80"/>
      <c r="N779" s="80"/>
      <c r="O779" s="80"/>
      <c r="P779" s="80"/>
      <c r="Q779" s="80"/>
    </row>
    <row r="780" spans="1:17" customFormat="1" ht="28.5">
      <c r="A780" t="s">
        <v>239</v>
      </c>
      <c r="B780" t="s">
        <v>240</v>
      </c>
      <c r="C780" t="s">
        <v>2437</v>
      </c>
      <c r="D780" s="5">
        <v>46037</v>
      </c>
      <c r="E780" s="5">
        <v>46037</v>
      </c>
      <c r="F780" s="120" t="s">
        <v>2440</v>
      </c>
      <c r="G780" s="1"/>
      <c r="H780" s="1" t="s">
        <v>984</v>
      </c>
      <c r="I780" s="1" t="s">
        <v>2441</v>
      </c>
      <c r="J780" s="80"/>
      <c r="K780" s="80"/>
      <c r="L780" s="80"/>
      <c r="M780" s="80"/>
      <c r="N780" s="80"/>
      <c r="O780" s="80"/>
      <c r="P780" s="80"/>
      <c r="Q780" s="80"/>
    </row>
    <row r="781" spans="1:17" customFormat="1" ht="28.5">
      <c r="A781" t="s">
        <v>239</v>
      </c>
      <c r="B781" t="s">
        <v>240</v>
      </c>
      <c r="C781" t="s">
        <v>2442</v>
      </c>
      <c r="D781" s="5">
        <v>46037</v>
      </c>
      <c r="E781" s="5">
        <v>46037</v>
      </c>
      <c r="F781" s="120" t="s">
        <v>2443</v>
      </c>
      <c r="G781" s="1"/>
      <c r="H781" s="1" t="s">
        <v>261</v>
      </c>
      <c r="I781" s="1" t="s">
        <v>2444</v>
      </c>
      <c r="J781" s="80"/>
      <c r="K781" s="80"/>
      <c r="L781" s="80"/>
      <c r="M781" s="80"/>
      <c r="N781" s="80"/>
      <c r="O781" s="80"/>
      <c r="P781" s="80"/>
      <c r="Q781" s="80"/>
    </row>
    <row r="782" spans="1:17" customFormat="1" ht="42.75">
      <c r="A782" t="s">
        <v>239</v>
      </c>
      <c r="B782" t="s">
        <v>240</v>
      </c>
      <c r="C782" t="s">
        <v>2442</v>
      </c>
      <c r="D782" s="5">
        <v>46037</v>
      </c>
      <c r="E782" s="5">
        <v>46037</v>
      </c>
      <c r="F782" s="120" t="s">
        <v>2445</v>
      </c>
      <c r="G782" s="1"/>
      <c r="H782" s="1" t="s">
        <v>1144</v>
      </c>
      <c r="I782" s="1" t="s">
        <v>2446</v>
      </c>
      <c r="J782" s="80"/>
      <c r="K782" s="80"/>
      <c r="L782" s="80"/>
      <c r="M782" s="80"/>
      <c r="N782" s="80"/>
      <c r="O782" s="80"/>
      <c r="P782" s="80"/>
      <c r="Q782" s="80"/>
    </row>
    <row r="783" spans="1:17" customFormat="1" ht="28.5">
      <c r="A783" t="s">
        <v>239</v>
      </c>
      <c r="B783" t="s">
        <v>240</v>
      </c>
      <c r="C783" t="s">
        <v>2447</v>
      </c>
      <c r="D783" s="5">
        <v>46037</v>
      </c>
      <c r="E783" s="5">
        <v>46037</v>
      </c>
      <c r="F783" s="120" t="s">
        <v>1232</v>
      </c>
      <c r="G783" s="1"/>
      <c r="H783" s="1" t="s">
        <v>295</v>
      </c>
      <c r="I783" s="1" t="s">
        <v>2448</v>
      </c>
      <c r="J783" s="80"/>
      <c r="K783" s="80"/>
      <c r="L783" s="80"/>
      <c r="M783" s="80"/>
      <c r="N783" s="80"/>
      <c r="O783" s="80"/>
      <c r="P783" s="80"/>
      <c r="Q783" s="80"/>
    </row>
    <row r="784" spans="1:17" customFormat="1" ht="28.5">
      <c r="A784" t="s">
        <v>239</v>
      </c>
      <c r="B784" t="s">
        <v>240</v>
      </c>
      <c r="C784" t="s">
        <v>2449</v>
      </c>
      <c r="D784" s="5">
        <v>46038</v>
      </c>
      <c r="E784" s="5">
        <v>46038</v>
      </c>
      <c r="F784" s="120" t="s">
        <v>2450</v>
      </c>
      <c r="G784" s="1" t="s">
        <v>747</v>
      </c>
      <c r="H784" s="1"/>
      <c r="I784" s="1" t="s">
        <v>2451</v>
      </c>
      <c r="J784" s="80"/>
      <c r="K784" s="80"/>
      <c r="L784" s="80"/>
      <c r="M784" s="80"/>
      <c r="N784" s="80"/>
      <c r="O784" s="80"/>
      <c r="P784" s="80"/>
      <c r="Q784" s="80"/>
    </row>
    <row r="785" spans="1:17" customFormat="1" ht="28.5">
      <c r="A785" t="s">
        <v>239</v>
      </c>
      <c r="B785" t="s">
        <v>240</v>
      </c>
      <c r="C785" t="s">
        <v>2452</v>
      </c>
      <c r="D785" s="5">
        <v>46038</v>
      </c>
      <c r="E785" s="5">
        <v>46038</v>
      </c>
      <c r="F785" s="120" t="s">
        <v>2453</v>
      </c>
      <c r="G785" s="1"/>
      <c r="H785" s="1" t="s">
        <v>261</v>
      </c>
      <c r="I785" s="1" t="s">
        <v>2454</v>
      </c>
      <c r="J785" s="80"/>
      <c r="K785" s="80"/>
      <c r="L785" s="80"/>
      <c r="M785" s="80"/>
      <c r="N785" s="80"/>
      <c r="O785" s="80"/>
      <c r="P785" s="80"/>
      <c r="Q785" s="80"/>
    </row>
    <row r="786" spans="1:17" customFormat="1" ht="42.75">
      <c r="A786" t="s">
        <v>239</v>
      </c>
      <c r="B786" t="s">
        <v>240</v>
      </c>
      <c r="C786" t="s">
        <v>2452</v>
      </c>
      <c r="D786" s="5">
        <v>46038</v>
      </c>
      <c r="E786" s="5">
        <v>46038</v>
      </c>
      <c r="F786" s="120" t="s">
        <v>2455</v>
      </c>
      <c r="G786" s="1"/>
      <c r="H786" s="1" t="s">
        <v>2456</v>
      </c>
      <c r="I786" s="1" t="s">
        <v>2457</v>
      </c>
      <c r="J786" s="80"/>
      <c r="K786" s="80"/>
      <c r="L786" s="80"/>
      <c r="M786" s="80"/>
      <c r="N786" s="80"/>
      <c r="O786" s="80"/>
      <c r="P786" s="80"/>
      <c r="Q786" s="80"/>
    </row>
    <row r="787" spans="1:17" customFormat="1" ht="28.5">
      <c r="A787" t="s">
        <v>239</v>
      </c>
      <c r="B787" t="s">
        <v>240</v>
      </c>
      <c r="C787" t="s">
        <v>2458</v>
      </c>
      <c r="D787" s="5">
        <v>46038</v>
      </c>
      <c r="E787" s="5">
        <v>46038</v>
      </c>
      <c r="F787" s="120" t="s">
        <v>2459</v>
      </c>
      <c r="G787" s="1"/>
      <c r="H787" s="1" t="s">
        <v>257</v>
      </c>
      <c r="I787" s="1" t="s">
        <v>2460</v>
      </c>
      <c r="J787" s="80"/>
      <c r="K787" s="80"/>
      <c r="L787" s="80"/>
      <c r="M787" s="80"/>
      <c r="N787" s="80"/>
      <c r="O787" s="80"/>
      <c r="P787" s="80"/>
      <c r="Q787" s="80"/>
    </row>
    <row r="788" spans="1:17" customFormat="1" ht="28.5">
      <c r="A788" t="s">
        <v>2461</v>
      </c>
      <c r="B788" t="s">
        <v>240</v>
      </c>
      <c r="C788" t="s">
        <v>2462</v>
      </c>
      <c r="D788" s="5">
        <v>46038</v>
      </c>
      <c r="E788" s="5">
        <v>46038</v>
      </c>
      <c r="F788" s="120" t="s">
        <v>2463</v>
      </c>
      <c r="G788" s="1" t="s">
        <v>2464</v>
      </c>
      <c r="H788" s="1"/>
      <c r="I788" s="1" t="s">
        <v>2465</v>
      </c>
      <c r="J788" s="80"/>
      <c r="K788" s="80"/>
      <c r="L788" s="80"/>
      <c r="M788" s="80"/>
      <c r="N788" s="80"/>
      <c r="O788" s="80"/>
      <c r="P788" s="80"/>
      <c r="Q788" s="80"/>
    </row>
    <row r="789" spans="1:17" customFormat="1" ht="28.5">
      <c r="A789" t="s">
        <v>239</v>
      </c>
      <c r="B789" t="s">
        <v>240</v>
      </c>
      <c r="C789" t="s">
        <v>2466</v>
      </c>
      <c r="D789" s="5">
        <v>46038</v>
      </c>
      <c r="E789" s="5">
        <v>46038</v>
      </c>
      <c r="F789" s="120" t="s">
        <v>2467</v>
      </c>
      <c r="G789" s="1"/>
      <c r="H789" s="1" t="s">
        <v>1839</v>
      </c>
      <c r="I789" s="1" t="s">
        <v>2468</v>
      </c>
      <c r="J789" s="80"/>
      <c r="K789" s="80"/>
      <c r="L789" s="80"/>
      <c r="M789" s="80"/>
      <c r="N789" s="80"/>
      <c r="O789" s="80"/>
      <c r="P789" s="80"/>
      <c r="Q789" s="80"/>
    </row>
    <row r="790" spans="1:17" customFormat="1" ht="28.5">
      <c r="A790" t="s">
        <v>239</v>
      </c>
      <c r="B790" t="s">
        <v>240</v>
      </c>
      <c r="C790" t="s">
        <v>2466</v>
      </c>
      <c r="D790" s="5">
        <v>46038</v>
      </c>
      <c r="E790" s="5">
        <v>46038</v>
      </c>
      <c r="F790" s="120" t="s">
        <v>2469</v>
      </c>
      <c r="G790" s="1"/>
      <c r="H790" s="1" t="s">
        <v>2470</v>
      </c>
      <c r="I790" s="1" t="s">
        <v>2471</v>
      </c>
      <c r="J790" s="80"/>
      <c r="K790" s="80"/>
      <c r="L790" s="80"/>
      <c r="M790" s="80"/>
      <c r="N790" s="80"/>
      <c r="O790" s="80"/>
      <c r="P790" s="80"/>
      <c r="Q790" s="80"/>
    </row>
    <row r="791" spans="1:17" customFormat="1" ht="28.5">
      <c r="A791" t="s">
        <v>239</v>
      </c>
      <c r="B791" t="s">
        <v>240</v>
      </c>
      <c r="C791" t="s">
        <v>2472</v>
      </c>
      <c r="D791" s="5">
        <v>46038</v>
      </c>
      <c r="E791" s="5">
        <v>46038</v>
      </c>
      <c r="F791" s="120" t="s">
        <v>2473</v>
      </c>
      <c r="G791" s="1"/>
      <c r="H791" s="1" t="s">
        <v>261</v>
      </c>
      <c r="I791" s="1" t="s">
        <v>2474</v>
      </c>
      <c r="J791" s="80"/>
      <c r="K791" s="80"/>
      <c r="L791" s="80"/>
      <c r="M791" s="80"/>
      <c r="N791" s="80"/>
      <c r="O791" s="80"/>
      <c r="P791" s="80"/>
      <c r="Q791" s="80"/>
    </row>
    <row r="792" spans="1:17" customFormat="1" ht="42.75">
      <c r="A792" t="s">
        <v>239</v>
      </c>
      <c r="B792" t="s">
        <v>240</v>
      </c>
      <c r="C792" t="s">
        <v>2472</v>
      </c>
      <c r="D792" s="5">
        <v>46038</v>
      </c>
      <c r="E792" s="5">
        <v>46038</v>
      </c>
      <c r="F792" s="120" t="s">
        <v>2475</v>
      </c>
      <c r="G792" s="1"/>
      <c r="H792" s="1" t="s">
        <v>467</v>
      </c>
      <c r="I792" s="1" t="s">
        <v>2476</v>
      </c>
      <c r="J792" s="80"/>
      <c r="K792" s="80"/>
      <c r="L792" s="80"/>
      <c r="M792" s="80"/>
      <c r="N792" s="80"/>
      <c r="O792" s="80"/>
      <c r="P792" s="80"/>
      <c r="Q792" s="80"/>
    </row>
    <row r="793" spans="1:17" customFormat="1" ht="42.75">
      <c r="A793" t="s">
        <v>239</v>
      </c>
      <c r="B793" t="s">
        <v>240</v>
      </c>
      <c r="C793" t="s">
        <v>2477</v>
      </c>
      <c r="D793" s="5">
        <v>46039</v>
      </c>
      <c r="E793" s="5">
        <v>46039</v>
      </c>
      <c r="F793" s="120" t="s">
        <v>2478</v>
      </c>
      <c r="G793" s="1"/>
      <c r="H793" s="1" t="s">
        <v>2144</v>
      </c>
      <c r="I793" s="1" t="s">
        <v>2479</v>
      </c>
      <c r="J793" s="80"/>
      <c r="K793" s="80"/>
      <c r="L793" s="80"/>
      <c r="M793" s="80"/>
      <c r="N793" s="80"/>
      <c r="O793" s="80"/>
      <c r="P793" s="80"/>
      <c r="Q793" s="80"/>
    </row>
    <row r="794" spans="1:17" customFormat="1" ht="28.5">
      <c r="A794" t="s">
        <v>239</v>
      </c>
      <c r="B794" t="s">
        <v>240</v>
      </c>
      <c r="C794" t="s">
        <v>2480</v>
      </c>
      <c r="D794" s="5">
        <v>46039</v>
      </c>
      <c r="E794" s="5">
        <v>46039</v>
      </c>
      <c r="F794" s="120" t="s">
        <v>2481</v>
      </c>
      <c r="G794" s="1"/>
      <c r="H794" s="1" t="s">
        <v>261</v>
      </c>
      <c r="I794" s="1" t="s">
        <v>2482</v>
      </c>
      <c r="J794" s="80"/>
      <c r="K794" s="80"/>
      <c r="L794" s="80"/>
      <c r="M794" s="80"/>
      <c r="N794" s="80"/>
      <c r="O794" s="80"/>
      <c r="P794" s="80"/>
      <c r="Q794" s="80"/>
    </row>
    <row r="795" spans="1:17" customFormat="1" ht="42.75">
      <c r="A795" t="s">
        <v>239</v>
      </c>
      <c r="B795" t="s">
        <v>240</v>
      </c>
      <c r="C795" t="s">
        <v>2480</v>
      </c>
      <c r="D795" s="5">
        <v>46039</v>
      </c>
      <c r="E795" s="5">
        <v>46039</v>
      </c>
      <c r="F795" s="120" t="s">
        <v>2483</v>
      </c>
      <c r="G795" s="1"/>
      <c r="H795" s="1" t="s">
        <v>940</v>
      </c>
      <c r="I795" s="1" t="s">
        <v>2484</v>
      </c>
      <c r="J795" s="80"/>
      <c r="K795" s="80"/>
      <c r="L795" s="80"/>
      <c r="M795" s="80"/>
      <c r="N795" s="80"/>
      <c r="O795" s="80"/>
      <c r="P795" s="80"/>
      <c r="Q795" s="80"/>
    </row>
    <row r="796" spans="1:17" customFormat="1" ht="28.5">
      <c r="A796" t="s">
        <v>239</v>
      </c>
      <c r="B796" t="s">
        <v>240</v>
      </c>
      <c r="C796" t="s">
        <v>2485</v>
      </c>
      <c r="D796" s="5">
        <v>46039</v>
      </c>
      <c r="E796" s="5">
        <v>46039</v>
      </c>
      <c r="F796" s="120" t="s">
        <v>2486</v>
      </c>
      <c r="G796" s="1"/>
      <c r="H796" s="1" t="s">
        <v>261</v>
      </c>
      <c r="I796" s="1" t="s">
        <v>2487</v>
      </c>
      <c r="J796" s="80"/>
      <c r="K796" s="80"/>
      <c r="L796" s="80"/>
      <c r="M796" s="80"/>
      <c r="N796" s="80"/>
      <c r="O796" s="80"/>
      <c r="P796" s="80"/>
      <c r="Q796" s="80"/>
    </row>
    <row r="797" spans="1:17" customFormat="1" ht="42.75">
      <c r="A797" t="s">
        <v>239</v>
      </c>
      <c r="B797" t="s">
        <v>240</v>
      </c>
      <c r="C797" t="s">
        <v>2485</v>
      </c>
      <c r="D797" s="5">
        <v>46039</v>
      </c>
      <c r="E797" s="5">
        <v>46039</v>
      </c>
      <c r="F797" s="120" t="s">
        <v>2488</v>
      </c>
      <c r="G797" s="1"/>
      <c r="H797" s="1" t="s">
        <v>642</v>
      </c>
      <c r="I797" s="1" t="s">
        <v>2489</v>
      </c>
      <c r="J797" s="80"/>
      <c r="K797" s="80"/>
      <c r="L797" s="80"/>
      <c r="M797" s="80"/>
      <c r="N797" s="80"/>
      <c r="O797" s="80"/>
      <c r="P797" s="80"/>
      <c r="Q797" s="80"/>
    </row>
    <row r="798" spans="1:17" customFormat="1" ht="28.5">
      <c r="A798" t="s">
        <v>239</v>
      </c>
      <c r="B798" t="s">
        <v>240</v>
      </c>
      <c r="C798" t="s">
        <v>2490</v>
      </c>
      <c r="D798" s="5">
        <v>46040</v>
      </c>
      <c r="E798" s="5">
        <v>46040</v>
      </c>
      <c r="F798" s="120" t="s">
        <v>2491</v>
      </c>
      <c r="G798" s="1"/>
      <c r="H798" s="1" t="s">
        <v>254</v>
      </c>
      <c r="I798" s="1" t="s">
        <v>2492</v>
      </c>
      <c r="J798" s="80"/>
      <c r="K798" s="80"/>
      <c r="L798" s="80"/>
      <c r="M798" s="80"/>
      <c r="N798" s="80"/>
      <c r="O798" s="80"/>
      <c r="P798" s="80"/>
      <c r="Q798" s="80"/>
    </row>
    <row r="799" spans="1:17" customFormat="1" ht="28.5">
      <c r="A799" t="s">
        <v>239</v>
      </c>
      <c r="B799" t="s">
        <v>240</v>
      </c>
      <c r="C799" t="s">
        <v>2490</v>
      </c>
      <c r="D799" s="5">
        <v>46040</v>
      </c>
      <c r="E799" s="5">
        <v>46040</v>
      </c>
      <c r="F799" s="120" t="s">
        <v>2493</v>
      </c>
      <c r="G799" s="1"/>
      <c r="H799" s="1" t="s">
        <v>2494</v>
      </c>
      <c r="I799" s="1" t="s">
        <v>2495</v>
      </c>
      <c r="J799" s="80"/>
      <c r="K799" s="80"/>
      <c r="L799" s="80"/>
      <c r="M799" s="80"/>
      <c r="N799" s="80"/>
      <c r="O799" s="80"/>
      <c r="P799" s="80"/>
      <c r="Q799" s="80"/>
    </row>
    <row r="800" spans="1:17" customFormat="1" ht="42.75">
      <c r="A800" t="s">
        <v>239</v>
      </c>
      <c r="B800" t="s">
        <v>240</v>
      </c>
      <c r="C800" t="s">
        <v>2496</v>
      </c>
      <c r="D800" s="5">
        <v>46040</v>
      </c>
      <c r="E800" s="5">
        <v>46040</v>
      </c>
      <c r="F800" s="120" t="s">
        <v>2497</v>
      </c>
      <c r="G800" s="1"/>
      <c r="H800" s="1" t="s">
        <v>313</v>
      </c>
      <c r="I800" s="1" t="s">
        <v>2498</v>
      </c>
      <c r="J800" s="80"/>
      <c r="K800" s="80"/>
      <c r="L800" s="80"/>
      <c r="M800" s="80"/>
      <c r="N800" s="80"/>
      <c r="O800" s="80"/>
      <c r="P800" s="80"/>
      <c r="Q800" s="80"/>
    </row>
    <row r="801" spans="1:17" customFormat="1" ht="42.75">
      <c r="A801" t="s">
        <v>239</v>
      </c>
      <c r="B801" t="s">
        <v>240</v>
      </c>
      <c r="C801" t="s">
        <v>2499</v>
      </c>
      <c r="D801" s="5">
        <v>46041</v>
      </c>
      <c r="E801" s="5">
        <v>46041</v>
      </c>
      <c r="F801" s="120" t="s">
        <v>2500</v>
      </c>
      <c r="G801" s="1"/>
      <c r="H801" s="1" t="s">
        <v>261</v>
      </c>
      <c r="I801" s="1" t="s">
        <v>2501</v>
      </c>
      <c r="J801" s="80"/>
      <c r="K801" s="80"/>
      <c r="L801" s="80"/>
      <c r="M801" s="80"/>
      <c r="N801" s="80"/>
      <c r="O801" s="80"/>
      <c r="P801" s="80"/>
      <c r="Q801" s="80"/>
    </row>
    <row r="802" spans="1:17" customFormat="1" ht="42.75">
      <c r="A802" t="s">
        <v>239</v>
      </c>
      <c r="B802" t="s">
        <v>240</v>
      </c>
      <c r="C802" t="s">
        <v>2499</v>
      </c>
      <c r="D802" s="5">
        <v>46041</v>
      </c>
      <c r="E802" s="5">
        <v>46041</v>
      </c>
      <c r="F802" s="120" t="s">
        <v>2502</v>
      </c>
      <c r="G802" s="1"/>
      <c r="H802" s="1" t="s">
        <v>277</v>
      </c>
      <c r="I802" s="1" t="s">
        <v>2503</v>
      </c>
      <c r="J802" s="80"/>
      <c r="K802" s="80"/>
      <c r="L802" s="80"/>
      <c r="M802" s="80"/>
      <c r="N802" s="80"/>
      <c r="O802" s="80"/>
      <c r="P802" s="80"/>
      <c r="Q802" s="80"/>
    </row>
    <row r="803" spans="1:17" customFormat="1" ht="28.5">
      <c r="A803" t="s">
        <v>239</v>
      </c>
      <c r="B803" t="s">
        <v>240</v>
      </c>
      <c r="C803" t="s">
        <v>2504</v>
      </c>
      <c r="D803" s="5">
        <v>46041</v>
      </c>
      <c r="E803" s="5">
        <v>46041</v>
      </c>
      <c r="F803" s="120" t="s">
        <v>2505</v>
      </c>
      <c r="G803" s="1"/>
      <c r="H803" s="1" t="s">
        <v>254</v>
      </c>
      <c r="I803" s="1" t="s">
        <v>2506</v>
      </c>
      <c r="J803" s="80"/>
      <c r="K803" s="80"/>
      <c r="L803" s="80"/>
      <c r="M803" s="80"/>
      <c r="N803" s="80"/>
      <c r="O803" s="80"/>
      <c r="P803" s="80"/>
      <c r="Q803" s="80"/>
    </row>
    <row r="804" spans="1:17" customFormat="1" ht="42.75">
      <c r="A804" t="s">
        <v>239</v>
      </c>
      <c r="B804" t="s">
        <v>240</v>
      </c>
      <c r="C804" t="s">
        <v>2504</v>
      </c>
      <c r="D804" s="5">
        <v>46041</v>
      </c>
      <c r="E804" s="5">
        <v>46041</v>
      </c>
      <c r="F804" s="120" t="s">
        <v>2507</v>
      </c>
      <c r="G804" s="1"/>
      <c r="H804" s="1" t="s">
        <v>1118</v>
      </c>
      <c r="I804" s="1" t="s">
        <v>2508</v>
      </c>
      <c r="J804" s="80"/>
      <c r="K804" s="80"/>
      <c r="L804" s="80"/>
      <c r="M804" s="80"/>
      <c r="N804" s="80"/>
      <c r="O804" s="80"/>
      <c r="P804" s="80"/>
      <c r="Q804" s="80"/>
    </row>
    <row r="805" spans="1:17" customFormat="1" ht="28.5">
      <c r="A805" t="s">
        <v>239</v>
      </c>
      <c r="B805" t="s">
        <v>240</v>
      </c>
      <c r="C805" t="s">
        <v>2509</v>
      </c>
      <c r="D805" s="5">
        <v>46042</v>
      </c>
      <c r="E805" s="5">
        <v>46042</v>
      </c>
      <c r="F805" s="120" t="s">
        <v>551</v>
      </c>
      <c r="G805" s="1"/>
      <c r="H805" s="1" t="s">
        <v>295</v>
      </c>
      <c r="I805" s="1" t="s">
        <v>2510</v>
      </c>
      <c r="J805" s="80"/>
      <c r="K805" s="80"/>
      <c r="L805" s="80"/>
      <c r="M805" s="80"/>
      <c r="N805" s="80"/>
      <c r="O805" s="80"/>
      <c r="P805" s="80"/>
      <c r="Q805" s="80"/>
    </row>
    <row r="806" spans="1:17" customFormat="1" ht="28.5">
      <c r="A806" t="s">
        <v>239</v>
      </c>
      <c r="B806" t="s">
        <v>240</v>
      </c>
      <c r="C806" t="s">
        <v>2511</v>
      </c>
      <c r="D806" s="5">
        <v>46042</v>
      </c>
      <c r="E806" s="5">
        <v>46042</v>
      </c>
      <c r="F806" s="120" t="s">
        <v>2512</v>
      </c>
      <c r="G806" s="1"/>
      <c r="H806" s="1" t="s">
        <v>2513</v>
      </c>
      <c r="I806" s="1" t="s">
        <v>2514</v>
      </c>
      <c r="J806" s="80"/>
      <c r="K806" s="80"/>
      <c r="L806" s="80"/>
      <c r="M806" s="80"/>
      <c r="N806" s="80"/>
      <c r="O806" s="80"/>
      <c r="P806" s="80"/>
      <c r="Q806" s="80"/>
    </row>
    <row r="807" spans="1:17" customFormat="1">
      <c r="A807" t="s">
        <v>239</v>
      </c>
      <c r="B807" t="s">
        <v>240</v>
      </c>
      <c r="C807" t="s">
        <v>2515</v>
      </c>
      <c r="D807" s="5">
        <v>46042</v>
      </c>
      <c r="E807" s="5">
        <v>46042</v>
      </c>
      <c r="F807" s="120" t="s">
        <v>2516</v>
      </c>
      <c r="G807" s="1" t="s">
        <v>1044</v>
      </c>
      <c r="H807" s="1"/>
      <c r="I807" s="1" t="s">
        <v>2517</v>
      </c>
      <c r="J807" s="80"/>
      <c r="K807" s="80"/>
      <c r="L807" s="80"/>
      <c r="M807" s="80"/>
      <c r="N807" s="80"/>
      <c r="O807" s="80"/>
      <c r="P807" s="80"/>
      <c r="Q807" s="80"/>
    </row>
    <row r="808" spans="1:17" customFormat="1">
      <c r="A808" t="s">
        <v>2518</v>
      </c>
      <c r="B808" t="s">
        <v>240</v>
      </c>
      <c r="C808" t="s">
        <v>2519</v>
      </c>
      <c r="D808" s="5">
        <v>46043</v>
      </c>
      <c r="E808" s="5">
        <v>46043</v>
      </c>
      <c r="F808" s="120" t="s">
        <v>2520</v>
      </c>
      <c r="G808" s="1" t="s">
        <v>368</v>
      </c>
      <c r="H808" s="1"/>
      <c r="I808" s="1" t="s">
        <v>2521</v>
      </c>
      <c r="J808" s="80"/>
      <c r="K808" s="80"/>
      <c r="L808" s="80"/>
      <c r="M808" s="80"/>
      <c r="N808" s="80"/>
      <c r="O808" s="80"/>
      <c r="P808" s="80"/>
      <c r="Q808" s="80"/>
    </row>
    <row r="809" spans="1:17" customFormat="1" ht="28.5">
      <c r="A809" t="s">
        <v>239</v>
      </c>
      <c r="B809" t="s">
        <v>240</v>
      </c>
      <c r="C809" t="s">
        <v>2522</v>
      </c>
      <c r="D809" s="5">
        <v>46043</v>
      </c>
      <c r="E809" s="5">
        <v>46043</v>
      </c>
      <c r="F809" s="120" t="s">
        <v>551</v>
      </c>
      <c r="G809" s="1"/>
      <c r="H809" s="1" t="s">
        <v>433</v>
      </c>
      <c r="I809" s="1" t="s">
        <v>2523</v>
      </c>
      <c r="J809" s="80"/>
      <c r="K809" s="80"/>
      <c r="L809" s="80"/>
      <c r="M809" s="80"/>
      <c r="N809" s="80"/>
      <c r="O809" s="80"/>
      <c r="P809" s="80"/>
      <c r="Q809" s="80"/>
    </row>
    <row r="810" spans="1:17" customFormat="1" ht="42.75">
      <c r="A810" t="s">
        <v>239</v>
      </c>
      <c r="B810" t="s">
        <v>240</v>
      </c>
      <c r="C810" t="s">
        <v>2524</v>
      </c>
      <c r="D810" s="5">
        <v>46044</v>
      </c>
      <c r="E810" s="5">
        <v>46044</v>
      </c>
      <c r="F810" s="120" t="s">
        <v>2525</v>
      </c>
      <c r="G810" s="1"/>
      <c r="H810" s="1" t="s">
        <v>261</v>
      </c>
      <c r="I810" s="1" t="s">
        <v>2526</v>
      </c>
      <c r="J810" s="80"/>
      <c r="K810" s="80"/>
      <c r="L810" s="80"/>
      <c r="M810" s="80"/>
      <c r="N810" s="80"/>
      <c r="O810" s="80"/>
      <c r="P810" s="80"/>
      <c r="Q810" s="80"/>
    </row>
    <row r="811" spans="1:17" customFormat="1" ht="42.75">
      <c r="A811" t="s">
        <v>239</v>
      </c>
      <c r="B811" t="s">
        <v>240</v>
      </c>
      <c r="C811" t="s">
        <v>2524</v>
      </c>
      <c r="D811" s="5">
        <v>46044</v>
      </c>
      <c r="E811" s="5">
        <v>46044</v>
      </c>
      <c r="F811" s="120" t="s">
        <v>2527</v>
      </c>
      <c r="G811" s="1"/>
      <c r="H811" s="1" t="s">
        <v>307</v>
      </c>
      <c r="I811" s="1" t="s">
        <v>2528</v>
      </c>
      <c r="J811" s="80"/>
      <c r="K811" s="80"/>
      <c r="L811" s="80"/>
      <c r="M811" s="80"/>
      <c r="N811" s="80"/>
      <c r="O811" s="80"/>
      <c r="P811" s="80"/>
      <c r="Q811" s="80"/>
    </row>
    <row r="812" spans="1:17" customFormat="1" ht="28.5">
      <c r="A812" t="s">
        <v>239</v>
      </c>
      <c r="B812" t="s">
        <v>240</v>
      </c>
      <c r="C812" t="s">
        <v>2529</v>
      </c>
      <c r="D812" s="5">
        <v>46044</v>
      </c>
      <c r="E812" s="5">
        <v>46044</v>
      </c>
      <c r="F812" s="120" t="s">
        <v>2530</v>
      </c>
      <c r="G812" s="1" t="s">
        <v>2531</v>
      </c>
      <c r="H812" s="1"/>
      <c r="I812" s="1" t="s">
        <v>2532</v>
      </c>
      <c r="J812" s="80"/>
      <c r="K812" s="80"/>
      <c r="L812" s="80"/>
      <c r="M812" s="80"/>
      <c r="N812" s="80"/>
      <c r="O812" s="80"/>
      <c r="P812" s="80"/>
      <c r="Q812" s="80"/>
    </row>
    <row r="813" spans="1:17" customFormat="1" ht="42.75">
      <c r="A813" t="s">
        <v>239</v>
      </c>
      <c r="B813" t="s">
        <v>240</v>
      </c>
      <c r="C813" t="s">
        <v>2533</v>
      </c>
      <c r="D813" s="5">
        <v>46044</v>
      </c>
      <c r="E813" s="5">
        <v>46044</v>
      </c>
      <c r="F813" s="120" t="s">
        <v>2534</v>
      </c>
      <c r="G813" s="1" t="s">
        <v>1476</v>
      </c>
      <c r="H813" s="1"/>
      <c r="I813" s="1" t="s">
        <v>2535</v>
      </c>
      <c r="J813" s="80"/>
      <c r="K813" s="80"/>
      <c r="L813" s="80"/>
      <c r="M813" s="80"/>
      <c r="N813" s="80"/>
      <c r="O813" s="80"/>
      <c r="P813" s="80"/>
      <c r="Q813" s="80"/>
    </row>
    <row r="814" spans="1:17" customFormat="1">
      <c r="A814" t="s">
        <v>239</v>
      </c>
      <c r="B814" t="s">
        <v>240</v>
      </c>
      <c r="C814" t="s">
        <v>2536</v>
      </c>
      <c r="D814" s="5">
        <v>46044</v>
      </c>
      <c r="E814" s="5">
        <v>46044</v>
      </c>
      <c r="F814" s="120" t="s">
        <v>2537</v>
      </c>
      <c r="G814" s="1" t="s">
        <v>2538</v>
      </c>
      <c r="H814" s="1"/>
      <c r="I814" s="1" t="s">
        <v>2539</v>
      </c>
      <c r="J814" s="80"/>
      <c r="K814" s="80"/>
      <c r="L814" s="80"/>
      <c r="M814" s="80"/>
      <c r="N814" s="80"/>
      <c r="O814" s="80"/>
      <c r="P814" s="80"/>
      <c r="Q814" s="80"/>
    </row>
    <row r="815" spans="1:17" customFormat="1">
      <c r="A815" t="s">
        <v>239</v>
      </c>
      <c r="B815" t="s">
        <v>240</v>
      </c>
      <c r="C815" t="s">
        <v>2540</v>
      </c>
      <c r="D815" s="5">
        <v>46044</v>
      </c>
      <c r="E815" s="5">
        <v>46044</v>
      </c>
      <c r="F815" s="120" t="s">
        <v>2541</v>
      </c>
      <c r="G815" s="1" t="s">
        <v>1476</v>
      </c>
      <c r="H815" s="1"/>
      <c r="I815" s="1" t="s">
        <v>2542</v>
      </c>
      <c r="J815" s="80"/>
      <c r="K815" s="80"/>
      <c r="L815" s="80"/>
      <c r="M815" s="80"/>
      <c r="N815" s="80"/>
      <c r="O815" s="80"/>
      <c r="P815" s="80"/>
      <c r="Q815" s="80"/>
    </row>
    <row r="816" spans="1:17" customFormat="1" ht="28.5">
      <c r="A816" t="s">
        <v>239</v>
      </c>
      <c r="B816" t="s">
        <v>240</v>
      </c>
      <c r="C816" t="s">
        <v>2543</v>
      </c>
      <c r="D816" s="5">
        <v>46044</v>
      </c>
      <c r="E816" s="5">
        <v>46044</v>
      </c>
      <c r="F816" s="120" t="s">
        <v>2544</v>
      </c>
      <c r="G816" s="1"/>
      <c r="H816" s="1" t="s">
        <v>254</v>
      </c>
      <c r="I816" s="1" t="s">
        <v>2545</v>
      </c>
      <c r="J816" s="80"/>
      <c r="K816" s="80"/>
      <c r="L816" s="80"/>
      <c r="M816" s="80"/>
      <c r="N816" s="80"/>
      <c r="O816" s="80"/>
      <c r="P816" s="80"/>
      <c r="Q816" s="80"/>
    </row>
    <row r="817" spans="1:17" customFormat="1" ht="42.75">
      <c r="A817" t="s">
        <v>239</v>
      </c>
      <c r="B817" t="s">
        <v>240</v>
      </c>
      <c r="C817" t="s">
        <v>2543</v>
      </c>
      <c r="D817" s="5">
        <v>46044</v>
      </c>
      <c r="E817" s="5">
        <v>46044</v>
      </c>
      <c r="F817" s="120" t="s">
        <v>2546</v>
      </c>
      <c r="G817" s="1"/>
      <c r="H817" s="1" t="s">
        <v>295</v>
      </c>
      <c r="I817" s="1" t="s">
        <v>2547</v>
      </c>
      <c r="J817" s="80"/>
      <c r="K817" s="80"/>
      <c r="L817" s="80"/>
      <c r="M817" s="80"/>
      <c r="N817" s="80"/>
      <c r="O817" s="80"/>
      <c r="P817" s="80"/>
      <c r="Q817" s="80"/>
    </row>
    <row r="818" spans="1:17" customFormat="1" ht="28.5">
      <c r="A818" t="s">
        <v>239</v>
      </c>
      <c r="B818" t="s">
        <v>240</v>
      </c>
      <c r="C818" t="s">
        <v>2548</v>
      </c>
      <c r="D818" s="5">
        <v>46045</v>
      </c>
      <c r="E818" s="5">
        <v>46045</v>
      </c>
      <c r="F818" s="120" t="s">
        <v>2549</v>
      </c>
      <c r="G818" s="1"/>
      <c r="H818" s="1" t="s">
        <v>261</v>
      </c>
      <c r="I818" s="1" t="s">
        <v>2550</v>
      </c>
      <c r="J818" s="80"/>
      <c r="K818" s="80"/>
      <c r="L818" s="80"/>
      <c r="M818" s="80"/>
      <c r="N818" s="80"/>
      <c r="O818" s="80"/>
      <c r="P818" s="80"/>
      <c r="Q818" s="80"/>
    </row>
    <row r="819" spans="1:17" customFormat="1" ht="42.75">
      <c r="A819" t="s">
        <v>239</v>
      </c>
      <c r="B819" t="s">
        <v>240</v>
      </c>
      <c r="C819" t="s">
        <v>2548</v>
      </c>
      <c r="D819" s="5">
        <v>46045</v>
      </c>
      <c r="E819" s="5">
        <v>46045</v>
      </c>
      <c r="F819" s="120" t="s">
        <v>2551</v>
      </c>
      <c r="G819" s="1"/>
      <c r="H819" s="1" t="s">
        <v>630</v>
      </c>
      <c r="I819" s="1" t="s">
        <v>2552</v>
      </c>
      <c r="J819" s="80"/>
      <c r="K819" s="80"/>
      <c r="L819" s="80"/>
      <c r="M819" s="80"/>
      <c r="N819" s="80"/>
      <c r="O819" s="80"/>
      <c r="P819" s="80"/>
      <c r="Q819" s="80"/>
    </row>
    <row r="820" spans="1:17" customFormat="1" ht="28.5">
      <c r="A820" t="s">
        <v>239</v>
      </c>
      <c r="B820" t="s">
        <v>240</v>
      </c>
      <c r="C820" t="s">
        <v>2553</v>
      </c>
      <c r="D820" s="5">
        <v>46045</v>
      </c>
      <c r="E820" s="5">
        <v>46045</v>
      </c>
      <c r="F820" s="120" t="s">
        <v>2554</v>
      </c>
      <c r="G820" s="1"/>
      <c r="H820" s="1" t="s">
        <v>2335</v>
      </c>
      <c r="I820" s="1" t="s">
        <v>2555</v>
      </c>
      <c r="J820" s="80"/>
      <c r="K820" s="80"/>
      <c r="L820" s="80"/>
      <c r="M820" s="80"/>
      <c r="N820" s="80"/>
      <c r="O820" s="80"/>
      <c r="P820" s="80"/>
      <c r="Q820" s="80"/>
    </row>
    <row r="821" spans="1:17" customFormat="1" ht="42.75">
      <c r="A821" t="s">
        <v>239</v>
      </c>
      <c r="B821" t="s">
        <v>240</v>
      </c>
      <c r="C821" t="s">
        <v>2553</v>
      </c>
      <c r="D821" s="5">
        <v>46045</v>
      </c>
      <c r="E821" s="5">
        <v>46045</v>
      </c>
      <c r="F821" s="120" t="s">
        <v>2556</v>
      </c>
      <c r="G821" s="1"/>
      <c r="H821" s="1" t="s">
        <v>1706</v>
      </c>
      <c r="I821" s="1" t="s">
        <v>2557</v>
      </c>
      <c r="J821" s="80"/>
      <c r="K821" s="80"/>
      <c r="L821" s="80"/>
      <c r="M821" s="80"/>
      <c r="N821" s="80"/>
      <c r="O821" s="80"/>
      <c r="P821" s="80"/>
      <c r="Q821" s="80"/>
    </row>
    <row r="822" spans="1:17" customFormat="1" ht="28.5">
      <c r="A822" t="s">
        <v>239</v>
      </c>
      <c r="B822" t="s">
        <v>240</v>
      </c>
      <c r="C822" t="s">
        <v>2558</v>
      </c>
      <c r="D822" s="5">
        <v>46045</v>
      </c>
      <c r="E822" s="5">
        <v>46045</v>
      </c>
      <c r="F822" s="120" t="s">
        <v>2559</v>
      </c>
      <c r="G822" s="1"/>
      <c r="H822" s="1" t="s">
        <v>2560</v>
      </c>
      <c r="I822" s="1" t="s">
        <v>2561</v>
      </c>
      <c r="J822" s="80"/>
      <c r="K822" s="80"/>
      <c r="L822" s="80"/>
      <c r="M822" s="80"/>
      <c r="N822" s="80"/>
      <c r="O822" s="80"/>
      <c r="P822" s="80"/>
      <c r="Q822" s="80"/>
    </row>
    <row r="823" spans="1:17" customFormat="1" ht="28.5">
      <c r="A823" t="s">
        <v>239</v>
      </c>
      <c r="B823" t="s">
        <v>240</v>
      </c>
      <c r="C823" t="s">
        <v>2562</v>
      </c>
      <c r="D823" s="5">
        <v>46045</v>
      </c>
      <c r="E823" s="5">
        <v>46045</v>
      </c>
      <c r="F823" s="120" t="s">
        <v>2563</v>
      </c>
      <c r="G823" s="1"/>
      <c r="H823" s="1" t="s">
        <v>261</v>
      </c>
      <c r="I823" s="1" t="s">
        <v>2564</v>
      </c>
      <c r="J823" s="80"/>
      <c r="K823" s="80"/>
      <c r="L823" s="80"/>
      <c r="M823" s="80"/>
      <c r="N823" s="80"/>
      <c r="O823" s="80"/>
      <c r="P823" s="80"/>
      <c r="Q823" s="80"/>
    </row>
    <row r="824" spans="1:17" customFormat="1" ht="28.5">
      <c r="A824" t="s">
        <v>239</v>
      </c>
      <c r="B824" t="s">
        <v>240</v>
      </c>
      <c r="C824" t="s">
        <v>2562</v>
      </c>
      <c r="D824" s="5">
        <v>46045</v>
      </c>
      <c r="E824" s="5">
        <v>46045</v>
      </c>
      <c r="F824" s="120" t="s">
        <v>2565</v>
      </c>
      <c r="G824" s="1"/>
      <c r="H824" s="1" t="s">
        <v>527</v>
      </c>
      <c r="I824" s="1" t="s">
        <v>2566</v>
      </c>
      <c r="J824" s="80"/>
      <c r="K824" s="80"/>
      <c r="L824" s="80"/>
      <c r="M824" s="80"/>
      <c r="N824" s="80"/>
      <c r="O824" s="80"/>
      <c r="P824" s="80"/>
      <c r="Q824" s="80"/>
    </row>
    <row r="825" spans="1:17" customFormat="1" ht="28.5">
      <c r="A825" t="s">
        <v>540</v>
      </c>
      <c r="B825" t="s">
        <v>240</v>
      </c>
      <c r="C825" t="s">
        <v>2567</v>
      </c>
      <c r="D825" s="5">
        <v>46045</v>
      </c>
      <c r="E825" s="5">
        <v>46045</v>
      </c>
      <c r="F825" s="120" t="s">
        <v>2568</v>
      </c>
      <c r="G825" s="1" t="s">
        <v>2569</v>
      </c>
      <c r="H825" s="1"/>
      <c r="I825" s="1" t="s">
        <v>2570</v>
      </c>
      <c r="J825" s="80"/>
      <c r="K825" s="80"/>
      <c r="L825" s="80"/>
      <c r="M825" s="80"/>
      <c r="N825" s="80"/>
      <c r="O825" s="80"/>
      <c r="P825" s="80"/>
      <c r="Q825" s="80"/>
    </row>
    <row r="826" spans="1:17" customFormat="1" ht="28.5">
      <c r="A826" t="s">
        <v>239</v>
      </c>
      <c r="B826" t="s">
        <v>240</v>
      </c>
      <c r="C826" t="s">
        <v>2571</v>
      </c>
      <c r="D826" s="5">
        <v>46045</v>
      </c>
      <c r="E826" s="5">
        <v>46045</v>
      </c>
      <c r="F826" s="120" t="s">
        <v>2572</v>
      </c>
      <c r="G826" s="1"/>
      <c r="H826" s="1" t="s">
        <v>261</v>
      </c>
      <c r="I826" s="1" t="s">
        <v>2573</v>
      </c>
      <c r="J826" s="80"/>
      <c r="K826" s="80"/>
      <c r="L826" s="80"/>
      <c r="M826" s="80"/>
      <c r="N826" s="80"/>
      <c r="O826" s="80"/>
      <c r="P826" s="80"/>
      <c r="Q826" s="80"/>
    </row>
    <row r="827" spans="1:17" customFormat="1" ht="42.75">
      <c r="A827" t="s">
        <v>239</v>
      </c>
      <c r="B827" t="s">
        <v>240</v>
      </c>
      <c r="C827" t="s">
        <v>2571</v>
      </c>
      <c r="D827" s="5">
        <v>46045</v>
      </c>
      <c r="E827" s="5">
        <v>46045</v>
      </c>
      <c r="F827" s="120" t="s">
        <v>2574</v>
      </c>
      <c r="G827" s="1"/>
      <c r="H827" s="1" t="s">
        <v>467</v>
      </c>
      <c r="I827" s="1" t="s">
        <v>2575</v>
      </c>
      <c r="J827" s="80"/>
      <c r="K827" s="80"/>
      <c r="L827" s="80"/>
      <c r="M827" s="80"/>
      <c r="N827" s="80"/>
      <c r="O827" s="80"/>
      <c r="P827" s="80"/>
      <c r="Q827" s="80"/>
    </row>
    <row r="828" spans="1:17" customFormat="1">
      <c r="B828" t="s">
        <v>240</v>
      </c>
      <c r="C828" t="s">
        <v>2576</v>
      </c>
      <c r="D828" s="5">
        <v>46046</v>
      </c>
      <c r="E828" s="5">
        <v>46046</v>
      </c>
      <c r="F828" s="120" t="s">
        <v>2577</v>
      </c>
      <c r="G828" s="1"/>
      <c r="H828" s="1" t="s">
        <v>250</v>
      </c>
      <c r="I828" s="1" t="s">
        <v>2578</v>
      </c>
      <c r="J828" s="80"/>
      <c r="K828" s="80"/>
      <c r="L828" s="80"/>
      <c r="M828" s="80"/>
      <c r="N828" s="80"/>
      <c r="O828" s="80"/>
      <c r="P828" s="80"/>
      <c r="Q828" s="80"/>
    </row>
    <row r="829" spans="1:17" customFormat="1">
      <c r="B829" t="s">
        <v>240</v>
      </c>
      <c r="C829" t="s">
        <v>2579</v>
      </c>
      <c r="D829" s="5">
        <v>46046</v>
      </c>
      <c r="E829" s="5">
        <v>46046</v>
      </c>
      <c r="F829" s="120" t="s">
        <v>2580</v>
      </c>
      <c r="G829" s="1"/>
      <c r="H829" s="1" t="s">
        <v>2581</v>
      </c>
      <c r="I829" s="1" t="s">
        <v>2582</v>
      </c>
      <c r="J829" s="80"/>
      <c r="K829" s="80"/>
      <c r="L829" s="80"/>
      <c r="M829" s="80"/>
      <c r="N829" s="80"/>
      <c r="O829" s="80"/>
      <c r="P829" s="80"/>
      <c r="Q829" s="80"/>
    </row>
    <row r="830" spans="1:17" customFormat="1">
      <c r="B830" t="s">
        <v>240</v>
      </c>
      <c r="C830" t="s">
        <v>2583</v>
      </c>
      <c r="D830" s="5">
        <v>46046</v>
      </c>
      <c r="E830" s="5">
        <v>46046</v>
      </c>
      <c r="F830" s="120" t="s">
        <v>2584</v>
      </c>
      <c r="G830" s="1"/>
      <c r="H830" s="1" t="s">
        <v>261</v>
      </c>
      <c r="I830" s="1" t="s">
        <v>2585</v>
      </c>
      <c r="J830" s="80"/>
      <c r="K830" s="80"/>
      <c r="L830" s="80"/>
      <c r="M830" s="80"/>
      <c r="N830" s="80"/>
      <c r="O830" s="80"/>
      <c r="P830" s="80"/>
      <c r="Q830" s="80"/>
    </row>
    <row r="831" spans="1:17" customFormat="1">
      <c r="B831" t="s">
        <v>240</v>
      </c>
      <c r="C831" t="s">
        <v>2583</v>
      </c>
      <c r="D831" s="5">
        <v>46046</v>
      </c>
      <c r="E831" s="5">
        <v>46046</v>
      </c>
      <c r="F831" s="120" t="s">
        <v>2586</v>
      </c>
      <c r="G831" s="1"/>
      <c r="H831" s="1" t="s">
        <v>264</v>
      </c>
      <c r="I831" s="1" t="s">
        <v>2587</v>
      </c>
      <c r="J831" s="80"/>
      <c r="K831" s="80"/>
      <c r="L831" s="80"/>
      <c r="M831" s="80"/>
      <c r="N831" s="80"/>
      <c r="O831" s="80"/>
      <c r="P831" s="80"/>
      <c r="Q831" s="80"/>
    </row>
    <row r="832" spans="1:17" customFormat="1">
      <c r="B832" t="s">
        <v>240</v>
      </c>
      <c r="C832" t="s">
        <v>2588</v>
      </c>
      <c r="D832" s="5">
        <v>46046</v>
      </c>
      <c r="E832" s="5">
        <v>46046</v>
      </c>
      <c r="F832" s="120" t="s">
        <v>2589</v>
      </c>
      <c r="G832" s="1"/>
      <c r="H832" s="1" t="s">
        <v>254</v>
      </c>
      <c r="I832" s="1" t="s">
        <v>2590</v>
      </c>
      <c r="J832" s="80"/>
      <c r="K832" s="80"/>
      <c r="L832" s="80"/>
      <c r="M832" s="80"/>
      <c r="N832" s="80"/>
      <c r="O832" s="80"/>
      <c r="P832" s="80"/>
      <c r="Q832" s="80"/>
    </row>
    <row r="833" spans="1:17" customFormat="1">
      <c r="B833" t="s">
        <v>240</v>
      </c>
      <c r="C833" t="s">
        <v>2588</v>
      </c>
      <c r="D833" s="5">
        <v>46046</v>
      </c>
      <c r="E833" s="5">
        <v>46046</v>
      </c>
      <c r="F833" s="120" t="s">
        <v>2591</v>
      </c>
      <c r="G833" s="1"/>
      <c r="H833" s="1" t="s">
        <v>295</v>
      </c>
      <c r="I833" s="1" t="s">
        <v>2592</v>
      </c>
      <c r="J833" s="80"/>
      <c r="K833" s="80"/>
      <c r="L833" s="80"/>
      <c r="M833" s="80"/>
      <c r="N833" s="80"/>
      <c r="O833" s="80"/>
      <c r="P833" s="80"/>
      <c r="Q833" s="80"/>
    </row>
    <row r="834" spans="1:17" customFormat="1" ht="28.5">
      <c r="A834" t="s">
        <v>239</v>
      </c>
      <c r="B834" t="s">
        <v>240</v>
      </c>
      <c r="C834" t="s">
        <v>2593</v>
      </c>
      <c r="D834" s="5">
        <v>46048</v>
      </c>
      <c r="E834" s="5">
        <v>46048</v>
      </c>
      <c r="F834" s="120" t="s">
        <v>2594</v>
      </c>
      <c r="G834" s="1"/>
      <c r="H834" s="1" t="s">
        <v>295</v>
      </c>
      <c r="I834" s="1" t="s">
        <v>2595</v>
      </c>
      <c r="J834" s="80"/>
      <c r="K834" s="80"/>
      <c r="L834" s="80"/>
      <c r="M834" s="80"/>
      <c r="N834" s="80"/>
      <c r="O834" s="80"/>
      <c r="P834" s="80"/>
      <c r="Q834" s="80"/>
    </row>
    <row r="835" spans="1:17" customFormat="1" ht="28.5">
      <c r="A835" t="s">
        <v>239</v>
      </c>
      <c r="B835" t="s">
        <v>240</v>
      </c>
      <c r="C835" t="s">
        <v>2596</v>
      </c>
      <c r="D835" s="5">
        <v>46048</v>
      </c>
      <c r="E835" s="5">
        <v>46048</v>
      </c>
      <c r="F835" s="120" t="s">
        <v>2597</v>
      </c>
      <c r="G835" s="1"/>
      <c r="H835" s="1" t="s">
        <v>254</v>
      </c>
      <c r="I835" s="1" t="s">
        <v>2598</v>
      </c>
      <c r="J835" s="80"/>
      <c r="K835" s="80"/>
      <c r="L835" s="80"/>
      <c r="M835" s="80"/>
      <c r="N835" s="80"/>
      <c r="O835" s="80"/>
      <c r="P835" s="80"/>
      <c r="Q835" s="80"/>
    </row>
    <row r="836" spans="1:17" customFormat="1" ht="28.5">
      <c r="A836" t="s">
        <v>239</v>
      </c>
      <c r="B836" t="s">
        <v>240</v>
      </c>
      <c r="C836" t="s">
        <v>2596</v>
      </c>
      <c r="D836" s="5">
        <v>46048</v>
      </c>
      <c r="E836" s="5">
        <v>46048</v>
      </c>
      <c r="F836" s="120" t="s">
        <v>2599</v>
      </c>
      <c r="G836" s="1"/>
      <c r="H836" s="1" t="s">
        <v>588</v>
      </c>
      <c r="I836" s="1" t="s">
        <v>2600</v>
      </c>
      <c r="J836" s="80"/>
      <c r="K836" s="80"/>
      <c r="L836" s="80"/>
      <c r="M836" s="80"/>
      <c r="N836" s="80"/>
      <c r="O836" s="80"/>
      <c r="P836" s="80"/>
      <c r="Q836" s="80"/>
    </row>
    <row r="837" spans="1:17" customFormat="1" ht="28.5">
      <c r="A837" t="s">
        <v>239</v>
      </c>
      <c r="B837" t="s">
        <v>240</v>
      </c>
      <c r="C837" t="s">
        <v>2601</v>
      </c>
      <c r="D837" s="5">
        <v>46050</v>
      </c>
      <c r="E837" s="5">
        <v>46050</v>
      </c>
      <c r="F837" s="120" t="s">
        <v>2602</v>
      </c>
      <c r="G837" s="1"/>
      <c r="H837" s="1" t="s">
        <v>2603</v>
      </c>
      <c r="I837" s="1" t="s">
        <v>2604</v>
      </c>
      <c r="J837" s="80"/>
      <c r="K837" s="80"/>
      <c r="L837" s="80"/>
      <c r="M837" s="80"/>
      <c r="N837" s="80"/>
      <c r="O837" s="80"/>
      <c r="P837" s="80"/>
      <c r="Q837" s="80"/>
    </row>
    <row r="838" spans="1:17" customFormat="1" ht="42.75">
      <c r="A838" t="s">
        <v>239</v>
      </c>
      <c r="B838" t="s">
        <v>240</v>
      </c>
      <c r="C838" t="s">
        <v>2605</v>
      </c>
      <c r="D838" s="5">
        <v>46050</v>
      </c>
      <c r="E838" s="5">
        <v>46050</v>
      </c>
      <c r="F838" s="120" t="s">
        <v>2606</v>
      </c>
      <c r="G838" s="1"/>
      <c r="H838" s="1" t="s">
        <v>254</v>
      </c>
      <c r="I838" s="1" t="s">
        <v>2607</v>
      </c>
      <c r="J838" s="80"/>
      <c r="K838" s="80"/>
      <c r="L838" s="80"/>
      <c r="M838" s="80"/>
      <c r="N838" s="80"/>
      <c r="O838" s="80"/>
      <c r="P838" s="80"/>
      <c r="Q838" s="80"/>
    </row>
    <row r="839" spans="1:17" customFormat="1" ht="42.75">
      <c r="A839" t="s">
        <v>239</v>
      </c>
      <c r="B839" t="s">
        <v>240</v>
      </c>
      <c r="C839" t="s">
        <v>2605</v>
      </c>
      <c r="D839" s="5">
        <v>46050</v>
      </c>
      <c r="E839" s="5">
        <v>46050</v>
      </c>
      <c r="F839" s="120" t="s">
        <v>2608</v>
      </c>
      <c r="G839" s="1"/>
      <c r="H839" s="1" t="s">
        <v>295</v>
      </c>
      <c r="I839" s="1" t="s">
        <v>2609</v>
      </c>
      <c r="J839" s="80"/>
      <c r="K839" s="80"/>
      <c r="L839" s="80"/>
      <c r="M839" s="80"/>
      <c r="N839" s="80"/>
      <c r="O839" s="80"/>
      <c r="P839" s="80"/>
      <c r="Q839" s="80"/>
    </row>
    <row r="840" spans="1:17" customFormat="1" ht="28.5">
      <c r="A840" t="s">
        <v>239</v>
      </c>
      <c r="B840" t="s">
        <v>240</v>
      </c>
      <c r="C840" t="s">
        <v>2610</v>
      </c>
      <c r="D840" s="5">
        <v>46050</v>
      </c>
      <c r="E840" s="5">
        <v>46050</v>
      </c>
      <c r="F840" s="120" t="s">
        <v>2611</v>
      </c>
      <c r="G840" s="1"/>
      <c r="H840" s="1" t="s">
        <v>261</v>
      </c>
      <c r="I840" s="1" t="s">
        <v>2612</v>
      </c>
      <c r="J840" s="80"/>
      <c r="K840" s="80"/>
      <c r="L840" s="80"/>
      <c r="M840" s="80"/>
      <c r="N840" s="80"/>
      <c r="O840" s="80"/>
      <c r="P840" s="80"/>
      <c r="Q840" s="80"/>
    </row>
    <row r="841" spans="1:17" customFormat="1" ht="42.75">
      <c r="A841" t="s">
        <v>239</v>
      </c>
      <c r="B841" t="s">
        <v>240</v>
      </c>
      <c r="C841" t="s">
        <v>2610</v>
      </c>
      <c r="D841" s="5">
        <v>46050</v>
      </c>
      <c r="E841" s="5">
        <v>46050</v>
      </c>
      <c r="F841" s="120" t="s">
        <v>2613</v>
      </c>
      <c r="G841" s="1"/>
      <c r="H841" s="1" t="s">
        <v>264</v>
      </c>
      <c r="I841" s="1" t="s">
        <v>2614</v>
      </c>
      <c r="J841" s="80"/>
      <c r="K841" s="80"/>
      <c r="L841" s="80"/>
      <c r="M841" s="80"/>
      <c r="N841" s="80"/>
      <c r="O841" s="80"/>
      <c r="P841" s="80"/>
      <c r="Q841" s="80"/>
    </row>
    <row r="842" spans="1:17" customFormat="1" ht="42.75">
      <c r="A842" t="s">
        <v>239</v>
      </c>
      <c r="B842" t="s">
        <v>240</v>
      </c>
      <c r="C842" t="s">
        <v>2615</v>
      </c>
      <c r="D842" s="5">
        <v>46051</v>
      </c>
      <c r="E842" s="5">
        <v>46051</v>
      </c>
      <c r="F842" s="120" t="s">
        <v>2616</v>
      </c>
      <c r="G842" s="1"/>
      <c r="H842" s="1" t="s">
        <v>261</v>
      </c>
      <c r="I842" s="1" t="s">
        <v>2617</v>
      </c>
      <c r="J842" s="80"/>
      <c r="K842" s="80"/>
      <c r="L842" s="80"/>
      <c r="M842" s="80"/>
      <c r="N842" s="80"/>
      <c r="O842" s="80"/>
      <c r="P842" s="80"/>
      <c r="Q842" s="80"/>
    </row>
    <row r="843" spans="1:17" customFormat="1" ht="42.75">
      <c r="A843" t="s">
        <v>239</v>
      </c>
      <c r="B843" t="s">
        <v>240</v>
      </c>
      <c r="C843" t="s">
        <v>2615</v>
      </c>
      <c r="D843" s="5">
        <v>46051</v>
      </c>
      <c r="E843" s="5">
        <v>46051</v>
      </c>
      <c r="F843" s="120" t="s">
        <v>2618</v>
      </c>
      <c r="G843" s="1"/>
      <c r="H843" s="1" t="s">
        <v>313</v>
      </c>
      <c r="I843" s="1" t="s">
        <v>2619</v>
      </c>
      <c r="J843" s="80"/>
      <c r="K843" s="80"/>
      <c r="L843" s="80"/>
      <c r="M843" s="80"/>
      <c r="N843" s="80"/>
      <c r="O843" s="80"/>
      <c r="P843" s="80"/>
      <c r="Q843" s="80"/>
    </row>
    <row r="844" spans="1:17" customFormat="1" ht="28.5">
      <c r="A844" t="s">
        <v>239</v>
      </c>
      <c r="B844" t="s">
        <v>240</v>
      </c>
      <c r="C844" t="s">
        <v>2620</v>
      </c>
      <c r="D844" s="5">
        <v>46051</v>
      </c>
      <c r="E844" s="5">
        <v>46051</v>
      </c>
      <c r="F844" s="120" t="s">
        <v>2621</v>
      </c>
      <c r="G844" s="1" t="s">
        <v>580</v>
      </c>
      <c r="H844" s="1"/>
      <c r="I844" s="1" t="s">
        <v>2622</v>
      </c>
      <c r="J844" s="80"/>
      <c r="K844" s="80"/>
      <c r="L844" s="80"/>
      <c r="M844" s="80"/>
      <c r="N844" s="80"/>
      <c r="O844" s="80"/>
      <c r="P844" s="80"/>
      <c r="Q844" s="80"/>
    </row>
    <row r="845" spans="1:17" customFormat="1" ht="28.5">
      <c r="A845" t="s">
        <v>239</v>
      </c>
      <c r="B845" t="s">
        <v>240</v>
      </c>
      <c r="C845" t="s">
        <v>2623</v>
      </c>
      <c r="D845" s="5">
        <v>46051</v>
      </c>
      <c r="E845" s="5">
        <v>46051</v>
      </c>
      <c r="F845" s="120" t="s">
        <v>2624</v>
      </c>
      <c r="G845" s="1" t="s">
        <v>1557</v>
      </c>
      <c r="H845" s="1"/>
      <c r="I845" s="1" t="s">
        <v>2625</v>
      </c>
      <c r="J845" s="80"/>
      <c r="K845" s="80"/>
      <c r="L845" s="80"/>
      <c r="M845" s="80"/>
      <c r="N845" s="80"/>
      <c r="O845" s="80"/>
      <c r="P845" s="80"/>
      <c r="Q845" s="80"/>
    </row>
    <row r="846" spans="1:17" customFormat="1" ht="42.75">
      <c r="A846" t="s">
        <v>239</v>
      </c>
      <c r="B846" t="s">
        <v>240</v>
      </c>
      <c r="C846" t="s">
        <v>2626</v>
      </c>
      <c r="D846" s="5">
        <v>46051</v>
      </c>
      <c r="E846" s="5">
        <v>46051</v>
      </c>
      <c r="F846" s="120" t="s">
        <v>2627</v>
      </c>
      <c r="G846" s="1"/>
      <c r="H846" s="1" t="s">
        <v>254</v>
      </c>
      <c r="I846" s="1" t="s">
        <v>2628</v>
      </c>
      <c r="J846" s="80"/>
      <c r="K846" s="80"/>
      <c r="L846" s="80"/>
      <c r="M846" s="80"/>
      <c r="N846" s="80"/>
      <c r="O846" s="80"/>
      <c r="P846" s="80"/>
      <c r="Q846" s="80"/>
    </row>
    <row r="847" spans="1:17" customFormat="1" ht="42.75">
      <c r="A847" t="s">
        <v>239</v>
      </c>
      <c r="B847" t="s">
        <v>240</v>
      </c>
      <c r="C847" t="s">
        <v>2626</v>
      </c>
      <c r="D847" s="5">
        <v>46051</v>
      </c>
      <c r="E847" s="5">
        <v>46051</v>
      </c>
      <c r="F847" s="120" t="s">
        <v>2629</v>
      </c>
      <c r="G847" s="1"/>
      <c r="H847" s="1" t="s">
        <v>295</v>
      </c>
      <c r="I847" s="1" t="s">
        <v>2630</v>
      </c>
      <c r="J847" s="80"/>
      <c r="K847" s="80"/>
      <c r="L847" s="80"/>
      <c r="M847" s="80"/>
      <c r="N847" s="80"/>
      <c r="O847" s="80"/>
      <c r="P847" s="80"/>
      <c r="Q847" s="80"/>
    </row>
    <row r="848" spans="1:17" customFormat="1" ht="28.5">
      <c r="A848" t="s">
        <v>239</v>
      </c>
      <c r="B848" t="s">
        <v>240</v>
      </c>
      <c r="C848" t="s">
        <v>2631</v>
      </c>
      <c r="D848" s="5">
        <v>46051</v>
      </c>
      <c r="E848" s="5">
        <v>46051</v>
      </c>
      <c r="F848" s="120" t="s">
        <v>2632</v>
      </c>
      <c r="G848" s="1"/>
      <c r="H848" s="1" t="s">
        <v>243</v>
      </c>
      <c r="I848" s="1" t="s">
        <v>2633</v>
      </c>
      <c r="J848" s="80"/>
      <c r="K848" s="80"/>
      <c r="L848" s="80"/>
      <c r="M848" s="80"/>
      <c r="N848" s="80"/>
      <c r="O848" s="80"/>
      <c r="P848" s="80"/>
      <c r="Q848" s="80"/>
    </row>
    <row r="849" spans="1:17" customFormat="1" ht="42.75">
      <c r="A849" t="s">
        <v>239</v>
      </c>
      <c r="B849" t="s">
        <v>240</v>
      </c>
      <c r="C849" t="s">
        <v>2631</v>
      </c>
      <c r="D849" s="5">
        <v>46051</v>
      </c>
      <c r="E849" s="5">
        <v>46051</v>
      </c>
      <c r="F849" s="120" t="s">
        <v>2634</v>
      </c>
      <c r="G849" s="1"/>
      <c r="H849" s="1" t="s">
        <v>580</v>
      </c>
      <c r="I849" s="1" t="s">
        <v>2635</v>
      </c>
      <c r="J849" s="80"/>
      <c r="K849" s="80"/>
      <c r="L849" s="80"/>
      <c r="M849" s="80"/>
      <c r="N849" s="80"/>
      <c r="O849" s="80"/>
      <c r="P849" s="80"/>
      <c r="Q849" s="80"/>
    </row>
    <row r="850" spans="1:17" customFormat="1" ht="42.75">
      <c r="A850" t="s">
        <v>239</v>
      </c>
      <c r="B850" t="s">
        <v>240</v>
      </c>
      <c r="C850" t="s">
        <v>2636</v>
      </c>
      <c r="D850" s="5">
        <v>46052</v>
      </c>
      <c r="E850" s="5">
        <v>46052</v>
      </c>
      <c r="F850" s="120" t="s">
        <v>2637</v>
      </c>
      <c r="G850" s="1"/>
      <c r="H850" s="1" t="s">
        <v>433</v>
      </c>
      <c r="I850" s="1" t="s">
        <v>2638</v>
      </c>
      <c r="J850" s="80"/>
      <c r="K850" s="80"/>
      <c r="L850" s="80"/>
      <c r="M850" s="80"/>
      <c r="N850" s="80"/>
      <c r="O850" s="80"/>
      <c r="P850" s="80"/>
      <c r="Q850" s="80"/>
    </row>
    <row r="851" spans="1:17" customFormat="1" ht="42.75">
      <c r="A851" t="s">
        <v>239</v>
      </c>
      <c r="B851" t="s">
        <v>240</v>
      </c>
      <c r="C851" t="s">
        <v>2639</v>
      </c>
      <c r="D851" s="5">
        <v>46052</v>
      </c>
      <c r="E851" s="5">
        <v>46052</v>
      </c>
      <c r="F851" s="120" t="s">
        <v>2640</v>
      </c>
      <c r="G851" s="1"/>
      <c r="H851" s="1" t="s">
        <v>295</v>
      </c>
      <c r="I851" s="1" t="s">
        <v>2641</v>
      </c>
      <c r="J851" s="80"/>
      <c r="K851" s="80"/>
      <c r="L851" s="80"/>
      <c r="M851" s="80"/>
      <c r="N851" s="80"/>
      <c r="O851" s="80"/>
      <c r="P851" s="80"/>
      <c r="Q851" s="80"/>
    </row>
    <row r="852" spans="1:17" customFormat="1" ht="28.5">
      <c r="A852" t="s">
        <v>239</v>
      </c>
      <c r="B852" t="s">
        <v>240</v>
      </c>
      <c r="C852" t="s">
        <v>2642</v>
      </c>
      <c r="D852" s="5">
        <v>46052</v>
      </c>
      <c r="E852" s="5">
        <v>46052</v>
      </c>
      <c r="F852" s="120" t="s">
        <v>2643</v>
      </c>
      <c r="G852" s="1"/>
      <c r="H852" s="1" t="s">
        <v>254</v>
      </c>
      <c r="I852" s="1" t="s">
        <v>2644</v>
      </c>
      <c r="J852" s="80"/>
      <c r="K852" s="80"/>
      <c r="L852" s="80"/>
      <c r="M852" s="80"/>
      <c r="N852" s="80"/>
      <c r="O852" s="80"/>
      <c r="P852" s="80"/>
      <c r="Q852" s="80"/>
    </row>
    <row r="853" spans="1:17" customFormat="1" ht="42.75">
      <c r="A853" t="s">
        <v>239</v>
      </c>
      <c r="B853" t="s">
        <v>240</v>
      </c>
      <c r="C853" t="s">
        <v>2642</v>
      </c>
      <c r="D853" s="5">
        <v>46052</v>
      </c>
      <c r="E853" s="5">
        <v>46052</v>
      </c>
      <c r="F853" s="120" t="s">
        <v>2645</v>
      </c>
      <c r="G853" s="1"/>
      <c r="H853" s="1" t="s">
        <v>1118</v>
      </c>
      <c r="I853" s="1" t="s">
        <v>2646</v>
      </c>
      <c r="J853" s="80"/>
      <c r="K853" s="80"/>
      <c r="L853" s="80"/>
      <c r="M853" s="80"/>
      <c r="N853" s="80"/>
      <c r="O853" s="80"/>
      <c r="P853" s="80"/>
      <c r="Q853" s="80"/>
    </row>
    <row r="854" spans="1:17" customFormat="1" ht="42.75">
      <c r="A854" t="s">
        <v>239</v>
      </c>
      <c r="B854" t="s">
        <v>240</v>
      </c>
      <c r="C854" t="s">
        <v>2647</v>
      </c>
      <c r="D854" s="5">
        <v>46052</v>
      </c>
      <c r="E854" s="5">
        <v>46052</v>
      </c>
      <c r="F854" s="120" t="s">
        <v>2648</v>
      </c>
      <c r="G854" s="1"/>
      <c r="H854" s="1" t="s">
        <v>261</v>
      </c>
      <c r="I854" s="1" t="s">
        <v>2649</v>
      </c>
      <c r="J854" s="80"/>
      <c r="K854" s="80"/>
      <c r="L854" s="80"/>
      <c r="M854" s="80"/>
      <c r="N854" s="80"/>
      <c r="O854" s="80"/>
      <c r="P854" s="80"/>
      <c r="Q854" s="80"/>
    </row>
    <row r="855" spans="1:17" customFormat="1" ht="42.75">
      <c r="A855" t="s">
        <v>239</v>
      </c>
      <c r="B855" t="s">
        <v>240</v>
      </c>
      <c r="C855" t="s">
        <v>2647</v>
      </c>
      <c r="D855" s="5">
        <v>46052</v>
      </c>
      <c r="E855" s="5">
        <v>46052</v>
      </c>
      <c r="F855" s="120" t="s">
        <v>2650</v>
      </c>
      <c r="G855" s="1"/>
      <c r="H855" s="1" t="s">
        <v>2651</v>
      </c>
      <c r="I855" s="1" t="s">
        <v>2652</v>
      </c>
      <c r="J855" s="80"/>
      <c r="K855" s="80"/>
      <c r="L855" s="80"/>
      <c r="M855" s="80"/>
      <c r="N855" s="80"/>
      <c r="O855" s="80"/>
      <c r="P855" s="80"/>
      <c r="Q855" s="80"/>
    </row>
    <row r="856" spans="1:17" customFormat="1">
      <c r="A856" t="s">
        <v>540</v>
      </c>
      <c r="B856" t="s">
        <v>240</v>
      </c>
      <c r="C856" t="s">
        <v>2653</v>
      </c>
      <c r="D856" s="5">
        <v>46052</v>
      </c>
      <c r="E856" s="5">
        <v>46052</v>
      </c>
      <c r="F856" s="120" t="s">
        <v>2654</v>
      </c>
      <c r="G856" s="1" t="s">
        <v>2655</v>
      </c>
      <c r="H856" s="1"/>
      <c r="I856" s="1" t="s">
        <v>2656</v>
      </c>
      <c r="J856" s="80"/>
      <c r="K856" s="80"/>
      <c r="L856" s="80"/>
      <c r="M856" s="80"/>
      <c r="N856" s="80"/>
      <c r="O856" s="80"/>
      <c r="P856" s="80"/>
      <c r="Q856" s="80"/>
    </row>
    <row r="857" spans="1:17" customFormat="1" ht="28.5">
      <c r="A857" t="s">
        <v>239</v>
      </c>
      <c r="B857" t="s">
        <v>240</v>
      </c>
      <c r="C857" t="s">
        <v>2657</v>
      </c>
      <c r="D857" s="5">
        <v>46052</v>
      </c>
      <c r="E857" s="5">
        <v>46052</v>
      </c>
      <c r="F857" s="120" t="s">
        <v>2658</v>
      </c>
      <c r="G857" s="1"/>
      <c r="H857" s="1" t="s">
        <v>261</v>
      </c>
      <c r="I857" s="1" t="s">
        <v>2659</v>
      </c>
      <c r="J857" s="80"/>
      <c r="K857" s="80"/>
      <c r="L857" s="80"/>
      <c r="M857" s="80"/>
      <c r="N857" s="80"/>
      <c r="O857" s="80"/>
      <c r="P857" s="80"/>
      <c r="Q857" s="80"/>
    </row>
    <row r="858" spans="1:17" customFormat="1" ht="28.5">
      <c r="A858" t="s">
        <v>239</v>
      </c>
      <c r="B858" t="s">
        <v>240</v>
      </c>
      <c r="C858" t="s">
        <v>2657</v>
      </c>
      <c r="D858" s="5">
        <v>46052</v>
      </c>
      <c r="E858" s="5">
        <v>46052</v>
      </c>
      <c r="F858" s="120" t="s">
        <v>2660</v>
      </c>
      <c r="G858" s="1"/>
      <c r="H858" s="1" t="s">
        <v>1364</v>
      </c>
      <c r="I858" s="1" t="s">
        <v>2661</v>
      </c>
      <c r="J858" s="80"/>
      <c r="K858" s="80"/>
      <c r="L858" s="80"/>
      <c r="M858" s="80"/>
      <c r="N858" s="80"/>
      <c r="O858" s="80"/>
      <c r="P858" s="80"/>
      <c r="Q858" s="80"/>
    </row>
    <row r="859" spans="1:17" customFormat="1">
      <c r="B859" t="s">
        <v>240</v>
      </c>
      <c r="C859" t="s">
        <v>2662</v>
      </c>
      <c r="D859" s="5">
        <v>46053</v>
      </c>
      <c r="E859" s="5">
        <v>46053</v>
      </c>
      <c r="F859" s="120" t="s">
        <v>1432</v>
      </c>
      <c r="G859" s="1"/>
      <c r="H859" s="1" t="s">
        <v>2663</v>
      </c>
      <c r="I859" s="1" t="s">
        <v>2664</v>
      </c>
      <c r="J859" s="80"/>
      <c r="K859" s="80"/>
      <c r="L859" s="80"/>
      <c r="M859" s="80"/>
      <c r="N859" s="80"/>
      <c r="O859" s="80"/>
      <c r="P859" s="80"/>
      <c r="Q859" s="80"/>
    </row>
    <row r="860" spans="1:17" customFormat="1">
      <c r="B860" t="s">
        <v>240</v>
      </c>
      <c r="C860" t="s">
        <v>2665</v>
      </c>
      <c r="D860" s="5">
        <v>46053</v>
      </c>
      <c r="E860" s="5">
        <v>46053</v>
      </c>
      <c r="F860" s="120" t="s">
        <v>2666</v>
      </c>
      <c r="G860" s="1"/>
      <c r="H860" s="1" t="s">
        <v>261</v>
      </c>
      <c r="I860" s="1" t="s">
        <v>2667</v>
      </c>
      <c r="J860" s="80"/>
      <c r="K860" s="80"/>
      <c r="L860" s="80"/>
      <c r="M860" s="80"/>
      <c r="N860" s="80"/>
      <c r="O860" s="80"/>
      <c r="P860" s="80"/>
      <c r="Q860" s="80"/>
    </row>
    <row r="861" spans="1:17" customFormat="1">
      <c r="B861" t="s">
        <v>240</v>
      </c>
      <c r="C861" t="s">
        <v>2665</v>
      </c>
      <c r="D861" s="5">
        <v>46053</v>
      </c>
      <c r="E861" s="5">
        <v>46053</v>
      </c>
      <c r="F861" s="120" t="s">
        <v>2668</v>
      </c>
      <c r="G861" s="1"/>
      <c r="H861" s="1" t="s">
        <v>264</v>
      </c>
      <c r="I861" s="1" t="s">
        <v>2669</v>
      </c>
      <c r="J861" s="80"/>
      <c r="K861" s="80"/>
      <c r="L861" s="80"/>
      <c r="M861" s="80"/>
      <c r="N861" s="80"/>
      <c r="O861" s="80"/>
      <c r="P861" s="80"/>
      <c r="Q861" s="80"/>
    </row>
    <row r="862" spans="1:17" customFormat="1">
      <c r="B862" t="s">
        <v>240</v>
      </c>
      <c r="C862" t="s">
        <v>2670</v>
      </c>
      <c r="D862" s="5">
        <v>46053</v>
      </c>
      <c r="E862" s="5">
        <v>46053</v>
      </c>
      <c r="F862" s="120" t="s">
        <v>2671</v>
      </c>
      <c r="G862" s="1"/>
      <c r="H862" s="1" t="s">
        <v>261</v>
      </c>
      <c r="I862" s="1" t="s">
        <v>2672</v>
      </c>
      <c r="J862" s="80"/>
      <c r="K862" s="80"/>
      <c r="L862" s="80"/>
      <c r="M862" s="80"/>
      <c r="N862" s="80"/>
      <c r="O862" s="80"/>
      <c r="P862" s="80"/>
      <c r="Q862" s="80"/>
    </row>
    <row r="863" spans="1:17" customFormat="1">
      <c r="B863" t="s">
        <v>240</v>
      </c>
      <c r="C863" t="s">
        <v>2670</v>
      </c>
      <c r="D863" s="5">
        <v>46053</v>
      </c>
      <c r="E863" s="5">
        <v>46053</v>
      </c>
      <c r="F863" s="120" t="s">
        <v>2673</v>
      </c>
      <c r="G863" s="1"/>
      <c r="H863" s="1" t="s">
        <v>264</v>
      </c>
      <c r="I863" s="1" t="s">
        <v>2674</v>
      </c>
      <c r="J863" s="80"/>
      <c r="K863" s="80"/>
      <c r="L863" s="80"/>
      <c r="M863" s="80"/>
      <c r="N863" s="80"/>
      <c r="O863" s="80"/>
      <c r="P863" s="80"/>
      <c r="Q863" s="80"/>
    </row>
    <row r="864" spans="1:17" customFormat="1">
      <c r="B864" t="s">
        <v>240</v>
      </c>
      <c r="C864" t="s">
        <v>2675</v>
      </c>
      <c r="D864" s="5">
        <v>46053</v>
      </c>
      <c r="E864" s="5">
        <v>46053</v>
      </c>
      <c r="F864" s="120" t="s">
        <v>2676</v>
      </c>
      <c r="G864" s="1"/>
      <c r="H864" s="1" t="s">
        <v>261</v>
      </c>
      <c r="I864" s="1" t="s">
        <v>2677</v>
      </c>
      <c r="J864" s="80"/>
      <c r="K864" s="80"/>
      <c r="L864" s="80"/>
      <c r="M864" s="80"/>
      <c r="N864" s="80"/>
      <c r="O864" s="80"/>
      <c r="P864" s="80"/>
      <c r="Q864" s="80"/>
    </row>
    <row r="865" spans="1:17" customFormat="1">
      <c r="B865" t="s">
        <v>240</v>
      </c>
      <c r="C865" t="s">
        <v>2675</v>
      </c>
      <c r="D865" s="5">
        <v>46053</v>
      </c>
      <c r="E865" s="5">
        <v>46053</v>
      </c>
      <c r="F865" s="120" t="s">
        <v>2678</v>
      </c>
      <c r="G865" s="1"/>
      <c r="H865" s="1" t="s">
        <v>2679</v>
      </c>
      <c r="I865" s="1" t="s">
        <v>2680</v>
      </c>
      <c r="J865" s="80"/>
      <c r="K865" s="80"/>
      <c r="L865" s="80"/>
      <c r="M865" s="80"/>
      <c r="N865" s="80"/>
      <c r="O865" s="80"/>
      <c r="P865" s="80"/>
      <c r="Q865" s="80"/>
    </row>
    <row r="866" spans="1:17" customFormat="1">
      <c r="B866" t="s">
        <v>240</v>
      </c>
      <c r="C866" t="s">
        <v>2681</v>
      </c>
      <c r="D866" s="5">
        <v>46053</v>
      </c>
      <c r="E866" s="5">
        <v>46053</v>
      </c>
      <c r="F866" s="120" t="s">
        <v>2682</v>
      </c>
      <c r="G866" s="1"/>
      <c r="H866" s="1" t="s">
        <v>254</v>
      </c>
      <c r="I866" s="1" t="s">
        <v>2683</v>
      </c>
      <c r="J866" s="80"/>
      <c r="K866" s="80"/>
      <c r="L866" s="80"/>
      <c r="M866" s="80"/>
      <c r="N866" s="80"/>
      <c r="O866" s="80"/>
      <c r="P866" s="80"/>
      <c r="Q866" s="80"/>
    </row>
    <row r="867" spans="1:17" customFormat="1">
      <c r="B867" t="s">
        <v>240</v>
      </c>
      <c r="C867" t="s">
        <v>2681</v>
      </c>
      <c r="D867" s="5">
        <v>46053</v>
      </c>
      <c r="E867" s="5">
        <v>46053</v>
      </c>
      <c r="F867" s="120" t="s">
        <v>2684</v>
      </c>
      <c r="G867" s="1"/>
      <c r="H867" s="1" t="s">
        <v>533</v>
      </c>
      <c r="I867" s="1" t="s">
        <v>2685</v>
      </c>
      <c r="J867" s="80"/>
      <c r="K867" s="80"/>
      <c r="L867" s="80"/>
      <c r="M867" s="80"/>
      <c r="N867" s="80"/>
      <c r="O867" s="80"/>
      <c r="P867" s="80"/>
      <c r="Q867" s="80"/>
    </row>
    <row r="868" spans="1:17" customFormat="1">
      <c r="B868" t="s">
        <v>240</v>
      </c>
      <c r="C868" t="s">
        <v>2686</v>
      </c>
      <c r="D868" s="5">
        <v>46053</v>
      </c>
      <c r="E868" s="5">
        <v>46053</v>
      </c>
      <c r="F868" s="120" t="s">
        <v>2687</v>
      </c>
      <c r="G868" s="1"/>
      <c r="H868" s="1" t="s">
        <v>261</v>
      </c>
      <c r="I868" s="1" t="s">
        <v>2688</v>
      </c>
      <c r="J868" s="80"/>
      <c r="K868" s="80"/>
      <c r="L868" s="80"/>
      <c r="M868" s="80"/>
      <c r="N868" s="80"/>
      <c r="O868" s="80"/>
      <c r="P868" s="80"/>
      <c r="Q868" s="80"/>
    </row>
    <row r="869" spans="1:17" customFormat="1">
      <c r="B869" t="s">
        <v>240</v>
      </c>
      <c r="C869" t="s">
        <v>2686</v>
      </c>
      <c r="D869" s="5">
        <v>46053</v>
      </c>
      <c r="E869" s="5">
        <v>46053</v>
      </c>
      <c r="F869" s="120" t="s">
        <v>2689</v>
      </c>
      <c r="G869" s="1"/>
      <c r="H869" s="1" t="s">
        <v>1103</v>
      </c>
      <c r="I869" s="1" t="s">
        <v>2690</v>
      </c>
      <c r="J869" s="80"/>
      <c r="K869" s="80"/>
      <c r="L869" s="80"/>
      <c r="M869" s="80"/>
      <c r="N869" s="80"/>
      <c r="O869" s="80"/>
      <c r="P869" s="80"/>
      <c r="Q869" s="80"/>
    </row>
    <row r="870" spans="1:17" customFormat="1">
      <c r="B870" t="s">
        <v>240</v>
      </c>
      <c r="C870" t="s">
        <v>2691</v>
      </c>
      <c r="D870" s="5">
        <v>46053</v>
      </c>
      <c r="E870" s="5">
        <v>46053</v>
      </c>
      <c r="F870" s="120" t="s">
        <v>2692</v>
      </c>
      <c r="G870" s="1"/>
      <c r="H870" s="1" t="s">
        <v>630</v>
      </c>
      <c r="I870" s="1" t="s">
        <v>2693</v>
      </c>
      <c r="J870" s="80"/>
      <c r="K870" s="80"/>
      <c r="L870" s="80"/>
      <c r="M870" s="80"/>
      <c r="N870" s="80"/>
      <c r="O870" s="80"/>
      <c r="P870" s="80"/>
      <c r="Q870" s="80"/>
    </row>
    <row r="871" spans="1:17" customFormat="1">
      <c r="B871" t="s">
        <v>240</v>
      </c>
      <c r="C871" t="s">
        <v>2694</v>
      </c>
      <c r="D871" s="5">
        <v>46053</v>
      </c>
      <c r="E871" s="5">
        <v>46053</v>
      </c>
      <c r="F871" s="120" t="s">
        <v>2695</v>
      </c>
      <c r="G871" s="1"/>
      <c r="H871" s="1" t="s">
        <v>254</v>
      </c>
      <c r="I871" s="1" t="s">
        <v>2696</v>
      </c>
      <c r="J871" s="80"/>
      <c r="K871" s="80"/>
      <c r="L871" s="80"/>
      <c r="M871" s="80"/>
      <c r="N871" s="80"/>
      <c r="O871" s="80"/>
      <c r="P871" s="80"/>
      <c r="Q871" s="80"/>
    </row>
    <row r="872" spans="1:17" customFormat="1">
      <c r="B872" t="s">
        <v>240</v>
      </c>
      <c r="C872" t="s">
        <v>2694</v>
      </c>
      <c r="D872" s="5">
        <v>46053</v>
      </c>
      <c r="E872" s="5">
        <v>46053</v>
      </c>
      <c r="F872" s="120" t="s">
        <v>2697</v>
      </c>
      <c r="G872" s="1"/>
      <c r="H872" s="1" t="s">
        <v>295</v>
      </c>
      <c r="I872" s="1" t="s">
        <v>2698</v>
      </c>
      <c r="J872" s="80"/>
      <c r="K872" s="80"/>
      <c r="L872" s="80"/>
      <c r="M872" s="80"/>
      <c r="N872" s="80"/>
      <c r="O872" s="80"/>
      <c r="P872" s="80"/>
      <c r="Q872" s="80"/>
    </row>
    <row r="873" spans="1:17" customFormat="1" ht="28.5">
      <c r="A873" t="s">
        <v>239</v>
      </c>
      <c r="B873" t="s">
        <v>240</v>
      </c>
      <c r="C873" t="s">
        <v>2699</v>
      </c>
      <c r="D873" s="5">
        <v>46054</v>
      </c>
      <c r="E873" s="5">
        <v>46054</v>
      </c>
      <c r="F873" s="120" t="s">
        <v>2700</v>
      </c>
      <c r="G873" s="1"/>
      <c r="H873" s="1" t="s">
        <v>261</v>
      </c>
      <c r="I873" s="1" t="s">
        <v>2701</v>
      </c>
      <c r="J873" s="80"/>
      <c r="K873" s="80"/>
      <c r="L873" s="80"/>
      <c r="M873" s="80"/>
      <c r="N873" s="80"/>
      <c r="O873" s="80"/>
      <c r="P873" s="80"/>
      <c r="Q873" s="80"/>
    </row>
    <row r="874" spans="1:17" customFormat="1" ht="42.75">
      <c r="A874" t="s">
        <v>239</v>
      </c>
      <c r="B874" t="s">
        <v>240</v>
      </c>
      <c r="C874" t="s">
        <v>2699</v>
      </c>
      <c r="D874" s="5">
        <v>46054</v>
      </c>
      <c r="E874" s="5">
        <v>46054</v>
      </c>
      <c r="F874" s="120" t="s">
        <v>2702</v>
      </c>
      <c r="G874" s="1"/>
      <c r="H874" s="1" t="s">
        <v>374</v>
      </c>
      <c r="I874" s="1" t="s">
        <v>2703</v>
      </c>
      <c r="J874" s="80"/>
      <c r="K874" s="80"/>
      <c r="L874" s="80"/>
      <c r="M874" s="80"/>
      <c r="N874" s="80"/>
      <c r="O874" s="80"/>
      <c r="P874" s="80"/>
      <c r="Q874" s="80"/>
    </row>
    <row r="875" spans="1:17" customFormat="1" ht="28.5">
      <c r="A875" t="s">
        <v>239</v>
      </c>
      <c r="B875" t="s">
        <v>240</v>
      </c>
      <c r="C875" t="s">
        <v>2704</v>
      </c>
      <c r="D875" s="5">
        <v>46054</v>
      </c>
      <c r="E875" s="5">
        <v>46054</v>
      </c>
      <c r="F875" s="120" t="s">
        <v>2705</v>
      </c>
      <c r="G875" s="1"/>
      <c r="H875" s="1" t="s">
        <v>243</v>
      </c>
      <c r="I875" s="1" t="s">
        <v>2706</v>
      </c>
      <c r="J875" s="80"/>
      <c r="K875" s="80"/>
      <c r="L875" s="80"/>
      <c r="M875" s="80"/>
      <c r="N875" s="80"/>
      <c r="O875" s="80"/>
      <c r="P875" s="80"/>
      <c r="Q875" s="80"/>
    </row>
    <row r="876" spans="1:17" customFormat="1" ht="28.5">
      <c r="A876" t="s">
        <v>239</v>
      </c>
      <c r="B876" t="s">
        <v>240</v>
      </c>
      <c r="C876" t="s">
        <v>2704</v>
      </c>
      <c r="D876" s="5">
        <v>46054</v>
      </c>
      <c r="E876" s="5">
        <v>46054</v>
      </c>
      <c r="F876" s="120" t="s">
        <v>2707</v>
      </c>
      <c r="G876" s="1"/>
      <c r="H876" s="1" t="s">
        <v>2708</v>
      </c>
      <c r="I876" s="1" t="s">
        <v>2709</v>
      </c>
      <c r="J876" s="80"/>
      <c r="K876" s="80"/>
      <c r="L876" s="80"/>
      <c r="M876" s="80"/>
      <c r="N876" s="80"/>
      <c r="O876" s="80"/>
      <c r="P876" s="80"/>
      <c r="Q876" s="80"/>
    </row>
    <row r="877" spans="1:17" customFormat="1">
      <c r="B877" t="s">
        <v>240</v>
      </c>
      <c r="C877" t="s">
        <v>2710</v>
      </c>
      <c r="D877" s="5">
        <v>46054</v>
      </c>
      <c r="E877" s="5">
        <v>46054</v>
      </c>
      <c r="F877" s="120" t="s">
        <v>2711</v>
      </c>
      <c r="G877" s="1"/>
      <c r="H877" s="1" t="s">
        <v>261</v>
      </c>
      <c r="I877" s="1" t="s">
        <v>2712</v>
      </c>
      <c r="J877" s="80"/>
      <c r="K877" s="80"/>
      <c r="L877" s="80"/>
      <c r="M877" s="80"/>
      <c r="N877" s="80"/>
      <c r="O877" s="80"/>
      <c r="P877" s="80"/>
      <c r="Q877" s="80"/>
    </row>
    <row r="878" spans="1:17" customFormat="1">
      <c r="B878" t="s">
        <v>240</v>
      </c>
      <c r="C878" t="s">
        <v>2710</v>
      </c>
      <c r="D878" s="5">
        <v>46054</v>
      </c>
      <c r="E878" s="5">
        <v>46054</v>
      </c>
      <c r="F878" s="120" t="s">
        <v>2713</v>
      </c>
      <c r="G878" s="1"/>
      <c r="H878" s="1" t="s">
        <v>301</v>
      </c>
      <c r="I878" s="1" t="s">
        <v>2714</v>
      </c>
      <c r="J878" s="80"/>
      <c r="K878" s="80"/>
      <c r="L878" s="80"/>
      <c r="M878" s="80"/>
      <c r="N878" s="80"/>
      <c r="O878" s="80"/>
      <c r="P878" s="80"/>
      <c r="Q878" s="80"/>
    </row>
    <row r="879" spans="1:17" customFormat="1">
      <c r="B879" t="s">
        <v>240</v>
      </c>
      <c r="C879" t="s">
        <v>2715</v>
      </c>
      <c r="D879" s="5">
        <v>46054</v>
      </c>
      <c r="E879" s="5">
        <v>46054</v>
      </c>
      <c r="F879" s="120" t="s">
        <v>2716</v>
      </c>
      <c r="G879" s="1"/>
      <c r="H879" s="1" t="s">
        <v>243</v>
      </c>
      <c r="I879" s="1" t="s">
        <v>2717</v>
      </c>
      <c r="J879" s="80"/>
      <c r="K879" s="80"/>
      <c r="L879" s="80"/>
      <c r="M879" s="80"/>
      <c r="N879" s="80"/>
      <c r="O879" s="80"/>
      <c r="P879" s="80"/>
      <c r="Q879" s="80"/>
    </row>
    <row r="880" spans="1:17" customFormat="1">
      <c r="B880" t="s">
        <v>240</v>
      </c>
      <c r="C880" t="s">
        <v>2715</v>
      </c>
      <c r="D880" s="5">
        <v>46054</v>
      </c>
      <c r="E880" s="5">
        <v>46054</v>
      </c>
      <c r="F880" s="120" t="s">
        <v>2718</v>
      </c>
      <c r="G880" s="1"/>
      <c r="H880" s="1" t="s">
        <v>833</v>
      </c>
      <c r="I880" s="1" t="s">
        <v>2719</v>
      </c>
      <c r="J880" s="80"/>
      <c r="K880" s="80"/>
      <c r="L880" s="80"/>
      <c r="M880" s="80"/>
      <c r="N880" s="80"/>
      <c r="O880" s="80"/>
      <c r="P880" s="80"/>
      <c r="Q880" s="80"/>
    </row>
    <row r="881" spans="1:17" customFormat="1">
      <c r="B881" t="s">
        <v>240</v>
      </c>
      <c r="C881" t="s">
        <v>2720</v>
      </c>
      <c r="D881" s="5">
        <v>46054</v>
      </c>
      <c r="E881" s="5">
        <v>46054</v>
      </c>
      <c r="F881" s="120" t="s">
        <v>2721</v>
      </c>
      <c r="G881" s="1"/>
      <c r="H881" s="1" t="s">
        <v>254</v>
      </c>
      <c r="I881" s="1" t="s">
        <v>2722</v>
      </c>
      <c r="J881" s="80"/>
      <c r="K881" s="80"/>
      <c r="L881" s="80"/>
      <c r="M881" s="80"/>
      <c r="N881" s="80"/>
      <c r="O881" s="80"/>
      <c r="P881" s="80"/>
      <c r="Q881" s="80"/>
    </row>
    <row r="882" spans="1:17" customFormat="1">
      <c r="B882" t="s">
        <v>240</v>
      </c>
      <c r="C882" t="s">
        <v>2720</v>
      </c>
      <c r="D882" s="5">
        <v>46054</v>
      </c>
      <c r="E882" s="5">
        <v>46054</v>
      </c>
      <c r="F882" s="120" t="s">
        <v>2723</v>
      </c>
      <c r="G882" s="1"/>
      <c r="H882" s="1" t="s">
        <v>295</v>
      </c>
      <c r="I882" s="1" t="s">
        <v>2724</v>
      </c>
      <c r="J882" s="80"/>
      <c r="K882" s="80"/>
      <c r="L882" s="80"/>
      <c r="M882" s="80"/>
      <c r="N882" s="80"/>
      <c r="O882" s="80"/>
      <c r="P882" s="80"/>
      <c r="Q882" s="80"/>
    </row>
    <row r="883" spans="1:17" customFormat="1">
      <c r="B883" t="s">
        <v>240</v>
      </c>
      <c r="C883" t="s">
        <v>2725</v>
      </c>
      <c r="D883" s="5">
        <v>46054</v>
      </c>
      <c r="E883" s="5">
        <v>46054</v>
      </c>
      <c r="F883" s="120" t="s">
        <v>1942</v>
      </c>
      <c r="G883" s="1"/>
      <c r="H883" s="1" t="s">
        <v>254</v>
      </c>
      <c r="I883" s="1" t="s">
        <v>2726</v>
      </c>
      <c r="J883" s="80"/>
      <c r="K883" s="80"/>
      <c r="L883" s="80"/>
      <c r="M883" s="80"/>
      <c r="N883" s="80"/>
      <c r="O883" s="80"/>
      <c r="P883" s="80"/>
      <c r="Q883" s="80"/>
    </row>
    <row r="884" spans="1:17" customFormat="1">
      <c r="B884" t="s">
        <v>240</v>
      </c>
      <c r="C884" t="s">
        <v>2725</v>
      </c>
      <c r="D884" s="5">
        <v>46054</v>
      </c>
      <c r="E884" s="5">
        <v>46054</v>
      </c>
      <c r="F884" s="120" t="s">
        <v>1944</v>
      </c>
      <c r="G884" s="1"/>
      <c r="H884" s="1" t="s">
        <v>2727</v>
      </c>
      <c r="I884" s="1" t="s">
        <v>2728</v>
      </c>
      <c r="J884" s="80"/>
      <c r="K884" s="80"/>
      <c r="L884" s="80"/>
      <c r="M884" s="80"/>
      <c r="N884" s="80"/>
      <c r="O884" s="80"/>
      <c r="P884" s="80"/>
      <c r="Q884" s="80"/>
    </row>
    <row r="885" spans="1:17" customFormat="1" ht="28.5">
      <c r="A885" t="s">
        <v>239</v>
      </c>
      <c r="B885" t="s">
        <v>240</v>
      </c>
      <c r="C885" t="s">
        <v>2729</v>
      </c>
      <c r="D885" s="5">
        <v>46054</v>
      </c>
      <c r="E885" s="5">
        <v>46054</v>
      </c>
      <c r="F885" s="120" t="s">
        <v>2730</v>
      </c>
      <c r="G885" s="1" t="s">
        <v>1557</v>
      </c>
      <c r="H885" s="1"/>
      <c r="I885" s="1" t="s">
        <v>2731</v>
      </c>
      <c r="J885" s="80"/>
      <c r="K885" s="80"/>
      <c r="L885" s="80"/>
      <c r="M885" s="80"/>
      <c r="N885" s="80"/>
      <c r="O885" s="80"/>
      <c r="P885" s="80"/>
      <c r="Q885" s="80"/>
    </row>
    <row r="886" spans="1:17" customFormat="1" ht="28.5">
      <c r="A886" t="s">
        <v>239</v>
      </c>
      <c r="B886" t="s">
        <v>240</v>
      </c>
      <c r="C886" t="s">
        <v>2732</v>
      </c>
      <c r="D886" s="5">
        <v>46054</v>
      </c>
      <c r="E886" s="5">
        <v>46054</v>
      </c>
      <c r="F886" s="120" t="s">
        <v>2733</v>
      </c>
      <c r="G886" s="1" t="s">
        <v>1557</v>
      </c>
      <c r="H886" s="1"/>
      <c r="I886" s="1" t="s">
        <v>2734</v>
      </c>
      <c r="J886" s="80"/>
      <c r="K886" s="80"/>
      <c r="L886" s="80"/>
      <c r="M886" s="80"/>
      <c r="N886" s="80"/>
      <c r="O886" s="80"/>
      <c r="P886" s="80"/>
      <c r="Q886" s="80"/>
    </row>
    <row r="887" spans="1:17" customFormat="1">
      <c r="A887" t="s">
        <v>239</v>
      </c>
      <c r="B887" t="s">
        <v>240</v>
      </c>
      <c r="C887" t="s">
        <v>2735</v>
      </c>
      <c r="D887" s="5">
        <v>46054</v>
      </c>
      <c r="E887" s="5">
        <v>46054</v>
      </c>
      <c r="F887" s="120" t="s">
        <v>2736</v>
      </c>
      <c r="G887" s="1" t="s">
        <v>833</v>
      </c>
      <c r="H887" s="1"/>
      <c r="I887" s="1" t="s">
        <v>2737</v>
      </c>
      <c r="J887" s="80"/>
      <c r="K887" s="80"/>
      <c r="L887" s="80"/>
      <c r="M887" s="80"/>
      <c r="N887" s="80"/>
      <c r="O887" s="80"/>
      <c r="P887" s="80"/>
      <c r="Q887" s="80"/>
    </row>
    <row r="888" spans="1:17" customFormat="1" ht="42.75">
      <c r="A888" t="s">
        <v>239</v>
      </c>
      <c r="B888" t="s">
        <v>240</v>
      </c>
      <c r="C888" t="s">
        <v>2738</v>
      </c>
      <c r="D888" s="5">
        <v>46054</v>
      </c>
      <c r="E888" s="5">
        <v>46054</v>
      </c>
      <c r="F888" s="120" t="s">
        <v>2739</v>
      </c>
      <c r="G888" s="1"/>
      <c r="H888" s="1" t="s">
        <v>433</v>
      </c>
      <c r="I888" s="1" t="s">
        <v>2740</v>
      </c>
      <c r="J888" s="80"/>
      <c r="K888" s="80"/>
      <c r="L888" s="80"/>
      <c r="M888" s="80"/>
      <c r="N888" s="80"/>
      <c r="O888" s="80"/>
      <c r="P888" s="80"/>
      <c r="Q888" s="80"/>
    </row>
    <row r="889" spans="1:17" customFormat="1" ht="28.5">
      <c r="A889" t="s">
        <v>239</v>
      </c>
      <c r="B889" t="s">
        <v>240</v>
      </c>
      <c r="C889" t="s">
        <v>2741</v>
      </c>
      <c r="D889" s="5">
        <v>46055</v>
      </c>
      <c r="E889" s="5">
        <v>46055</v>
      </c>
      <c r="F889" s="120" t="s">
        <v>2742</v>
      </c>
      <c r="G889" s="1"/>
      <c r="H889" s="1" t="s">
        <v>243</v>
      </c>
      <c r="I889" s="1" t="s">
        <v>2743</v>
      </c>
      <c r="J889" s="80"/>
      <c r="K889" s="80"/>
      <c r="L889" s="80"/>
      <c r="M889" s="80"/>
      <c r="N889" s="80"/>
      <c r="O889" s="80"/>
      <c r="P889" s="80"/>
      <c r="Q889" s="80"/>
    </row>
    <row r="890" spans="1:17" customFormat="1" ht="42.75">
      <c r="A890" t="s">
        <v>239</v>
      </c>
      <c r="B890" t="s">
        <v>240</v>
      </c>
      <c r="C890" t="s">
        <v>2741</v>
      </c>
      <c r="D890" s="5">
        <v>46055</v>
      </c>
      <c r="E890" s="5">
        <v>46055</v>
      </c>
      <c r="F890" s="120" t="s">
        <v>2744</v>
      </c>
      <c r="G890" s="1"/>
      <c r="H890" s="1" t="s">
        <v>2745</v>
      </c>
      <c r="I890" s="1" t="s">
        <v>2746</v>
      </c>
      <c r="J890" s="80"/>
      <c r="K890" s="80"/>
      <c r="L890" s="80"/>
      <c r="M890" s="80"/>
      <c r="N890" s="80"/>
      <c r="O890" s="80"/>
      <c r="P890" s="80"/>
      <c r="Q890" s="80"/>
    </row>
    <row r="891" spans="1:17" customFormat="1" ht="28.5">
      <c r="A891" t="s">
        <v>239</v>
      </c>
      <c r="B891" t="s">
        <v>240</v>
      </c>
      <c r="C891" t="s">
        <v>2747</v>
      </c>
      <c r="D891" s="5">
        <v>46055</v>
      </c>
      <c r="E891" s="5">
        <v>46055</v>
      </c>
      <c r="F891" s="120" t="s">
        <v>2748</v>
      </c>
      <c r="G891" s="1"/>
      <c r="H891" s="1" t="s">
        <v>254</v>
      </c>
      <c r="I891" s="1" t="s">
        <v>2749</v>
      </c>
      <c r="J891" s="80"/>
      <c r="K891" s="80"/>
      <c r="L891" s="80"/>
      <c r="M891" s="80"/>
      <c r="N891" s="80"/>
      <c r="O891" s="80"/>
      <c r="P891" s="80"/>
      <c r="Q891" s="80"/>
    </row>
    <row r="892" spans="1:17" customFormat="1" ht="42.75">
      <c r="A892" t="s">
        <v>239</v>
      </c>
      <c r="B892" t="s">
        <v>240</v>
      </c>
      <c r="C892" t="s">
        <v>2747</v>
      </c>
      <c r="D892" s="5">
        <v>46055</v>
      </c>
      <c r="E892" s="5">
        <v>46055</v>
      </c>
      <c r="F892" s="120" t="s">
        <v>2750</v>
      </c>
      <c r="G892" s="1"/>
      <c r="H892" s="1" t="s">
        <v>756</v>
      </c>
      <c r="I892" s="1" t="s">
        <v>2751</v>
      </c>
      <c r="J892" s="80"/>
      <c r="K892" s="80"/>
      <c r="L892" s="80"/>
      <c r="M892" s="80"/>
      <c r="N892" s="80"/>
      <c r="O892" s="80"/>
      <c r="P892" s="80"/>
      <c r="Q892" s="80"/>
    </row>
    <row r="893" spans="1:17" customFormat="1" ht="28.5">
      <c r="A893" t="s">
        <v>239</v>
      </c>
      <c r="B893" t="s">
        <v>240</v>
      </c>
      <c r="C893" t="s">
        <v>2752</v>
      </c>
      <c r="D893" s="5">
        <v>46055</v>
      </c>
      <c r="E893" s="5">
        <v>46055</v>
      </c>
      <c r="F893" s="120" t="s">
        <v>331</v>
      </c>
      <c r="G893" s="1"/>
      <c r="H893" s="1" t="s">
        <v>2753</v>
      </c>
      <c r="I893" s="1" t="s">
        <v>2754</v>
      </c>
      <c r="J893" s="80"/>
      <c r="K893" s="80"/>
      <c r="L893" s="80"/>
      <c r="M893" s="80"/>
      <c r="N893" s="80"/>
      <c r="O893" s="80"/>
      <c r="P893" s="80"/>
      <c r="Q893" s="80"/>
    </row>
    <row r="894" spans="1:17" customFormat="1" ht="42.75">
      <c r="A894" t="s">
        <v>239</v>
      </c>
      <c r="B894" t="s">
        <v>240</v>
      </c>
      <c r="C894" t="s">
        <v>2755</v>
      </c>
      <c r="D894" s="5">
        <v>46055</v>
      </c>
      <c r="E894" s="5">
        <v>46055</v>
      </c>
      <c r="F894" s="120" t="s">
        <v>1453</v>
      </c>
      <c r="G894" s="1"/>
      <c r="H894" s="1" t="s">
        <v>533</v>
      </c>
      <c r="I894" s="1" t="s">
        <v>2756</v>
      </c>
      <c r="J894" s="80"/>
      <c r="K894" s="80"/>
      <c r="L894" s="80"/>
      <c r="M894" s="80"/>
      <c r="N894" s="80"/>
      <c r="O894" s="80"/>
      <c r="P894" s="80"/>
      <c r="Q894" s="80"/>
    </row>
    <row r="895" spans="1:17" customFormat="1" ht="28.5">
      <c r="A895" t="s">
        <v>239</v>
      </c>
      <c r="B895" t="s">
        <v>240</v>
      </c>
      <c r="C895" t="s">
        <v>2757</v>
      </c>
      <c r="D895" s="5">
        <v>46055</v>
      </c>
      <c r="E895" s="5">
        <v>46055</v>
      </c>
      <c r="F895" s="120" t="s">
        <v>2758</v>
      </c>
      <c r="G895" s="1"/>
      <c r="H895" s="1" t="s">
        <v>261</v>
      </c>
      <c r="I895" s="1" t="s">
        <v>2759</v>
      </c>
      <c r="J895" s="80"/>
      <c r="K895" s="80"/>
      <c r="L895" s="80"/>
      <c r="M895" s="80"/>
      <c r="N895" s="80"/>
      <c r="O895" s="80"/>
      <c r="P895" s="80"/>
      <c r="Q895" s="80"/>
    </row>
    <row r="896" spans="1:17" customFormat="1" ht="42.75">
      <c r="A896" t="s">
        <v>239</v>
      </c>
      <c r="B896" t="s">
        <v>240</v>
      </c>
      <c r="C896" t="s">
        <v>2757</v>
      </c>
      <c r="D896" s="5">
        <v>46055</v>
      </c>
      <c r="E896" s="5">
        <v>46055</v>
      </c>
      <c r="F896" s="120" t="s">
        <v>2760</v>
      </c>
      <c r="G896" s="1"/>
      <c r="H896" s="1" t="s">
        <v>630</v>
      </c>
      <c r="I896" s="1" t="s">
        <v>2761</v>
      </c>
      <c r="J896" s="80"/>
      <c r="K896" s="80"/>
      <c r="L896" s="80"/>
      <c r="M896" s="80"/>
      <c r="N896" s="80"/>
      <c r="O896" s="80"/>
      <c r="P896" s="80"/>
      <c r="Q896" s="80"/>
    </row>
    <row r="897" spans="1:17" customFormat="1" ht="28.5">
      <c r="A897" t="s">
        <v>239</v>
      </c>
      <c r="B897" t="s">
        <v>240</v>
      </c>
      <c r="C897" t="s">
        <v>2762</v>
      </c>
      <c r="D897" s="5">
        <v>46056</v>
      </c>
      <c r="E897" s="5">
        <v>46056</v>
      </c>
      <c r="F897" s="120" t="s">
        <v>2763</v>
      </c>
      <c r="G897" s="1" t="s">
        <v>2764</v>
      </c>
      <c r="H897" s="1"/>
      <c r="I897" s="1" t="s">
        <v>2765</v>
      </c>
      <c r="J897" s="80"/>
      <c r="K897" s="80"/>
      <c r="L897" s="80"/>
      <c r="M897" s="80"/>
      <c r="N897" s="80"/>
      <c r="O897" s="80"/>
      <c r="P897" s="80"/>
      <c r="Q897" s="80"/>
    </row>
    <row r="898" spans="1:17" customFormat="1">
      <c r="A898" t="s">
        <v>239</v>
      </c>
      <c r="B898" t="s">
        <v>240</v>
      </c>
      <c r="C898" t="s">
        <v>2766</v>
      </c>
      <c r="D898" s="5">
        <v>46056</v>
      </c>
      <c r="E898" s="5">
        <v>46056</v>
      </c>
      <c r="F898" s="120" t="s">
        <v>2767</v>
      </c>
      <c r="G898" s="1" t="s">
        <v>2768</v>
      </c>
      <c r="H898" s="1"/>
      <c r="I898" s="1" t="s">
        <v>2769</v>
      </c>
      <c r="J898" s="80"/>
      <c r="K898" s="80"/>
      <c r="L898" s="80"/>
      <c r="M898" s="80"/>
      <c r="N898" s="80"/>
      <c r="O898" s="80"/>
      <c r="P898" s="80"/>
      <c r="Q898" s="80"/>
    </row>
    <row r="899" spans="1:17" customFormat="1" ht="28.5">
      <c r="A899" t="s">
        <v>239</v>
      </c>
      <c r="B899" t="s">
        <v>240</v>
      </c>
      <c r="C899" t="s">
        <v>2770</v>
      </c>
      <c r="D899" s="5">
        <v>46056</v>
      </c>
      <c r="E899" s="5">
        <v>46056</v>
      </c>
      <c r="F899" s="120" t="s">
        <v>2771</v>
      </c>
      <c r="G899" s="1"/>
      <c r="H899" s="1" t="s">
        <v>261</v>
      </c>
      <c r="I899" s="1" t="s">
        <v>2772</v>
      </c>
      <c r="J899" s="80"/>
      <c r="K899" s="80"/>
      <c r="L899" s="80"/>
      <c r="M899" s="80"/>
      <c r="N899" s="80"/>
      <c r="O899" s="80"/>
      <c r="P899" s="80"/>
      <c r="Q899" s="80"/>
    </row>
    <row r="900" spans="1:17" customFormat="1" ht="28.5">
      <c r="A900" t="s">
        <v>239</v>
      </c>
      <c r="B900" t="s">
        <v>240</v>
      </c>
      <c r="C900" t="s">
        <v>2770</v>
      </c>
      <c r="D900" s="5">
        <v>46056</v>
      </c>
      <c r="E900" s="5">
        <v>46056</v>
      </c>
      <c r="F900" s="120" t="s">
        <v>2773</v>
      </c>
      <c r="G900" s="1"/>
      <c r="H900" s="1" t="s">
        <v>264</v>
      </c>
      <c r="I900" s="1" t="s">
        <v>2774</v>
      </c>
      <c r="J900" s="80"/>
      <c r="K900" s="80"/>
      <c r="L900" s="80"/>
      <c r="M900" s="80"/>
      <c r="N900" s="80"/>
      <c r="O900" s="80"/>
      <c r="P900" s="80"/>
      <c r="Q900" s="80"/>
    </row>
    <row r="901" spans="1:17" customFormat="1" ht="28.5">
      <c r="A901" t="s">
        <v>239</v>
      </c>
      <c r="B901" t="s">
        <v>240</v>
      </c>
      <c r="C901" t="s">
        <v>2775</v>
      </c>
      <c r="D901" s="5">
        <v>46057</v>
      </c>
      <c r="E901" s="5">
        <v>46057</v>
      </c>
      <c r="F901" s="120" t="s">
        <v>2776</v>
      </c>
      <c r="G901" s="1"/>
      <c r="H901" s="1" t="s">
        <v>261</v>
      </c>
      <c r="I901" s="1" t="s">
        <v>2777</v>
      </c>
      <c r="J901" s="80"/>
      <c r="K901" s="80"/>
      <c r="L901" s="80"/>
      <c r="M901" s="80"/>
      <c r="N901" s="80"/>
      <c r="O901" s="80"/>
      <c r="P901" s="80"/>
      <c r="Q901" s="80"/>
    </row>
    <row r="902" spans="1:17" customFormat="1" ht="42.75">
      <c r="A902" t="s">
        <v>239</v>
      </c>
      <c r="B902" t="s">
        <v>240</v>
      </c>
      <c r="C902" t="s">
        <v>2775</v>
      </c>
      <c r="D902" s="5">
        <v>46057</v>
      </c>
      <c r="E902" s="5">
        <v>46057</v>
      </c>
      <c r="F902" s="120" t="s">
        <v>2778</v>
      </c>
      <c r="G902" s="1"/>
      <c r="H902" s="1" t="s">
        <v>2779</v>
      </c>
      <c r="I902" s="1" t="s">
        <v>2780</v>
      </c>
      <c r="J902" s="80"/>
      <c r="K902" s="80"/>
      <c r="L902" s="80"/>
      <c r="M902" s="80"/>
      <c r="N902" s="80"/>
      <c r="O902" s="80"/>
      <c r="P902" s="80"/>
      <c r="Q902" s="80"/>
    </row>
    <row r="903" spans="1:17" customFormat="1">
      <c r="B903" t="s">
        <v>240</v>
      </c>
      <c r="C903" t="s">
        <v>2781</v>
      </c>
      <c r="D903" s="5">
        <v>46057</v>
      </c>
      <c r="E903" s="5">
        <v>46057</v>
      </c>
      <c r="F903" s="120" t="s">
        <v>1162</v>
      </c>
      <c r="G903" s="1" t="s">
        <v>671</v>
      </c>
      <c r="H903" s="1"/>
      <c r="I903" s="1" t="s">
        <v>2782</v>
      </c>
      <c r="J903" s="80"/>
      <c r="K903" s="80"/>
      <c r="L903" s="80"/>
      <c r="M903" s="80"/>
      <c r="N903" s="80"/>
      <c r="O903" s="80"/>
      <c r="P903" s="80"/>
      <c r="Q903" s="80"/>
    </row>
    <row r="904" spans="1:17" customFormat="1">
      <c r="B904" t="s">
        <v>240</v>
      </c>
      <c r="C904" t="s">
        <v>2783</v>
      </c>
      <c r="D904" s="5">
        <v>46057</v>
      </c>
      <c r="E904" s="5">
        <v>46057</v>
      </c>
      <c r="F904" s="120" t="s">
        <v>2784</v>
      </c>
      <c r="G904" s="1" t="s">
        <v>2341</v>
      </c>
      <c r="H904" s="1"/>
      <c r="I904" s="1" t="s">
        <v>2785</v>
      </c>
      <c r="J904" s="80"/>
      <c r="K904" s="80"/>
      <c r="L904" s="80"/>
      <c r="M904" s="80"/>
      <c r="N904" s="80"/>
      <c r="O904" s="80"/>
      <c r="P904" s="80"/>
      <c r="Q904" s="80"/>
    </row>
    <row r="905" spans="1:17" customFormat="1">
      <c r="B905" t="s">
        <v>240</v>
      </c>
      <c r="C905" t="s">
        <v>2786</v>
      </c>
      <c r="D905" s="5">
        <v>46057</v>
      </c>
      <c r="E905" s="5">
        <v>46057</v>
      </c>
      <c r="F905" s="120" t="s">
        <v>2787</v>
      </c>
      <c r="G905" s="1" t="s">
        <v>1476</v>
      </c>
      <c r="H905" s="1"/>
      <c r="I905" s="1" t="s">
        <v>2788</v>
      </c>
      <c r="J905" s="80"/>
      <c r="K905" s="80"/>
      <c r="L905" s="80"/>
      <c r="M905" s="80"/>
      <c r="N905" s="80"/>
      <c r="O905" s="80"/>
      <c r="P905" s="80"/>
      <c r="Q905" s="80"/>
    </row>
    <row r="906" spans="1:17" customFormat="1" ht="28.5">
      <c r="A906" t="s">
        <v>239</v>
      </c>
      <c r="B906" t="s">
        <v>240</v>
      </c>
      <c r="C906" t="s">
        <v>2789</v>
      </c>
      <c r="D906" s="5">
        <v>46057</v>
      </c>
      <c r="E906" s="5">
        <v>46057</v>
      </c>
      <c r="F906" s="120" t="s">
        <v>2790</v>
      </c>
      <c r="G906" s="1"/>
      <c r="H906" s="1" t="s">
        <v>261</v>
      </c>
      <c r="I906" s="1" t="s">
        <v>2791</v>
      </c>
      <c r="J906" s="80"/>
      <c r="K906" s="80"/>
      <c r="L906" s="80"/>
      <c r="M906" s="80"/>
      <c r="N906" s="80"/>
      <c r="O906" s="80"/>
      <c r="P906" s="80"/>
      <c r="Q906" s="80"/>
    </row>
    <row r="907" spans="1:17" customFormat="1" ht="28.5">
      <c r="A907" t="s">
        <v>239</v>
      </c>
      <c r="B907" t="s">
        <v>240</v>
      </c>
      <c r="C907" t="s">
        <v>2789</v>
      </c>
      <c r="D907" s="5">
        <v>46057</v>
      </c>
      <c r="E907" s="5">
        <v>46057</v>
      </c>
      <c r="F907" s="120" t="s">
        <v>2792</v>
      </c>
      <c r="G907" s="1"/>
      <c r="H907" s="1" t="s">
        <v>630</v>
      </c>
      <c r="I907" s="1" t="s">
        <v>2793</v>
      </c>
      <c r="J907" s="80"/>
      <c r="K907" s="80"/>
      <c r="L907" s="80"/>
      <c r="M907" s="80"/>
      <c r="N907" s="80"/>
      <c r="O907" s="80"/>
      <c r="P907" s="80"/>
      <c r="Q907" s="80"/>
    </row>
    <row r="908" spans="1:17" customFormat="1" ht="42.75">
      <c r="A908" t="s">
        <v>239</v>
      </c>
      <c r="B908" t="s">
        <v>240</v>
      </c>
      <c r="C908" t="s">
        <v>2794</v>
      </c>
      <c r="D908" s="5">
        <v>46057</v>
      </c>
      <c r="E908" s="5">
        <v>46057</v>
      </c>
      <c r="F908" s="120" t="s">
        <v>2795</v>
      </c>
      <c r="G908" s="1"/>
      <c r="H908" s="1" t="s">
        <v>295</v>
      </c>
      <c r="I908" s="1" t="s">
        <v>2796</v>
      </c>
      <c r="J908" s="80"/>
      <c r="K908" s="80"/>
      <c r="L908" s="80"/>
      <c r="M908" s="80"/>
      <c r="N908" s="80"/>
      <c r="O908" s="80"/>
      <c r="P908" s="80"/>
      <c r="Q908" s="80"/>
    </row>
    <row r="909" spans="1:17" customFormat="1">
      <c r="A909" t="s">
        <v>239</v>
      </c>
      <c r="B909" t="s">
        <v>240</v>
      </c>
      <c r="C909" t="s">
        <v>2797</v>
      </c>
      <c r="D909" s="5">
        <v>46058</v>
      </c>
      <c r="E909" s="5">
        <v>46058</v>
      </c>
      <c r="F909" s="120" t="s">
        <v>2798</v>
      </c>
      <c r="G909" s="1" t="s">
        <v>2799</v>
      </c>
      <c r="H909" s="1"/>
      <c r="I909" s="1" t="s">
        <v>2800</v>
      </c>
      <c r="J909" s="80"/>
      <c r="K909" s="80"/>
      <c r="L909" s="80"/>
      <c r="M909" s="80"/>
      <c r="N909" s="80"/>
      <c r="O909" s="80"/>
      <c r="P909" s="80"/>
      <c r="Q909" s="80"/>
    </row>
    <row r="910" spans="1:17" customFormat="1" ht="42.75">
      <c r="A910" t="s">
        <v>239</v>
      </c>
      <c r="B910" t="s">
        <v>240</v>
      </c>
      <c r="C910" t="s">
        <v>2801</v>
      </c>
      <c r="D910" s="5">
        <v>46058</v>
      </c>
      <c r="E910" s="5">
        <v>46058</v>
      </c>
      <c r="F910" s="120" t="s">
        <v>2802</v>
      </c>
      <c r="G910" s="1"/>
      <c r="H910" s="1" t="s">
        <v>313</v>
      </c>
      <c r="I910" s="1" t="s">
        <v>2803</v>
      </c>
      <c r="J910" s="80"/>
      <c r="K910" s="80"/>
      <c r="L910" s="80"/>
      <c r="M910" s="80"/>
      <c r="N910" s="80"/>
      <c r="O910" s="80"/>
      <c r="P910" s="80"/>
      <c r="Q910" s="80"/>
    </row>
    <row r="911" spans="1:17" customFormat="1" ht="42.75">
      <c r="A911" t="s">
        <v>239</v>
      </c>
      <c r="B911" t="s">
        <v>240</v>
      </c>
      <c r="C911" t="s">
        <v>2804</v>
      </c>
      <c r="D911" s="5">
        <v>46058</v>
      </c>
      <c r="E911" s="5">
        <v>46058</v>
      </c>
      <c r="F911" s="120" t="s">
        <v>2805</v>
      </c>
      <c r="G911" s="1"/>
      <c r="H911" s="1" t="s">
        <v>2806</v>
      </c>
      <c r="I911" s="1" t="s">
        <v>2807</v>
      </c>
      <c r="J911" s="80"/>
      <c r="K911" s="80"/>
      <c r="L911" s="80"/>
      <c r="M911" s="80"/>
      <c r="N911" s="80"/>
      <c r="O911" s="80"/>
      <c r="P911" s="80"/>
      <c r="Q911" s="80"/>
    </row>
    <row r="912" spans="1:17" customFormat="1" ht="28.5">
      <c r="A912" t="s">
        <v>239</v>
      </c>
      <c r="B912" t="s">
        <v>240</v>
      </c>
      <c r="C912" t="s">
        <v>2808</v>
      </c>
      <c r="D912" s="5">
        <v>46058</v>
      </c>
      <c r="E912" s="5">
        <v>46058</v>
      </c>
      <c r="F912" s="120" t="s">
        <v>2809</v>
      </c>
      <c r="G912" s="1"/>
      <c r="H912" s="1" t="s">
        <v>1839</v>
      </c>
      <c r="I912" s="1" t="s">
        <v>2810</v>
      </c>
      <c r="J912" s="80"/>
      <c r="K912" s="80"/>
      <c r="L912" s="80"/>
      <c r="M912" s="80"/>
      <c r="N912" s="80"/>
      <c r="O912" s="80"/>
      <c r="P912" s="80"/>
      <c r="Q912" s="80"/>
    </row>
    <row r="913" spans="1:17" customFormat="1" ht="28.5">
      <c r="A913" t="s">
        <v>239</v>
      </c>
      <c r="B913" t="s">
        <v>240</v>
      </c>
      <c r="C913" t="s">
        <v>2811</v>
      </c>
      <c r="D913" s="5">
        <v>46058</v>
      </c>
      <c r="E913" s="5">
        <v>46058</v>
      </c>
      <c r="F913" s="120" t="s">
        <v>2812</v>
      </c>
      <c r="G913" s="1"/>
      <c r="H913" s="1" t="s">
        <v>2813</v>
      </c>
      <c r="I913" s="1" t="s">
        <v>2814</v>
      </c>
      <c r="J913" s="80"/>
      <c r="K913" s="80"/>
      <c r="L913" s="80"/>
      <c r="M913" s="80"/>
      <c r="N913" s="80"/>
      <c r="O913" s="80"/>
      <c r="P913" s="80"/>
      <c r="Q913" s="80"/>
    </row>
    <row r="914" spans="1:17" customFormat="1" ht="42.75">
      <c r="A914" t="s">
        <v>239</v>
      </c>
      <c r="B914" t="s">
        <v>240</v>
      </c>
      <c r="C914" t="s">
        <v>2815</v>
      </c>
      <c r="D914" s="5">
        <v>46058</v>
      </c>
      <c r="E914" s="5">
        <v>46058</v>
      </c>
      <c r="F914" s="120" t="s">
        <v>2816</v>
      </c>
      <c r="G914" s="1" t="s">
        <v>1557</v>
      </c>
      <c r="H914" s="1"/>
      <c r="I914" s="1" t="s">
        <v>2817</v>
      </c>
      <c r="J914" s="80"/>
      <c r="K914" s="80"/>
      <c r="L914" s="80"/>
      <c r="M914" s="80"/>
      <c r="N914" s="80"/>
      <c r="O914" s="80"/>
      <c r="P914" s="80"/>
      <c r="Q914" s="80"/>
    </row>
    <row r="915" spans="1:17" customFormat="1" ht="28.5">
      <c r="A915" t="s">
        <v>239</v>
      </c>
      <c r="B915" t="s">
        <v>240</v>
      </c>
      <c r="C915" t="s">
        <v>2818</v>
      </c>
      <c r="D915" s="5">
        <v>46059</v>
      </c>
      <c r="E915" s="5">
        <v>46059</v>
      </c>
      <c r="F915" s="120" t="s">
        <v>2819</v>
      </c>
      <c r="G915" s="1"/>
      <c r="H915" s="1" t="s">
        <v>261</v>
      </c>
      <c r="I915" s="1" t="s">
        <v>2820</v>
      </c>
      <c r="J915" s="80"/>
      <c r="K915" s="80"/>
      <c r="L915" s="80"/>
      <c r="M915" s="80"/>
      <c r="N915" s="80"/>
      <c r="O915" s="80"/>
      <c r="P915" s="80"/>
      <c r="Q915" s="80"/>
    </row>
    <row r="916" spans="1:17" customFormat="1" ht="28.5">
      <c r="A916" t="s">
        <v>239</v>
      </c>
      <c r="B916" t="s">
        <v>240</v>
      </c>
      <c r="C916" t="s">
        <v>2818</v>
      </c>
      <c r="D916" s="5">
        <v>46059</v>
      </c>
      <c r="E916" s="5">
        <v>46059</v>
      </c>
      <c r="F916" s="120" t="s">
        <v>2821</v>
      </c>
      <c r="G916" s="1"/>
      <c r="H916" s="1" t="s">
        <v>2822</v>
      </c>
      <c r="I916" s="1" t="s">
        <v>2823</v>
      </c>
      <c r="J916" s="80"/>
      <c r="K916" s="80"/>
      <c r="L916" s="80"/>
      <c r="M916" s="80"/>
      <c r="N916" s="80"/>
      <c r="O916" s="80"/>
      <c r="P916" s="80"/>
      <c r="Q916" s="80"/>
    </row>
    <row r="917" spans="1:17" customFormat="1" ht="28.5">
      <c r="A917" t="s">
        <v>239</v>
      </c>
      <c r="B917" t="s">
        <v>240</v>
      </c>
      <c r="C917" t="s">
        <v>2824</v>
      </c>
      <c r="D917" s="5">
        <v>46059</v>
      </c>
      <c r="E917" s="5">
        <v>46059</v>
      </c>
      <c r="F917" s="120" t="s">
        <v>2825</v>
      </c>
      <c r="G917" s="1"/>
      <c r="H917" s="1" t="s">
        <v>261</v>
      </c>
      <c r="I917" s="1" t="s">
        <v>2826</v>
      </c>
      <c r="J917" s="80"/>
      <c r="K917" s="80"/>
      <c r="L917" s="80"/>
      <c r="M917" s="80"/>
      <c r="N917" s="80"/>
      <c r="O917" s="80"/>
      <c r="P917" s="80"/>
      <c r="Q917" s="80"/>
    </row>
    <row r="918" spans="1:17" customFormat="1" ht="42.75">
      <c r="A918" t="s">
        <v>239</v>
      </c>
      <c r="B918" t="s">
        <v>240</v>
      </c>
      <c r="C918" t="s">
        <v>2824</v>
      </c>
      <c r="D918" s="5">
        <v>46059</v>
      </c>
      <c r="E918" s="5">
        <v>46059</v>
      </c>
      <c r="F918" s="120" t="s">
        <v>2827</v>
      </c>
      <c r="G918" s="1"/>
      <c r="H918" s="1" t="s">
        <v>630</v>
      </c>
      <c r="I918" s="1" t="s">
        <v>2828</v>
      </c>
      <c r="J918" s="80"/>
      <c r="K918" s="80"/>
      <c r="L918" s="80"/>
      <c r="M918" s="80"/>
      <c r="N918" s="80"/>
      <c r="O918" s="80"/>
      <c r="P918" s="80"/>
      <c r="Q918" s="80"/>
    </row>
    <row r="919" spans="1:17" customFormat="1">
      <c r="A919" t="s">
        <v>239</v>
      </c>
      <c r="B919" t="s">
        <v>240</v>
      </c>
      <c r="C919" t="s">
        <v>2829</v>
      </c>
      <c r="D919" s="5">
        <v>46061</v>
      </c>
      <c r="E919" s="5">
        <v>46061</v>
      </c>
      <c r="F919" s="120" t="s">
        <v>2830</v>
      </c>
      <c r="G919" s="1" t="s">
        <v>1557</v>
      </c>
      <c r="H919" s="1"/>
      <c r="I919" s="1" t="s">
        <v>2831</v>
      </c>
      <c r="J919" s="80"/>
      <c r="K919" s="80"/>
      <c r="L919" s="80"/>
      <c r="M919" s="80"/>
      <c r="N919" s="80"/>
      <c r="O919" s="80"/>
      <c r="P919" s="80"/>
      <c r="Q919" s="80"/>
    </row>
    <row r="920" spans="1:17" customFormat="1">
      <c r="A920" t="s">
        <v>239</v>
      </c>
      <c r="B920" t="s">
        <v>240</v>
      </c>
      <c r="C920" t="s">
        <v>2832</v>
      </c>
      <c r="D920" s="5">
        <v>46062</v>
      </c>
      <c r="E920" s="5">
        <v>46062</v>
      </c>
      <c r="F920" s="120" t="s">
        <v>2833</v>
      </c>
      <c r="G920" s="1" t="s">
        <v>833</v>
      </c>
      <c r="H920" s="1"/>
      <c r="I920" s="1" t="s">
        <v>2834</v>
      </c>
      <c r="J920" s="80"/>
      <c r="K920" s="80"/>
      <c r="L920" s="80"/>
      <c r="M920" s="80"/>
      <c r="N920" s="80"/>
      <c r="O920" s="80"/>
      <c r="P920" s="80"/>
      <c r="Q920" s="80"/>
    </row>
    <row r="921" spans="1:17" customFormat="1">
      <c r="A921" t="s">
        <v>239</v>
      </c>
      <c r="B921" t="s">
        <v>240</v>
      </c>
      <c r="C921" t="s">
        <v>2835</v>
      </c>
      <c r="D921" s="5">
        <v>46062</v>
      </c>
      <c r="E921" s="5">
        <v>46062</v>
      </c>
      <c r="F921" s="120" t="s">
        <v>2836</v>
      </c>
      <c r="G921" s="1" t="s">
        <v>433</v>
      </c>
      <c r="H921" s="1"/>
      <c r="I921" s="1" t="s">
        <v>2837</v>
      </c>
      <c r="J921" s="80"/>
      <c r="K921" s="80"/>
      <c r="L921" s="80"/>
      <c r="M921" s="80"/>
      <c r="N921" s="80"/>
      <c r="O921" s="80"/>
      <c r="P921" s="80"/>
      <c r="Q921" s="80"/>
    </row>
    <row r="922" spans="1:17" customFormat="1" ht="28.5">
      <c r="A922" t="s">
        <v>2518</v>
      </c>
      <c r="B922" t="s">
        <v>240</v>
      </c>
      <c r="C922" t="s">
        <v>2838</v>
      </c>
      <c r="D922" s="5">
        <v>46062</v>
      </c>
      <c r="E922" s="5">
        <v>46062</v>
      </c>
      <c r="F922" s="120" t="s">
        <v>2839</v>
      </c>
      <c r="G922" s="1" t="s">
        <v>1557</v>
      </c>
      <c r="H922" s="1"/>
      <c r="I922" s="1" t="s">
        <v>2840</v>
      </c>
      <c r="J922" s="80"/>
      <c r="K922" s="80"/>
      <c r="L922" s="80"/>
      <c r="M922" s="80"/>
      <c r="N922" s="80"/>
      <c r="O922" s="80"/>
      <c r="P922" s="80"/>
      <c r="Q922" s="80"/>
    </row>
    <row r="923" spans="1:17" customFormat="1" ht="28.5">
      <c r="A923" t="s">
        <v>239</v>
      </c>
      <c r="B923" t="s">
        <v>240</v>
      </c>
      <c r="C923" t="s">
        <v>2841</v>
      </c>
      <c r="D923" s="5">
        <v>46062</v>
      </c>
      <c r="E923" s="5">
        <v>46062</v>
      </c>
      <c r="F923" s="120" t="s">
        <v>2842</v>
      </c>
      <c r="G923" s="1"/>
      <c r="H923" s="1" t="s">
        <v>254</v>
      </c>
      <c r="I923" s="1" t="s">
        <v>2843</v>
      </c>
      <c r="J923" s="80"/>
      <c r="K923" s="80"/>
      <c r="L923" s="80"/>
      <c r="M923" s="80"/>
      <c r="N923" s="80"/>
      <c r="O923" s="80"/>
      <c r="P923" s="80"/>
      <c r="Q923" s="80"/>
    </row>
    <row r="924" spans="1:17" customFormat="1" ht="42.75">
      <c r="A924" t="s">
        <v>239</v>
      </c>
      <c r="B924" t="s">
        <v>240</v>
      </c>
      <c r="C924" t="s">
        <v>2841</v>
      </c>
      <c r="D924" s="5">
        <v>46062</v>
      </c>
      <c r="E924" s="5">
        <v>46062</v>
      </c>
      <c r="F924" s="120" t="s">
        <v>2844</v>
      </c>
      <c r="G924" s="1"/>
      <c r="H924" s="1" t="s">
        <v>295</v>
      </c>
      <c r="I924" s="1" t="s">
        <v>2845</v>
      </c>
      <c r="J924" s="80"/>
      <c r="K924" s="80"/>
      <c r="L924" s="80"/>
      <c r="M924" s="80"/>
      <c r="N924" s="80"/>
      <c r="O924" s="80"/>
      <c r="P924" s="80"/>
      <c r="Q924" s="80"/>
    </row>
    <row r="925" spans="1:17" customFormat="1">
      <c r="A925" t="s">
        <v>1539</v>
      </c>
      <c r="B925" t="s">
        <v>240</v>
      </c>
      <c r="C925" t="s">
        <v>2846</v>
      </c>
      <c r="D925" s="5">
        <v>46062</v>
      </c>
      <c r="E925" s="5">
        <v>46062</v>
      </c>
      <c r="F925" s="120" t="s">
        <v>2847</v>
      </c>
      <c r="G925" s="1" t="s">
        <v>1557</v>
      </c>
      <c r="H925" s="1"/>
      <c r="I925" s="1" t="s">
        <v>2848</v>
      </c>
      <c r="J925" s="80"/>
      <c r="K925" s="80"/>
      <c r="L925" s="80"/>
      <c r="M925" s="80"/>
      <c r="N925" s="80"/>
      <c r="O925" s="80"/>
      <c r="P925" s="80"/>
      <c r="Q925" s="80"/>
    </row>
    <row r="926" spans="1:17" customFormat="1" ht="28.5">
      <c r="A926" t="s">
        <v>239</v>
      </c>
      <c r="B926" t="s">
        <v>240</v>
      </c>
      <c r="C926" t="s">
        <v>2849</v>
      </c>
      <c r="D926" s="5">
        <v>46062</v>
      </c>
      <c r="E926" s="5">
        <v>46062</v>
      </c>
      <c r="F926" s="120" t="s">
        <v>2850</v>
      </c>
      <c r="G926" s="1"/>
      <c r="H926" s="1" t="s">
        <v>261</v>
      </c>
      <c r="I926" s="1" t="s">
        <v>2851</v>
      </c>
      <c r="J926" s="80"/>
      <c r="K926" s="80"/>
      <c r="L926" s="80"/>
      <c r="M926" s="80"/>
      <c r="N926" s="80"/>
      <c r="O926" s="80"/>
      <c r="P926" s="80"/>
      <c r="Q926" s="80"/>
    </row>
    <row r="927" spans="1:17" customFormat="1" ht="42.75">
      <c r="A927" t="s">
        <v>239</v>
      </c>
      <c r="B927" t="s">
        <v>240</v>
      </c>
      <c r="C927" t="s">
        <v>2849</v>
      </c>
      <c r="D927" s="5">
        <v>46062</v>
      </c>
      <c r="E927" s="5">
        <v>46062</v>
      </c>
      <c r="F927" s="120" t="s">
        <v>2852</v>
      </c>
      <c r="G927" s="1"/>
      <c r="H927" s="1" t="s">
        <v>630</v>
      </c>
      <c r="I927" s="1" t="s">
        <v>2853</v>
      </c>
      <c r="J927" s="80"/>
      <c r="K927" s="80"/>
      <c r="L927" s="80"/>
      <c r="M927" s="80"/>
      <c r="N927" s="80"/>
      <c r="O927" s="80"/>
      <c r="P927" s="80"/>
      <c r="Q927" s="80"/>
    </row>
    <row r="928" spans="1:17" customFormat="1" ht="28.5">
      <c r="A928" t="s">
        <v>239</v>
      </c>
      <c r="B928" t="s">
        <v>240</v>
      </c>
      <c r="C928" t="s">
        <v>2854</v>
      </c>
      <c r="D928" s="5">
        <v>46063</v>
      </c>
      <c r="E928" s="5">
        <v>46063</v>
      </c>
      <c r="F928" s="120" t="s">
        <v>2855</v>
      </c>
      <c r="G928" s="1" t="s">
        <v>1545</v>
      </c>
      <c r="H928" s="1"/>
      <c r="I928" s="1" t="s">
        <v>2856</v>
      </c>
      <c r="J928" s="80"/>
      <c r="K928" s="80"/>
      <c r="L928" s="80"/>
      <c r="M928" s="80"/>
      <c r="N928" s="80"/>
      <c r="O928" s="80"/>
      <c r="P928" s="80"/>
      <c r="Q928" s="80"/>
    </row>
    <row r="929" spans="1:17" customFormat="1" ht="28.5">
      <c r="A929" t="s">
        <v>239</v>
      </c>
      <c r="B929" t="s">
        <v>240</v>
      </c>
      <c r="C929" t="s">
        <v>2857</v>
      </c>
      <c r="D929" s="5">
        <v>46063</v>
      </c>
      <c r="E929" s="5">
        <v>46063</v>
      </c>
      <c r="F929" s="120" t="s">
        <v>2858</v>
      </c>
      <c r="G929" s="1"/>
      <c r="H929" s="1" t="s">
        <v>395</v>
      </c>
      <c r="I929" s="1" t="s">
        <v>2859</v>
      </c>
      <c r="J929" s="80"/>
      <c r="K929" s="80"/>
      <c r="L929" s="80"/>
      <c r="M929" s="80"/>
      <c r="N929" s="80"/>
      <c r="O929" s="80"/>
      <c r="P929" s="80"/>
      <c r="Q929" s="80"/>
    </row>
    <row r="930" spans="1:17" customFormat="1" ht="28.5">
      <c r="A930" t="s">
        <v>239</v>
      </c>
      <c r="B930" t="s">
        <v>240</v>
      </c>
      <c r="C930" t="s">
        <v>2860</v>
      </c>
      <c r="D930" s="5">
        <v>46063</v>
      </c>
      <c r="E930" s="5">
        <v>46063</v>
      </c>
      <c r="F930" s="120" t="s">
        <v>2861</v>
      </c>
      <c r="G930" s="1"/>
      <c r="H930" s="1" t="s">
        <v>254</v>
      </c>
      <c r="I930" s="1" t="s">
        <v>2862</v>
      </c>
      <c r="J930" s="80"/>
      <c r="K930" s="80"/>
      <c r="L930" s="80"/>
      <c r="M930" s="80"/>
      <c r="N930" s="80"/>
      <c r="O930" s="80"/>
      <c r="P930" s="80"/>
      <c r="Q930" s="80"/>
    </row>
    <row r="931" spans="1:17" customFormat="1" ht="42.75">
      <c r="A931" t="s">
        <v>239</v>
      </c>
      <c r="B931" t="s">
        <v>240</v>
      </c>
      <c r="C931" t="s">
        <v>2860</v>
      </c>
      <c r="D931" s="5">
        <v>46063</v>
      </c>
      <c r="E931" s="5">
        <v>46063</v>
      </c>
      <c r="F931" s="120" t="s">
        <v>2863</v>
      </c>
      <c r="G931" s="1"/>
      <c r="H931" s="1" t="s">
        <v>2153</v>
      </c>
      <c r="I931" s="1" t="s">
        <v>2864</v>
      </c>
      <c r="J931" s="80"/>
      <c r="K931" s="80"/>
      <c r="L931" s="80"/>
      <c r="M931" s="80"/>
      <c r="N931" s="80"/>
      <c r="O931" s="80"/>
      <c r="P931" s="80"/>
      <c r="Q931" s="80"/>
    </row>
    <row r="932" spans="1:17" customFormat="1" ht="28.5">
      <c r="A932" t="s">
        <v>239</v>
      </c>
      <c r="B932" t="s">
        <v>240</v>
      </c>
      <c r="C932" t="s">
        <v>2865</v>
      </c>
      <c r="D932" s="5">
        <v>46064</v>
      </c>
      <c r="E932" s="5">
        <v>46064</v>
      </c>
      <c r="F932" s="120" t="s">
        <v>2855</v>
      </c>
      <c r="G932" s="1" t="s">
        <v>283</v>
      </c>
      <c r="H932" s="1"/>
      <c r="I932" s="1" t="s">
        <v>2866</v>
      </c>
      <c r="J932" s="80"/>
      <c r="K932" s="80"/>
      <c r="L932" s="80"/>
      <c r="M932" s="80"/>
      <c r="N932" s="80"/>
      <c r="O932" s="80"/>
      <c r="P932" s="80"/>
      <c r="Q932" s="80"/>
    </row>
    <row r="933" spans="1:17" customFormat="1" ht="28.5">
      <c r="A933" t="s">
        <v>239</v>
      </c>
      <c r="B933" t="s">
        <v>240</v>
      </c>
      <c r="C933" t="s">
        <v>2867</v>
      </c>
      <c r="D933" s="5">
        <v>46064</v>
      </c>
      <c r="E933" s="5">
        <v>46064</v>
      </c>
      <c r="F933" s="120" t="s">
        <v>2868</v>
      </c>
      <c r="G933" s="1"/>
      <c r="H933" s="1" t="s">
        <v>254</v>
      </c>
      <c r="I933" s="1" t="s">
        <v>2869</v>
      </c>
      <c r="J933" s="80"/>
      <c r="K933" s="80"/>
      <c r="L933" s="80"/>
      <c r="M933" s="80"/>
      <c r="N933" s="80"/>
      <c r="O933" s="80"/>
      <c r="P933" s="80"/>
      <c r="Q933" s="80"/>
    </row>
    <row r="934" spans="1:17" customFormat="1" ht="42.75">
      <c r="A934" t="s">
        <v>239</v>
      </c>
      <c r="B934" t="s">
        <v>240</v>
      </c>
      <c r="C934" t="s">
        <v>2867</v>
      </c>
      <c r="D934" s="5">
        <v>46064</v>
      </c>
      <c r="E934" s="5">
        <v>46064</v>
      </c>
      <c r="F934" s="120" t="s">
        <v>2870</v>
      </c>
      <c r="G934" s="1"/>
      <c r="H934" s="129" t="s">
        <v>3431</v>
      </c>
      <c r="I934" s="1" t="s">
        <v>2871</v>
      </c>
      <c r="J934" s="80"/>
      <c r="K934" s="80"/>
      <c r="L934" s="80"/>
      <c r="M934" s="80"/>
      <c r="N934" s="80"/>
      <c r="O934" s="80"/>
      <c r="P934" s="80"/>
      <c r="Q934" s="80"/>
    </row>
    <row r="935" spans="1:17" customFormat="1" ht="28.5">
      <c r="A935" t="s">
        <v>239</v>
      </c>
      <c r="B935" t="s">
        <v>240</v>
      </c>
      <c r="C935" t="s">
        <v>2872</v>
      </c>
      <c r="D935" s="5">
        <v>46064</v>
      </c>
      <c r="E935" s="5">
        <v>46064</v>
      </c>
      <c r="F935" s="120" t="s">
        <v>2873</v>
      </c>
      <c r="G935" s="1"/>
      <c r="H935" s="1" t="s">
        <v>261</v>
      </c>
      <c r="I935" s="1" t="s">
        <v>2874</v>
      </c>
      <c r="J935" s="80"/>
      <c r="K935" s="80"/>
      <c r="L935" s="80"/>
      <c r="M935" s="80"/>
      <c r="N935" s="80"/>
      <c r="O935" s="80"/>
      <c r="P935" s="80"/>
      <c r="Q935" s="80"/>
    </row>
    <row r="936" spans="1:17" customFormat="1" ht="42.75">
      <c r="A936" t="s">
        <v>239</v>
      </c>
      <c r="B936" t="s">
        <v>240</v>
      </c>
      <c r="C936" t="s">
        <v>2872</v>
      </c>
      <c r="D936" s="5">
        <v>46064</v>
      </c>
      <c r="E936" s="5">
        <v>46064</v>
      </c>
      <c r="F936" s="120" t="s">
        <v>2875</v>
      </c>
      <c r="G936" s="1"/>
      <c r="H936" s="1" t="s">
        <v>2876</v>
      </c>
      <c r="I936" s="1" t="s">
        <v>2877</v>
      </c>
      <c r="J936" s="80"/>
      <c r="K936" s="80"/>
      <c r="L936" s="80"/>
      <c r="M936" s="80"/>
      <c r="N936" s="80"/>
      <c r="O936" s="80"/>
      <c r="P936" s="80"/>
      <c r="Q936" s="80"/>
    </row>
    <row r="937" spans="1:17" customFormat="1" ht="28.5">
      <c r="A937" t="s">
        <v>239</v>
      </c>
      <c r="B937" t="s">
        <v>240</v>
      </c>
      <c r="C937" t="s">
        <v>2878</v>
      </c>
      <c r="D937" s="5">
        <v>46064</v>
      </c>
      <c r="E937" s="5">
        <v>46064</v>
      </c>
      <c r="F937" s="120" t="s">
        <v>2879</v>
      </c>
      <c r="G937" s="1" t="s">
        <v>588</v>
      </c>
      <c r="H937" s="1"/>
      <c r="I937" s="1" t="s">
        <v>2880</v>
      </c>
      <c r="J937" s="80"/>
      <c r="K937" s="80"/>
      <c r="L937" s="80"/>
      <c r="M937" s="80"/>
      <c r="N937" s="80"/>
      <c r="O937" s="80"/>
      <c r="P937" s="80"/>
      <c r="Q937" s="80"/>
    </row>
    <row r="938" spans="1:17" customFormat="1" ht="28.5">
      <c r="A938" t="s">
        <v>239</v>
      </c>
      <c r="B938" t="s">
        <v>240</v>
      </c>
      <c r="C938" t="s">
        <v>2881</v>
      </c>
      <c r="D938" s="5">
        <v>46065</v>
      </c>
      <c r="E938" s="5">
        <v>46065</v>
      </c>
      <c r="F938" s="120" t="s">
        <v>331</v>
      </c>
      <c r="G938" s="1"/>
      <c r="H938" s="1" t="s">
        <v>2882</v>
      </c>
      <c r="I938" s="1" t="s">
        <v>2883</v>
      </c>
      <c r="J938" s="80"/>
      <c r="K938" s="80"/>
      <c r="L938" s="80"/>
      <c r="M938" s="80"/>
      <c r="N938" s="80"/>
      <c r="O938" s="80"/>
      <c r="P938" s="80"/>
      <c r="Q938" s="80"/>
    </row>
    <row r="939" spans="1:17" customFormat="1">
      <c r="A939" t="s">
        <v>1539</v>
      </c>
      <c r="B939" t="s">
        <v>240</v>
      </c>
      <c r="C939" t="s">
        <v>2884</v>
      </c>
      <c r="D939" s="5">
        <v>46065</v>
      </c>
      <c r="E939" s="5">
        <v>46065</v>
      </c>
      <c r="F939" s="120" t="s">
        <v>2885</v>
      </c>
      <c r="G939" s="1" t="s">
        <v>1545</v>
      </c>
      <c r="H939" s="1"/>
      <c r="I939" s="1" t="s">
        <v>2886</v>
      </c>
      <c r="J939" s="80"/>
      <c r="K939" s="80"/>
      <c r="L939" s="80"/>
      <c r="M939" s="80"/>
      <c r="N939" s="80"/>
      <c r="O939" s="80"/>
      <c r="P939" s="80"/>
      <c r="Q939" s="80"/>
    </row>
    <row r="940" spans="1:17" customFormat="1" ht="42.75">
      <c r="A940" t="s">
        <v>239</v>
      </c>
      <c r="B940" t="s">
        <v>240</v>
      </c>
      <c r="C940" t="s">
        <v>2887</v>
      </c>
      <c r="D940" s="5">
        <v>46065</v>
      </c>
      <c r="E940" s="5">
        <v>46065</v>
      </c>
      <c r="F940" s="120" t="s">
        <v>2888</v>
      </c>
      <c r="G940" s="1"/>
      <c r="H940" s="1" t="s">
        <v>261</v>
      </c>
      <c r="I940" s="1" t="s">
        <v>2889</v>
      </c>
      <c r="J940" s="80"/>
      <c r="K940" s="80"/>
      <c r="L940" s="80"/>
      <c r="M940" s="80"/>
      <c r="N940" s="80"/>
      <c r="O940" s="80"/>
      <c r="P940" s="80"/>
      <c r="Q940" s="80"/>
    </row>
    <row r="941" spans="1:17" customFormat="1" ht="42.75">
      <c r="A941" t="s">
        <v>239</v>
      </c>
      <c r="B941" t="s">
        <v>240</v>
      </c>
      <c r="C941" t="s">
        <v>2887</v>
      </c>
      <c r="D941" s="5">
        <v>46065</v>
      </c>
      <c r="E941" s="5">
        <v>46065</v>
      </c>
      <c r="F941" s="120" t="s">
        <v>2890</v>
      </c>
      <c r="G941" s="1"/>
      <c r="H941" s="1" t="s">
        <v>480</v>
      </c>
      <c r="I941" s="1" t="s">
        <v>2891</v>
      </c>
      <c r="J941" s="80"/>
      <c r="K941" s="80"/>
      <c r="L941" s="80"/>
      <c r="M941" s="80"/>
      <c r="N941" s="80"/>
      <c r="O941" s="80"/>
      <c r="P941" s="80"/>
      <c r="Q941" s="80"/>
    </row>
    <row r="942" spans="1:17" customFormat="1" ht="42.75">
      <c r="A942" t="s">
        <v>239</v>
      </c>
      <c r="B942" t="s">
        <v>240</v>
      </c>
      <c r="C942" t="s">
        <v>2892</v>
      </c>
      <c r="D942" s="5">
        <v>46065</v>
      </c>
      <c r="E942" s="5">
        <v>46065</v>
      </c>
      <c r="F942" s="120" t="s">
        <v>2893</v>
      </c>
      <c r="G942" s="1"/>
      <c r="H942" s="1" t="s">
        <v>261</v>
      </c>
      <c r="I942" s="1" t="s">
        <v>2894</v>
      </c>
      <c r="J942" s="80"/>
      <c r="K942" s="80"/>
      <c r="L942" s="80"/>
      <c r="M942" s="80"/>
      <c r="N942" s="80"/>
      <c r="O942" s="80"/>
      <c r="P942" s="80"/>
      <c r="Q942" s="80"/>
    </row>
    <row r="943" spans="1:17" customFormat="1" ht="42.75">
      <c r="A943" t="s">
        <v>239</v>
      </c>
      <c r="B943" t="s">
        <v>240</v>
      </c>
      <c r="C943" t="s">
        <v>2892</v>
      </c>
      <c r="D943" s="5">
        <v>46065</v>
      </c>
      <c r="E943" s="5">
        <v>46065</v>
      </c>
      <c r="F943" s="120" t="s">
        <v>2895</v>
      </c>
      <c r="G943" s="1"/>
      <c r="H943" s="1" t="s">
        <v>747</v>
      </c>
      <c r="I943" s="1" t="s">
        <v>2896</v>
      </c>
      <c r="J943" s="80"/>
      <c r="K943" s="80"/>
      <c r="L943" s="80"/>
      <c r="M943" s="80"/>
      <c r="N943" s="80"/>
      <c r="O943" s="80"/>
      <c r="P943" s="80"/>
      <c r="Q943" s="80"/>
    </row>
    <row r="944" spans="1:17" customFormat="1">
      <c r="A944" t="s">
        <v>239</v>
      </c>
      <c r="B944" t="s">
        <v>240</v>
      </c>
      <c r="C944" t="s">
        <v>2897</v>
      </c>
      <c r="D944" s="5">
        <v>46066</v>
      </c>
      <c r="E944" s="5">
        <v>46066</v>
      </c>
      <c r="F944" s="120" t="s">
        <v>2898</v>
      </c>
      <c r="G944" s="1" t="s">
        <v>2899</v>
      </c>
      <c r="H944" s="1"/>
      <c r="I944" s="1" t="s">
        <v>2900</v>
      </c>
      <c r="J944" s="80"/>
      <c r="K944" s="80"/>
      <c r="L944" s="80"/>
      <c r="M944" s="80"/>
      <c r="N944" s="80"/>
      <c r="O944" s="80"/>
      <c r="P944" s="80"/>
      <c r="Q944" s="80"/>
    </row>
    <row r="945" spans="1:17" customFormat="1" ht="28.5">
      <c r="A945" t="s">
        <v>239</v>
      </c>
      <c r="B945" t="s">
        <v>240</v>
      </c>
      <c r="C945" t="s">
        <v>2901</v>
      </c>
      <c r="D945" s="5">
        <v>46066</v>
      </c>
      <c r="E945" s="5">
        <v>46066</v>
      </c>
      <c r="F945" s="120" t="s">
        <v>2902</v>
      </c>
      <c r="G945" s="1"/>
      <c r="H945" s="1" t="s">
        <v>254</v>
      </c>
      <c r="I945" s="1" t="s">
        <v>2903</v>
      </c>
      <c r="J945" s="80"/>
      <c r="K945" s="80"/>
      <c r="L945" s="80"/>
      <c r="M945" s="80"/>
      <c r="N945" s="80"/>
      <c r="O945" s="80"/>
      <c r="P945" s="80"/>
      <c r="Q945" s="80"/>
    </row>
    <row r="946" spans="1:17" customFormat="1" ht="42.75">
      <c r="A946" t="s">
        <v>239</v>
      </c>
      <c r="B946" t="s">
        <v>240</v>
      </c>
      <c r="C946" t="s">
        <v>2901</v>
      </c>
      <c r="D946" s="5">
        <v>46066</v>
      </c>
      <c r="E946" s="5">
        <v>46066</v>
      </c>
      <c r="F946" s="120" t="s">
        <v>2904</v>
      </c>
      <c r="G946" s="1"/>
      <c r="H946" s="1" t="s">
        <v>295</v>
      </c>
      <c r="I946" s="1" t="s">
        <v>2905</v>
      </c>
      <c r="J946" s="80"/>
      <c r="K946" s="80"/>
      <c r="L946" s="80"/>
      <c r="M946" s="80"/>
      <c r="N946" s="80"/>
      <c r="O946" s="80"/>
      <c r="P946" s="80"/>
      <c r="Q946" s="80"/>
    </row>
    <row r="947" spans="1:17" customFormat="1" ht="28.5">
      <c r="A947" t="s">
        <v>239</v>
      </c>
      <c r="B947" t="s">
        <v>240</v>
      </c>
      <c r="C947" t="s">
        <v>2906</v>
      </c>
      <c r="D947" s="5">
        <v>46066</v>
      </c>
      <c r="E947" s="5">
        <v>46066</v>
      </c>
      <c r="F947" s="120" t="s">
        <v>2907</v>
      </c>
      <c r="G947" s="1"/>
      <c r="H947" s="1" t="s">
        <v>243</v>
      </c>
      <c r="I947" s="1" t="s">
        <v>2908</v>
      </c>
      <c r="J947" s="80"/>
      <c r="K947" s="80"/>
      <c r="L947" s="80"/>
      <c r="M947" s="80"/>
      <c r="N947" s="80"/>
      <c r="O947" s="80"/>
      <c r="P947" s="80"/>
      <c r="Q947" s="80"/>
    </row>
    <row r="948" spans="1:17" customFormat="1" ht="42.75">
      <c r="A948" t="s">
        <v>239</v>
      </c>
      <c r="B948" t="s">
        <v>240</v>
      </c>
      <c r="C948" t="s">
        <v>2906</v>
      </c>
      <c r="D948" s="5">
        <v>46066</v>
      </c>
      <c r="E948" s="5">
        <v>46066</v>
      </c>
      <c r="F948" s="120" t="s">
        <v>2909</v>
      </c>
      <c r="G948" s="1"/>
      <c r="H948" s="1" t="s">
        <v>2910</v>
      </c>
      <c r="I948" s="1" t="s">
        <v>2911</v>
      </c>
      <c r="J948" s="80"/>
      <c r="K948" s="80"/>
      <c r="L948" s="80"/>
      <c r="M948" s="80"/>
      <c r="N948" s="80"/>
      <c r="O948" s="80"/>
      <c r="P948" s="80"/>
      <c r="Q948" s="80"/>
    </row>
    <row r="949" spans="1:17" customFormat="1" ht="28.5">
      <c r="A949" t="s">
        <v>239</v>
      </c>
      <c r="B949" t="s">
        <v>240</v>
      </c>
      <c r="C949" t="s">
        <v>2912</v>
      </c>
      <c r="D949" s="5">
        <v>46066</v>
      </c>
      <c r="E949" s="5">
        <v>46066</v>
      </c>
      <c r="F949" s="120" t="s">
        <v>2913</v>
      </c>
      <c r="G949" s="1"/>
      <c r="H949" s="1" t="s">
        <v>261</v>
      </c>
      <c r="I949" s="1" t="s">
        <v>2914</v>
      </c>
      <c r="J949" s="80"/>
      <c r="K949" s="80"/>
      <c r="L949" s="80"/>
      <c r="M949" s="80"/>
      <c r="N949" s="80"/>
      <c r="O949" s="80"/>
      <c r="P949" s="80"/>
      <c r="Q949" s="80"/>
    </row>
    <row r="950" spans="1:17" customFormat="1" ht="42.75">
      <c r="A950" t="s">
        <v>239</v>
      </c>
      <c r="B950" t="s">
        <v>240</v>
      </c>
      <c r="C950" t="s">
        <v>2912</v>
      </c>
      <c r="D950" s="5">
        <v>46066</v>
      </c>
      <c r="E950" s="5">
        <v>46066</v>
      </c>
      <c r="F950" s="120" t="s">
        <v>2915</v>
      </c>
      <c r="G950" s="1"/>
      <c r="H950" s="1" t="s">
        <v>405</v>
      </c>
      <c r="I950" s="1" t="s">
        <v>2916</v>
      </c>
      <c r="J950" s="80"/>
      <c r="K950" s="80"/>
      <c r="L950" s="80"/>
      <c r="M950" s="80"/>
      <c r="N950" s="80"/>
      <c r="O950" s="80"/>
      <c r="P950" s="80"/>
      <c r="Q950" s="80"/>
    </row>
    <row r="951" spans="1:17" customFormat="1" ht="28.5">
      <c r="A951" t="s">
        <v>239</v>
      </c>
      <c r="B951" t="s">
        <v>240</v>
      </c>
      <c r="C951" t="s">
        <v>2917</v>
      </c>
      <c r="D951" s="5">
        <v>46067</v>
      </c>
      <c r="E951" s="5">
        <v>46067</v>
      </c>
      <c r="F951" s="120" t="s">
        <v>2918</v>
      </c>
      <c r="G951" s="1"/>
      <c r="H951" s="1" t="s">
        <v>261</v>
      </c>
      <c r="I951" s="1" t="s">
        <v>2919</v>
      </c>
      <c r="J951" s="80"/>
      <c r="K951" s="80"/>
      <c r="L951" s="80"/>
      <c r="M951" s="80"/>
      <c r="N951" s="80"/>
      <c r="O951" s="80"/>
      <c r="P951" s="80"/>
      <c r="Q951" s="80"/>
    </row>
    <row r="952" spans="1:17" customFormat="1" ht="42.75">
      <c r="A952" t="s">
        <v>239</v>
      </c>
      <c r="B952" t="s">
        <v>240</v>
      </c>
      <c r="C952" t="s">
        <v>2917</v>
      </c>
      <c r="D952" s="5">
        <v>46067</v>
      </c>
      <c r="E952" s="5">
        <v>46067</v>
      </c>
      <c r="F952" s="120" t="s">
        <v>2920</v>
      </c>
      <c r="G952" s="1"/>
      <c r="H952" s="1" t="s">
        <v>1344</v>
      </c>
      <c r="I952" s="1" t="s">
        <v>2921</v>
      </c>
      <c r="J952" s="80"/>
      <c r="K952" s="80"/>
      <c r="L952" s="80"/>
      <c r="M952" s="80"/>
      <c r="N952" s="80"/>
      <c r="O952" s="80"/>
      <c r="P952" s="80"/>
      <c r="Q952" s="80"/>
    </row>
    <row r="953" spans="1:17" customFormat="1" ht="28.5">
      <c r="A953" t="s">
        <v>239</v>
      </c>
      <c r="B953" t="s">
        <v>240</v>
      </c>
      <c r="C953" t="s">
        <v>2922</v>
      </c>
      <c r="D953" s="5">
        <v>46069</v>
      </c>
      <c r="E953" s="5">
        <v>46069</v>
      </c>
      <c r="F953" s="120" t="s">
        <v>2923</v>
      </c>
      <c r="G953" s="1"/>
      <c r="H953" s="1" t="s">
        <v>261</v>
      </c>
      <c r="I953" s="1" t="s">
        <v>2924</v>
      </c>
      <c r="J953" s="80"/>
      <c r="K953" s="80"/>
      <c r="L953" s="80"/>
      <c r="M953" s="80"/>
      <c r="N953" s="80"/>
      <c r="O953" s="80"/>
      <c r="P953" s="80"/>
      <c r="Q953" s="80"/>
    </row>
    <row r="954" spans="1:17" customFormat="1" ht="42.75">
      <c r="A954" t="s">
        <v>239</v>
      </c>
      <c r="B954" t="s">
        <v>240</v>
      </c>
      <c r="C954" t="s">
        <v>2922</v>
      </c>
      <c r="D954" s="5">
        <v>46069</v>
      </c>
      <c r="E954" s="5">
        <v>46069</v>
      </c>
      <c r="F954" s="120" t="s">
        <v>2925</v>
      </c>
      <c r="G954" s="1"/>
      <c r="H954" s="1" t="s">
        <v>467</v>
      </c>
      <c r="I954" s="1" t="s">
        <v>2926</v>
      </c>
      <c r="J954" s="80"/>
      <c r="K954" s="80"/>
      <c r="L954" s="80"/>
      <c r="M954" s="80"/>
      <c r="N954" s="80"/>
      <c r="O954" s="80"/>
      <c r="P954" s="80"/>
      <c r="Q954" s="80"/>
    </row>
    <row r="955" spans="1:17" customFormat="1" ht="28.5">
      <c r="A955" t="s">
        <v>239</v>
      </c>
      <c r="B955" t="s">
        <v>240</v>
      </c>
      <c r="C955" t="s">
        <v>2927</v>
      </c>
      <c r="D955" s="5">
        <v>46069</v>
      </c>
      <c r="E955" s="5">
        <v>46069</v>
      </c>
      <c r="F955" s="120" t="s">
        <v>2928</v>
      </c>
      <c r="G955" s="1"/>
      <c r="H955" s="1" t="s">
        <v>261</v>
      </c>
      <c r="I955" s="1" t="s">
        <v>2929</v>
      </c>
      <c r="J955" s="80"/>
      <c r="K955" s="80"/>
      <c r="L955" s="80"/>
      <c r="M955" s="80"/>
      <c r="N955" s="80"/>
      <c r="O955" s="80"/>
      <c r="P955" s="80"/>
      <c r="Q955" s="80"/>
    </row>
    <row r="956" spans="1:17" customFormat="1" ht="42.75">
      <c r="A956" t="s">
        <v>239</v>
      </c>
      <c r="B956" t="s">
        <v>240</v>
      </c>
      <c r="C956" t="s">
        <v>2927</v>
      </c>
      <c r="D956" s="5">
        <v>46069</v>
      </c>
      <c r="E956" s="5">
        <v>46069</v>
      </c>
      <c r="F956" s="120" t="s">
        <v>2930</v>
      </c>
      <c r="G956" s="1"/>
      <c r="H956" s="1" t="s">
        <v>2931</v>
      </c>
      <c r="I956" s="1" t="s">
        <v>2932</v>
      </c>
      <c r="J956" s="80"/>
      <c r="K956" s="80"/>
      <c r="L956" s="80"/>
      <c r="M956" s="80"/>
      <c r="N956" s="80"/>
      <c r="O956" s="80"/>
      <c r="P956" s="80"/>
      <c r="Q956" s="80"/>
    </row>
    <row r="957" spans="1:17" customFormat="1" ht="28.5">
      <c r="A957" t="s">
        <v>239</v>
      </c>
      <c r="B957" t="s">
        <v>240</v>
      </c>
      <c r="C957" t="s">
        <v>2933</v>
      </c>
      <c r="D957" s="5">
        <v>46069</v>
      </c>
      <c r="E957" s="5">
        <v>46069</v>
      </c>
      <c r="F957" s="120" t="s">
        <v>2934</v>
      </c>
      <c r="G957" s="1"/>
      <c r="H957" s="1" t="s">
        <v>254</v>
      </c>
      <c r="I957" s="1" t="s">
        <v>2935</v>
      </c>
      <c r="J957" s="80"/>
      <c r="K957" s="80"/>
      <c r="L957" s="80"/>
      <c r="M957" s="80"/>
      <c r="N957" s="80"/>
      <c r="O957" s="80"/>
      <c r="P957" s="80"/>
      <c r="Q957" s="80"/>
    </row>
    <row r="958" spans="1:17" customFormat="1" ht="42.75">
      <c r="A958" t="s">
        <v>239</v>
      </c>
      <c r="B958" t="s">
        <v>240</v>
      </c>
      <c r="C958" t="s">
        <v>2933</v>
      </c>
      <c r="D958" s="5">
        <v>46069</v>
      </c>
      <c r="E958" s="5">
        <v>46069</v>
      </c>
      <c r="F958" s="120" t="s">
        <v>2936</v>
      </c>
      <c r="G958" s="1"/>
      <c r="H958" s="1" t="s">
        <v>2937</v>
      </c>
      <c r="I958" s="1" t="s">
        <v>2938</v>
      </c>
      <c r="J958" s="80"/>
      <c r="K958" s="80"/>
      <c r="L958" s="80"/>
      <c r="M958" s="80"/>
      <c r="N958" s="80"/>
      <c r="O958" s="80"/>
      <c r="P958" s="80"/>
      <c r="Q958" s="80"/>
    </row>
    <row r="959" spans="1:17" customFormat="1">
      <c r="B959" t="s">
        <v>240</v>
      </c>
      <c r="C959" t="s">
        <v>2939</v>
      </c>
      <c r="D959" s="5">
        <v>46069</v>
      </c>
      <c r="E959" s="5">
        <v>46069</v>
      </c>
      <c r="F959" s="120" t="s">
        <v>2940</v>
      </c>
      <c r="G959" s="1"/>
      <c r="H959" s="1" t="s">
        <v>254</v>
      </c>
      <c r="I959" s="1" t="s">
        <v>2941</v>
      </c>
      <c r="J959" s="80"/>
      <c r="K959" s="80"/>
      <c r="L959" s="80"/>
      <c r="M959" s="80"/>
      <c r="N959" s="80"/>
      <c r="O959" s="80"/>
      <c r="P959" s="80"/>
      <c r="Q959" s="80"/>
    </row>
    <row r="960" spans="1:17" customFormat="1">
      <c r="B960" t="s">
        <v>240</v>
      </c>
      <c r="C960" t="s">
        <v>2939</v>
      </c>
      <c r="D960" s="5">
        <v>46069</v>
      </c>
      <c r="E960" s="5">
        <v>46069</v>
      </c>
      <c r="F960" s="120" t="s">
        <v>2942</v>
      </c>
      <c r="G960" s="1"/>
      <c r="H960" s="1" t="s">
        <v>1545</v>
      </c>
      <c r="I960" s="1" t="s">
        <v>2943</v>
      </c>
      <c r="J960" s="80"/>
      <c r="K960" s="80"/>
      <c r="L960" s="80"/>
      <c r="M960" s="80"/>
      <c r="N960" s="80"/>
      <c r="O960" s="80"/>
      <c r="P960" s="80"/>
      <c r="Q960" s="80"/>
    </row>
    <row r="961" spans="1:17" customFormat="1">
      <c r="A961" t="s">
        <v>239</v>
      </c>
      <c r="B961" t="s">
        <v>240</v>
      </c>
      <c r="C961" t="s">
        <v>2944</v>
      </c>
      <c r="D961" s="5">
        <v>46070</v>
      </c>
      <c r="E961" s="5">
        <v>46070</v>
      </c>
      <c r="F961" s="120" t="s">
        <v>2945</v>
      </c>
      <c r="G961" s="1" t="s">
        <v>2946</v>
      </c>
      <c r="H961" s="1"/>
      <c r="I961" s="1" t="s">
        <v>2947</v>
      </c>
      <c r="J961" s="80"/>
      <c r="K961" s="80"/>
      <c r="L961" s="80"/>
      <c r="M961" s="80"/>
      <c r="N961" s="80"/>
      <c r="O961" s="80"/>
      <c r="P961" s="80"/>
      <c r="Q961" s="80"/>
    </row>
    <row r="962" spans="1:17" customFormat="1" ht="42.75">
      <c r="A962" t="s">
        <v>239</v>
      </c>
      <c r="B962" t="s">
        <v>240</v>
      </c>
      <c r="C962" t="s">
        <v>2948</v>
      </c>
      <c r="D962" s="5">
        <v>46070</v>
      </c>
      <c r="E962" s="5">
        <v>46070</v>
      </c>
      <c r="F962" s="120" t="s">
        <v>2949</v>
      </c>
      <c r="G962" s="1"/>
      <c r="H962" s="1" t="s">
        <v>650</v>
      </c>
      <c r="I962" s="1" t="s">
        <v>2950</v>
      </c>
      <c r="J962" s="80"/>
      <c r="K962" s="80"/>
      <c r="L962" s="80"/>
      <c r="M962" s="80"/>
      <c r="N962" s="80"/>
      <c r="O962" s="80"/>
      <c r="P962" s="80"/>
      <c r="Q962" s="80"/>
    </row>
    <row r="963" spans="1:17" customFormat="1" ht="28.5">
      <c r="A963" t="s">
        <v>239</v>
      </c>
      <c r="B963" t="s">
        <v>240</v>
      </c>
      <c r="C963" t="s">
        <v>2951</v>
      </c>
      <c r="D963" s="5">
        <v>46070</v>
      </c>
      <c r="E963" s="5">
        <v>46070</v>
      </c>
      <c r="F963" s="120" t="s">
        <v>2952</v>
      </c>
      <c r="G963" s="1"/>
      <c r="H963" s="1" t="s">
        <v>527</v>
      </c>
      <c r="I963" s="1" t="s">
        <v>2953</v>
      </c>
      <c r="J963" s="80"/>
      <c r="K963" s="80"/>
      <c r="L963" s="80"/>
      <c r="M963" s="80"/>
      <c r="N963" s="80"/>
      <c r="O963" s="80"/>
      <c r="P963" s="80"/>
      <c r="Q963" s="80"/>
    </row>
    <row r="964" spans="1:17" customFormat="1" ht="42.75">
      <c r="A964" t="s">
        <v>239</v>
      </c>
      <c r="B964" t="s">
        <v>240</v>
      </c>
      <c r="C964" t="s">
        <v>2954</v>
      </c>
      <c r="D964" s="5">
        <v>46071</v>
      </c>
      <c r="E964" s="5">
        <v>46071</v>
      </c>
      <c r="F964" s="120" t="s">
        <v>2497</v>
      </c>
      <c r="G964" s="1"/>
      <c r="H964" s="1" t="s">
        <v>313</v>
      </c>
      <c r="I964" s="1" t="s">
        <v>2955</v>
      </c>
      <c r="J964" s="80"/>
      <c r="K964" s="80"/>
      <c r="L964" s="80"/>
      <c r="M964" s="80"/>
      <c r="N964" s="80"/>
      <c r="O964" s="80"/>
      <c r="P964" s="80"/>
      <c r="Q964" s="80"/>
    </row>
    <row r="965" spans="1:17" customFormat="1" ht="28.5">
      <c r="A965" t="s">
        <v>239</v>
      </c>
      <c r="B965" t="s">
        <v>240</v>
      </c>
      <c r="C965" t="s">
        <v>2956</v>
      </c>
      <c r="D965" s="5">
        <v>46071</v>
      </c>
      <c r="E965" s="5">
        <v>46071</v>
      </c>
      <c r="F965" s="120" t="s">
        <v>2957</v>
      </c>
      <c r="G965" s="1"/>
      <c r="H965" s="1" t="s">
        <v>254</v>
      </c>
      <c r="I965" s="1" t="s">
        <v>2958</v>
      </c>
      <c r="J965" s="80"/>
      <c r="K965" s="80"/>
      <c r="L965" s="80"/>
      <c r="M965" s="80"/>
      <c r="N965" s="80"/>
      <c r="O965" s="80"/>
      <c r="P965" s="80"/>
      <c r="Q965" s="80"/>
    </row>
    <row r="966" spans="1:17" customFormat="1" ht="42.75">
      <c r="A966" t="s">
        <v>239</v>
      </c>
      <c r="B966" t="s">
        <v>240</v>
      </c>
      <c r="C966" t="s">
        <v>2956</v>
      </c>
      <c r="D966" s="5">
        <v>46071</v>
      </c>
      <c r="E966" s="5">
        <v>46071</v>
      </c>
      <c r="F966" s="120" t="s">
        <v>2959</v>
      </c>
      <c r="G966" s="1"/>
      <c r="H966" s="1" t="s">
        <v>2960</v>
      </c>
      <c r="I966" s="1" t="s">
        <v>2961</v>
      </c>
      <c r="J966" s="80"/>
      <c r="K966" s="80"/>
      <c r="L966" s="80"/>
      <c r="M966" s="80"/>
      <c r="N966" s="80"/>
      <c r="O966" s="80"/>
      <c r="P966" s="80"/>
      <c r="Q966" s="80"/>
    </row>
    <row r="967" spans="1:17" customFormat="1" ht="28.5">
      <c r="A967" t="s">
        <v>2962</v>
      </c>
      <c r="B967" t="s">
        <v>240</v>
      </c>
      <c r="C967" t="s">
        <v>2963</v>
      </c>
      <c r="D967" s="5">
        <v>46071</v>
      </c>
      <c r="E967" s="5">
        <v>46071</v>
      </c>
      <c r="F967" s="120" t="s">
        <v>2964</v>
      </c>
      <c r="G967" s="1" t="s">
        <v>2965</v>
      </c>
      <c r="H967" s="1"/>
      <c r="I967" s="1" t="s">
        <v>2966</v>
      </c>
      <c r="J967" s="80"/>
      <c r="K967" s="80"/>
      <c r="L967" s="80"/>
      <c r="M967" s="80"/>
      <c r="N967" s="80"/>
      <c r="O967" s="80"/>
      <c r="P967" s="80"/>
      <c r="Q967" s="80"/>
    </row>
    <row r="968" spans="1:17" customFormat="1">
      <c r="B968" t="s">
        <v>240</v>
      </c>
      <c r="C968" t="s">
        <v>2967</v>
      </c>
      <c r="D968" s="5">
        <v>46071</v>
      </c>
      <c r="E968" s="5">
        <v>46071</v>
      </c>
      <c r="F968" s="120" t="s">
        <v>2968</v>
      </c>
      <c r="G968" s="1"/>
      <c r="H968" s="1" t="s">
        <v>277</v>
      </c>
      <c r="I968" s="1" t="s">
        <v>2969</v>
      </c>
      <c r="J968" s="80"/>
      <c r="K968" s="80"/>
      <c r="L968" s="80"/>
      <c r="M968" s="80"/>
      <c r="N968" s="80"/>
      <c r="O968" s="80"/>
      <c r="P968" s="80"/>
      <c r="Q968" s="80"/>
    </row>
    <row r="969" spans="1:17" customFormat="1" ht="28.5">
      <c r="A969" t="s">
        <v>239</v>
      </c>
      <c r="B969" t="s">
        <v>240</v>
      </c>
      <c r="C969" t="s">
        <v>2970</v>
      </c>
      <c r="D969" s="5">
        <v>46072</v>
      </c>
      <c r="E969" s="5">
        <v>46072</v>
      </c>
      <c r="F969" s="120" t="s">
        <v>2971</v>
      </c>
      <c r="G969" s="1"/>
      <c r="H969" s="1" t="s">
        <v>261</v>
      </c>
      <c r="I969" s="1" t="s">
        <v>2972</v>
      </c>
      <c r="J969" s="80"/>
      <c r="K969" s="80"/>
      <c r="L969" s="80"/>
      <c r="M969" s="80"/>
      <c r="N969" s="80"/>
      <c r="O969" s="80"/>
      <c r="P969" s="80"/>
      <c r="Q969" s="80"/>
    </row>
    <row r="970" spans="1:17" customFormat="1" ht="42.75">
      <c r="A970" t="s">
        <v>239</v>
      </c>
      <c r="B970" t="s">
        <v>240</v>
      </c>
      <c r="C970" t="s">
        <v>2970</v>
      </c>
      <c r="D970" s="5">
        <v>46072</v>
      </c>
      <c r="E970" s="5">
        <v>46072</v>
      </c>
      <c r="F970" s="120" t="s">
        <v>2973</v>
      </c>
      <c r="G970" s="1"/>
      <c r="H970" s="1" t="s">
        <v>264</v>
      </c>
      <c r="I970" s="1" t="s">
        <v>2974</v>
      </c>
      <c r="J970" s="80"/>
      <c r="K970" s="80"/>
      <c r="L970" s="80"/>
      <c r="M970" s="80"/>
      <c r="N970" s="80"/>
      <c r="O970" s="80"/>
      <c r="P970" s="80"/>
      <c r="Q970" s="80"/>
    </row>
    <row r="971" spans="1:17" customFormat="1" ht="28.5">
      <c r="A971" t="s">
        <v>239</v>
      </c>
      <c r="B971" t="s">
        <v>240</v>
      </c>
      <c r="C971" t="s">
        <v>2975</v>
      </c>
      <c r="D971" s="5">
        <v>46072</v>
      </c>
      <c r="E971" s="5">
        <v>46072</v>
      </c>
      <c r="F971" s="120" t="s">
        <v>2976</v>
      </c>
      <c r="G971" s="1"/>
      <c r="H971" s="1" t="s">
        <v>433</v>
      </c>
      <c r="I971" s="1" t="s">
        <v>2977</v>
      </c>
      <c r="J971" s="80"/>
      <c r="K971" s="80"/>
      <c r="L971" s="80"/>
      <c r="M971" s="80"/>
      <c r="N971" s="80"/>
      <c r="O971" s="80"/>
      <c r="P971" s="80"/>
      <c r="Q971" s="80"/>
    </row>
    <row r="972" spans="1:17" customFormat="1" ht="42.75">
      <c r="A972" t="s">
        <v>239</v>
      </c>
      <c r="B972" t="s">
        <v>240</v>
      </c>
      <c r="C972" t="s">
        <v>2978</v>
      </c>
      <c r="D972" s="5">
        <v>46073</v>
      </c>
      <c r="E972" s="5">
        <v>46073</v>
      </c>
      <c r="F972" s="120" t="s">
        <v>2979</v>
      </c>
      <c r="G972" s="1"/>
      <c r="H972" s="1" t="s">
        <v>2980</v>
      </c>
      <c r="I972" s="1" t="s">
        <v>2981</v>
      </c>
      <c r="J972" s="80"/>
      <c r="K972" s="80"/>
      <c r="L972" s="80"/>
      <c r="M972" s="80"/>
      <c r="N972" s="80"/>
      <c r="O972" s="80"/>
      <c r="P972" s="80"/>
      <c r="Q972" s="80"/>
    </row>
    <row r="973" spans="1:17" customFormat="1">
      <c r="A973" t="s">
        <v>239</v>
      </c>
      <c r="B973" t="s">
        <v>240</v>
      </c>
      <c r="C973" t="s">
        <v>2982</v>
      </c>
      <c r="D973" s="5">
        <v>46073</v>
      </c>
      <c r="E973" s="5">
        <v>46073</v>
      </c>
      <c r="F973" s="120" t="s">
        <v>732</v>
      </c>
      <c r="G973" s="1"/>
      <c r="H973" s="1" t="s">
        <v>254</v>
      </c>
      <c r="I973" s="1" t="s">
        <v>2983</v>
      </c>
      <c r="J973" s="80"/>
      <c r="K973" s="80"/>
      <c r="L973" s="80"/>
      <c r="M973" s="80"/>
      <c r="N973" s="80"/>
      <c r="O973" s="80"/>
      <c r="P973" s="80"/>
      <c r="Q973" s="80"/>
    </row>
    <row r="974" spans="1:17" customFormat="1" ht="28.5">
      <c r="A974" t="s">
        <v>239</v>
      </c>
      <c r="B974" t="s">
        <v>240</v>
      </c>
      <c r="C974" t="s">
        <v>2982</v>
      </c>
      <c r="D974" s="5">
        <v>46073</v>
      </c>
      <c r="E974" s="5">
        <v>46073</v>
      </c>
      <c r="F974" s="120" t="s">
        <v>734</v>
      </c>
      <c r="G974" s="1"/>
      <c r="H974" s="1" t="s">
        <v>2984</v>
      </c>
      <c r="I974" s="1" t="s">
        <v>2985</v>
      </c>
      <c r="J974" s="80"/>
      <c r="K974" s="80"/>
      <c r="L974" s="80"/>
      <c r="M974" s="80"/>
      <c r="N974" s="80"/>
      <c r="O974" s="80"/>
      <c r="P974" s="80"/>
      <c r="Q974" s="80"/>
    </row>
    <row r="975" spans="1:17" customFormat="1">
      <c r="A975" t="s">
        <v>239</v>
      </c>
      <c r="B975" t="s">
        <v>240</v>
      </c>
      <c r="C975" t="s">
        <v>2986</v>
      </c>
      <c r="D975" s="5">
        <v>46073</v>
      </c>
      <c r="E975" s="5">
        <v>46073</v>
      </c>
      <c r="F975" s="120" t="s">
        <v>732</v>
      </c>
      <c r="G975" s="1"/>
      <c r="H975" s="1" t="s">
        <v>254</v>
      </c>
      <c r="I975" s="1" t="s">
        <v>2987</v>
      </c>
      <c r="J975" s="80"/>
      <c r="K975" s="80"/>
      <c r="L975" s="80"/>
      <c r="M975" s="80"/>
      <c r="N975" s="80"/>
      <c r="O975" s="80"/>
      <c r="P975" s="80"/>
      <c r="Q975" s="80"/>
    </row>
    <row r="976" spans="1:17" customFormat="1" ht="28.5">
      <c r="A976" t="s">
        <v>239</v>
      </c>
      <c r="B976" t="s">
        <v>240</v>
      </c>
      <c r="C976" t="s">
        <v>2986</v>
      </c>
      <c r="D976" s="5">
        <v>46073</v>
      </c>
      <c r="E976" s="5">
        <v>46073</v>
      </c>
      <c r="F976" s="120" t="s">
        <v>734</v>
      </c>
      <c r="G976" s="1"/>
      <c r="H976" s="1" t="s">
        <v>2988</v>
      </c>
      <c r="I976" s="129" t="s">
        <v>3276</v>
      </c>
      <c r="J976" s="80"/>
      <c r="K976" s="80"/>
      <c r="L976" s="80"/>
      <c r="M976" s="80"/>
      <c r="N976" s="80"/>
      <c r="O976" s="80"/>
      <c r="P976" s="80"/>
      <c r="Q976" s="80"/>
    </row>
    <row r="977" spans="1:17" customFormat="1">
      <c r="A977" t="s">
        <v>239</v>
      </c>
      <c r="B977" t="s">
        <v>240</v>
      </c>
      <c r="C977" t="s">
        <v>2989</v>
      </c>
      <c r="D977" s="5">
        <v>46073</v>
      </c>
      <c r="E977" s="5">
        <v>46073</v>
      </c>
      <c r="F977" s="120" t="s">
        <v>738</v>
      </c>
      <c r="G977" s="1"/>
      <c r="H977" s="1" t="s">
        <v>254</v>
      </c>
      <c r="I977" s="1" t="s">
        <v>2990</v>
      </c>
      <c r="J977" s="80"/>
      <c r="K977" s="80"/>
      <c r="L977" s="80"/>
      <c r="M977" s="80"/>
      <c r="N977" s="80"/>
      <c r="O977" s="80"/>
      <c r="P977" s="80"/>
      <c r="Q977" s="80"/>
    </row>
    <row r="978" spans="1:17" customFormat="1" ht="28.5">
      <c r="A978" t="s">
        <v>239</v>
      </c>
      <c r="B978" t="s">
        <v>240</v>
      </c>
      <c r="C978" t="s">
        <v>2989</v>
      </c>
      <c r="D978" s="5">
        <v>46073</v>
      </c>
      <c r="E978" s="5">
        <v>46073</v>
      </c>
      <c r="F978" s="120" t="s">
        <v>740</v>
      </c>
      <c r="G978" s="1"/>
      <c r="H978" s="1" t="s">
        <v>2991</v>
      </c>
      <c r="I978" s="1" t="s">
        <v>2992</v>
      </c>
      <c r="J978" s="80"/>
      <c r="K978" s="80"/>
      <c r="L978" s="80"/>
      <c r="M978" s="80"/>
      <c r="N978" s="80"/>
      <c r="O978" s="80"/>
      <c r="P978" s="80"/>
      <c r="Q978" s="80"/>
    </row>
    <row r="979" spans="1:17" customFormat="1" ht="28.5">
      <c r="A979" t="s">
        <v>239</v>
      </c>
      <c r="B979" t="s">
        <v>240</v>
      </c>
      <c r="C979" t="s">
        <v>2993</v>
      </c>
      <c r="D979" s="5">
        <v>46073</v>
      </c>
      <c r="E979" s="5">
        <v>46073</v>
      </c>
      <c r="F979" s="120" t="s">
        <v>2994</v>
      </c>
      <c r="G979" s="1"/>
      <c r="H979" s="1" t="s">
        <v>261</v>
      </c>
      <c r="I979" s="1" t="s">
        <v>2995</v>
      </c>
      <c r="J979" s="80"/>
      <c r="K979" s="80"/>
      <c r="L979" s="80"/>
      <c r="M979" s="80"/>
      <c r="N979" s="80"/>
      <c r="O979" s="80"/>
      <c r="P979" s="80"/>
      <c r="Q979" s="80"/>
    </row>
    <row r="980" spans="1:17" customFormat="1" ht="42.75">
      <c r="A980" t="s">
        <v>239</v>
      </c>
      <c r="B980" t="s">
        <v>240</v>
      </c>
      <c r="C980" t="s">
        <v>2993</v>
      </c>
      <c r="D980" s="5">
        <v>46073</v>
      </c>
      <c r="E980" s="5">
        <v>46073</v>
      </c>
      <c r="F980" s="120" t="s">
        <v>2996</v>
      </c>
      <c r="G980" s="1"/>
      <c r="H980" s="1" t="s">
        <v>307</v>
      </c>
      <c r="I980" s="1" t="s">
        <v>2997</v>
      </c>
      <c r="J980" s="80"/>
      <c r="K980" s="80"/>
      <c r="L980" s="80"/>
      <c r="M980" s="80"/>
      <c r="N980" s="80"/>
      <c r="O980" s="80"/>
      <c r="P980" s="80"/>
      <c r="Q980" s="80"/>
    </row>
    <row r="981" spans="1:17" customFormat="1" ht="28.5">
      <c r="A981" t="s">
        <v>239</v>
      </c>
      <c r="B981" t="s">
        <v>240</v>
      </c>
      <c r="C981" t="s">
        <v>2998</v>
      </c>
      <c r="D981" s="5">
        <v>46073</v>
      </c>
      <c r="E981" s="5">
        <v>46073</v>
      </c>
      <c r="F981" s="120" t="s">
        <v>2999</v>
      </c>
      <c r="G981" s="1"/>
      <c r="H981" s="1" t="s">
        <v>261</v>
      </c>
      <c r="I981" s="1" t="s">
        <v>3000</v>
      </c>
      <c r="J981" s="80"/>
      <c r="K981" s="80"/>
      <c r="L981" s="80"/>
      <c r="M981" s="80"/>
      <c r="N981" s="80"/>
      <c r="O981" s="80"/>
      <c r="P981" s="80"/>
      <c r="Q981" s="80"/>
    </row>
    <row r="982" spans="1:17" customFormat="1" ht="28.5">
      <c r="A982" t="s">
        <v>239</v>
      </c>
      <c r="B982" t="s">
        <v>240</v>
      </c>
      <c r="C982" t="s">
        <v>2998</v>
      </c>
      <c r="D982" s="5">
        <v>46073</v>
      </c>
      <c r="E982" s="5">
        <v>46073</v>
      </c>
      <c r="F982" s="120" t="s">
        <v>3001</v>
      </c>
      <c r="G982" s="1"/>
      <c r="H982" s="1" t="s">
        <v>277</v>
      </c>
      <c r="I982" s="1" t="s">
        <v>3002</v>
      </c>
      <c r="J982" s="80"/>
      <c r="K982" s="80"/>
      <c r="L982" s="80"/>
      <c r="M982" s="80"/>
      <c r="N982" s="80"/>
      <c r="O982" s="80"/>
      <c r="P982" s="80"/>
      <c r="Q982" s="80"/>
    </row>
    <row r="983" spans="1:17" customFormat="1" ht="28.5">
      <c r="A983" t="s">
        <v>239</v>
      </c>
      <c r="B983" t="s">
        <v>240</v>
      </c>
      <c r="C983" t="s">
        <v>3003</v>
      </c>
      <c r="D983" s="5">
        <v>46074</v>
      </c>
      <c r="E983" s="5">
        <v>46074</v>
      </c>
      <c r="F983" s="120" t="s">
        <v>3004</v>
      </c>
      <c r="G983" s="1"/>
      <c r="H983" s="1" t="s">
        <v>261</v>
      </c>
      <c r="I983" s="1" t="s">
        <v>3005</v>
      </c>
      <c r="J983" s="80"/>
      <c r="K983" s="80"/>
      <c r="L983" s="80"/>
      <c r="M983" s="80"/>
      <c r="N983" s="80"/>
      <c r="O983" s="80"/>
      <c r="P983" s="80"/>
      <c r="Q983" s="80"/>
    </row>
    <row r="984" spans="1:17" customFormat="1" ht="42.75">
      <c r="A984" t="s">
        <v>239</v>
      </c>
      <c r="B984" t="s">
        <v>240</v>
      </c>
      <c r="C984" t="s">
        <v>3003</v>
      </c>
      <c r="D984" s="5">
        <v>46074</v>
      </c>
      <c r="E984" s="5">
        <v>46074</v>
      </c>
      <c r="F984" s="120" t="s">
        <v>3006</v>
      </c>
      <c r="G984" s="1"/>
      <c r="H984" s="1" t="s">
        <v>405</v>
      </c>
      <c r="I984" s="1" t="s">
        <v>3007</v>
      </c>
      <c r="J984" s="80"/>
      <c r="K984" s="80"/>
      <c r="L984" s="80"/>
      <c r="M984" s="80"/>
      <c r="N984" s="80"/>
      <c r="O984" s="80"/>
      <c r="P984" s="80"/>
      <c r="Q984" s="80"/>
    </row>
    <row r="985" spans="1:17" customFormat="1" ht="42.75">
      <c r="A985" t="s">
        <v>239</v>
      </c>
      <c r="B985" t="s">
        <v>240</v>
      </c>
      <c r="C985" t="s">
        <v>3008</v>
      </c>
      <c r="D985" s="5">
        <v>46074</v>
      </c>
      <c r="E985" s="5">
        <v>46074</v>
      </c>
      <c r="F985" s="120" t="s">
        <v>3009</v>
      </c>
      <c r="G985" s="1"/>
      <c r="H985" s="1" t="s">
        <v>261</v>
      </c>
      <c r="I985" s="1" t="s">
        <v>3010</v>
      </c>
      <c r="J985" s="80"/>
      <c r="K985" s="80"/>
      <c r="L985" s="80"/>
      <c r="M985" s="80"/>
      <c r="N985" s="80"/>
      <c r="O985" s="80"/>
      <c r="P985" s="80"/>
      <c r="Q985" s="80"/>
    </row>
    <row r="986" spans="1:17" customFormat="1" ht="42.75">
      <c r="A986" t="s">
        <v>239</v>
      </c>
      <c r="B986" t="s">
        <v>240</v>
      </c>
      <c r="C986" t="s">
        <v>3008</v>
      </c>
      <c r="D986" s="5">
        <v>46074</v>
      </c>
      <c r="E986" s="5">
        <v>46074</v>
      </c>
      <c r="F986" s="120" t="s">
        <v>3011</v>
      </c>
      <c r="G986" s="1"/>
      <c r="H986" s="1" t="s">
        <v>630</v>
      </c>
      <c r="I986" s="1" t="s">
        <v>3012</v>
      </c>
      <c r="J986" s="80"/>
      <c r="K986" s="80"/>
      <c r="L986" s="80"/>
      <c r="M986" s="80"/>
      <c r="N986" s="80"/>
      <c r="O986" s="80"/>
      <c r="P986" s="80"/>
      <c r="Q986" s="80"/>
    </row>
    <row r="987" spans="1:17" customFormat="1" ht="28.5">
      <c r="A987" t="s">
        <v>239</v>
      </c>
      <c r="B987" t="s">
        <v>240</v>
      </c>
      <c r="C987" t="s">
        <v>3013</v>
      </c>
      <c r="D987" s="5">
        <v>46074</v>
      </c>
      <c r="E987" s="5">
        <v>46074</v>
      </c>
      <c r="F987" s="120" t="s">
        <v>3014</v>
      </c>
      <c r="G987" s="1"/>
      <c r="H987" s="1" t="s">
        <v>261</v>
      </c>
      <c r="I987" s="1" t="s">
        <v>3015</v>
      </c>
      <c r="J987" s="80"/>
      <c r="K987" s="80"/>
      <c r="L987" s="80"/>
      <c r="M987" s="80"/>
      <c r="N987" s="80"/>
      <c r="O987" s="80"/>
      <c r="P987" s="80"/>
      <c r="Q987" s="80"/>
    </row>
    <row r="988" spans="1:17" customFormat="1" ht="42.75">
      <c r="A988" t="s">
        <v>239</v>
      </c>
      <c r="B988" t="s">
        <v>240</v>
      </c>
      <c r="C988" t="s">
        <v>3013</v>
      </c>
      <c r="D988" s="5">
        <v>46074</v>
      </c>
      <c r="E988" s="5">
        <v>46074</v>
      </c>
      <c r="F988" s="120" t="s">
        <v>3016</v>
      </c>
      <c r="G988" s="1"/>
      <c r="H988" s="1" t="s">
        <v>3017</v>
      </c>
      <c r="I988" s="1" t="s">
        <v>3018</v>
      </c>
      <c r="J988" s="80"/>
      <c r="K988" s="80"/>
      <c r="L988" s="80"/>
      <c r="M988" s="80"/>
      <c r="N988" s="80"/>
      <c r="O988" s="80"/>
      <c r="P988" s="80"/>
      <c r="Q988" s="80"/>
    </row>
    <row r="989" spans="1:17" customFormat="1" ht="28.5">
      <c r="A989" t="s">
        <v>239</v>
      </c>
      <c r="B989" t="s">
        <v>240</v>
      </c>
      <c r="C989" t="s">
        <v>3019</v>
      </c>
      <c r="D989" s="5">
        <v>46076</v>
      </c>
      <c r="E989" s="5">
        <v>46076</v>
      </c>
      <c r="F989" s="120" t="s">
        <v>1064</v>
      </c>
      <c r="G989" s="1"/>
      <c r="H989" s="1" t="s">
        <v>3020</v>
      </c>
      <c r="I989" s="1" t="s">
        <v>3021</v>
      </c>
      <c r="J989" s="80"/>
      <c r="K989" s="80"/>
      <c r="L989" s="80"/>
      <c r="M989" s="80"/>
      <c r="N989" s="80"/>
      <c r="O989" s="80"/>
      <c r="P989" s="80"/>
      <c r="Q989" s="80"/>
    </row>
    <row r="990" spans="1:17" customFormat="1">
      <c r="A990" t="s">
        <v>239</v>
      </c>
      <c r="B990" t="s">
        <v>240</v>
      </c>
      <c r="C990" t="s">
        <v>3022</v>
      </c>
      <c r="D990" s="5">
        <v>46076</v>
      </c>
      <c r="E990" s="5">
        <v>46076</v>
      </c>
      <c r="F990" s="120" t="s">
        <v>3023</v>
      </c>
      <c r="G990" s="1" t="s">
        <v>3024</v>
      </c>
      <c r="H990" s="1"/>
      <c r="I990" s="1" t="s">
        <v>3025</v>
      </c>
      <c r="J990" s="80"/>
      <c r="K990" s="80"/>
      <c r="L990" s="80"/>
      <c r="M990" s="80"/>
      <c r="N990" s="80"/>
      <c r="O990" s="80"/>
      <c r="P990" s="80"/>
      <c r="Q990" s="80"/>
    </row>
    <row r="991" spans="1:17" customFormat="1" ht="28.5">
      <c r="A991" t="s">
        <v>239</v>
      </c>
      <c r="B991" t="s">
        <v>240</v>
      </c>
      <c r="C991" t="s">
        <v>3026</v>
      </c>
      <c r="D991" s="5">
        <v>46076</v>
      </c>
      <c r="E991" s="5">
        <v>46076</v>
      </c>
      <c r="F991" s="120" t="s">
        <v>3027</v>
      </c>
      <c r="G991" s="1" t="s">
        <v>1476</v>
      </c>
      <c r="H991" s="1"/>
      <c r="I991" s="1" t="s">
        <v>3028</v>
      </c>
      <c r="J991" s="80"/>
      <c r="K991" s="80"/>
      <c r="L991" s="80"/>
      <c r="M991" s="80"/>
      <c r="N991" s="80"/>
      <c r="O991" s="80"/>
      <c r="P991" s="80"/>
      <c r="Q991" s="80"/>
    </row>
    <row r="992" spans="1:17" customFormat="1" ht="28.5">
      <c r="A992" t="s">
        <v>239</v>
      </c>
      <c r="B992" t="s">
        <v>240</v>
      </c>
      <c r="C992" t="s">
        <v>3029</v>
      </c>
      <c r="D992" s="5">
        <v>46076</v>
      </c>
      <c r="E992" s="5">
        <v>46076</v>
      </c>
      <c r="F992" s="120" t="s">
        <v>3030</v>
      </c>
      <c r="G992" s="1"/>
      <c r="H992" s="1" t="s">
        <v>261</v>
      </c>
      <c r="I992" s="1" t="s">
        <v>3031</v>
      </c>
      <c r="J992" s="80"/>
      <c r="K992" s="80"/>
      <c r="L992" s="80"/>
      <c r="M992" s="80"/>
      <c r="N992" s="80"/>
      <c r="O992" s="80"/>
      <c r="P992" s="80"/>
      <c r="Q992" s="80"/>
    </row>
    <row r="993" spans="1:17" customFormat="1" ht="42.75">
      <c r="A993" t="s">
        <v>239</v>
      </c>
      <c r="B993" t="s">
        <v>240</v>
      </c>
      <c r="C993" t="s">
        <v>3029</v>
      </c>
      <c r="D993" s="5">
        <v>46076</v>
      </c>
      <c r="E993" s="5">
        <v>46076</v>
      </c>
      <c r="F993" s="120" t="s">
        <v>3032</v>
      </c>
      <c r="G993" s="1"/>
      <c r="H993" s="1" t="s">
        <v>423</v>
      </c>
      <c r="I993" s="1" t="s">
        <v>3033</v>
      </c>
      <c r="J993" s="80"/>
      <c r="K993" s="80"/>
      <c r="L993" s="80"/>
      <c r="M993" s="80"/>
      <c r="N993" s="80"/>
      <c r="O993" s="80"/>
      <c r="P993" s="80"/>
      <c r="Q993" s="80"/>
    </row>
    <row r="994" spans="1:17" customFormat="1" ht="28.5">
      <c r="A994" t="s">
        <v>239</v>
      </c>
      <c r="B994" t="s">
        <v>240</v>
      </c>
      <c r="C994" t="s">
        <v>3034</v>
      </c>
      <c r="D994" s="5">
        <v>46077</v>
      </c>
      <c r="E994" s="5">
        <v>46077</v>
      </c>
      <c r="F994" s="120" t="s">
        <v>3035</v>
      </c>
      <c r="G994" s="1" t="s">
        <v>3036</v>
      </c>
      <c r="H994" s="1"/>
      <c r="I994" s="1" t="s">
        <v>3037</v>
      </c>
      <c r="J994" s="80"/>
      <c r="K994" s="80"/>
      <c r="L994" s="80"/>
      <c r="M994" s="80"/>
      <c r="N994" s="80"/>
      <c r="O994" s="80"/>
      <c r="P994" s="80"/>
      <c r="Q994" s="80"/>
    </row>
    <row r="995" spans="1:17" customFormat="1" ht="28.5">
      <c r="A995" t="s">
        <v>239</v>
      </c>
      <c r="B995" t="s">
        <v>240</v>
      </c>
      <c r="C995" t="s">
        <v>3038</v>
      </c>
      <c r="D995" s="5">
        <v>46078</v>
      </c>
      <c r="E995" s="5">
        <v>46078</v>
      </c>
      <c r="F995" s="120" t="s">
        <v>3039</v>
      </c>
      <c r="G995" s="1"/>
      <c r="H995" s="1" t="s">
        <v>3040</v>
      </c>
      <c r="I995" s="1" t="s">
        <v>3041</v>
      </c>
      <c r="J995" s="80"/>
      <c r="K995" s="80"/>
      <c r="L995" s="80"/>
      <c r="M995" s="80"/>
      <c r="N995" s="80"/>
      <c r="O995" s="80"/>
      <c r="P995" s="80"/>
      <c r="Q995" s="80"/>
    </row>
    <row r="996" spans="1:17" customFormat="1" ht="28.5">
      <c r="A996" t="s">
        <v>239</v>
      </c>
      <c r="B996" t="s">
        <v>240</v>
      </c>
      <c r="C996" t="s">
        <v>3042</v>
      </c>
      <c r="D996" s="5">
        <v>46078</v>
      </c>
      <c r="E996" s="5">
        <v>46078</v>
      </c>
      <c r="F996" s="120" t="s">
        <v>3043</v>
      </c>
      <c r="G996" s="1"/>
      <c r="H996" s="1" t="s">
        <v>254</v>
      </c>
      <c r="I996" s="1" t="s">
        <v>3044</v>
      </c>
      <c r="J996" s="80"/>
      <c r="K996" s="80"/>
      <c r="L996" s="80"/>
      <c r="M996" s="80"/>
      <c r="N996" s="80"/>
      <c r="O996" s="80"/>
      <c r="P996" s="80"/>
      <c r="Q996" s="80"/>
    </row>
    <row r="997" spans="1:17" customFormat="1" ht="28.5">
      <c r="A997" t="s">
        <v>239</v>
      </c>
      <c r="B997" t="s">
        <v>240</v>
      </c>
      <c r="C997" t="s">
        <v>3042</v>
      </c>
      <c r="D997" s="5">
        <v>46078</v>
      </c>
      <c r="E997" s="5">
        <v>46078</v>
      </c>
      <c r="F997" s="120" t="s">
        <v>3045</v>
      </c>
      <c r="G997" s="1"/>
      <c r="H997" s="1" t="s">
        <v>295</v>
      </c>
      <c r="I997" s="1" t="s">
        <v>3046</v>
      </c>
      <c r="J997" s="80"/>
      <c r="K997" s="80"/>
      <c r="L997" s="80"/>
      <c r="M997" s="80"/>
      <c r="N997" s="80"/>
      <c r="O997" s="80"/>
      <c r="P997" s="80"/>
      <c r="Q997" s="80"/>
    </row>
    <row r="998" spans="1:17" customFormat="1" ht="28.5">
      <c r="A998" t="s">
        <v>239</v>
      </c>
      <c r="B998" t="s">
        <v>240</v>
      </c>
      <c r="C998" t="s">
        <v>3047</v>
      </c>
      <c r="D998" s="5">
        <v>46078</v>
      </c>
      <c r="E998" s="5">
        <v>46078</v>
      </c>
      <c r="F998" s="120" t="s">
        <v>3048</v>
      </c>
      <c r="G998" s="1"/>
      <c r="H998" s="1" t="s">
        <v>254</v>
      </c>
      <c r="I998" s="1" t="s">
        <v>3049</v>
      </c>
      <c r="J998" s="80"/>
      <c r="K998" s="80"/>
      <c r="L998" s="80"/>
      <c r="M998" s="80"/>
      <c r="N998" s="80"/>
      <c r="O998" s="80"/>
      <c r="P998" s="80"/>
      <c r="Q998" s="80"/>
    </row>
    <row r="999" spans="1:17" customFormat="1" ht="42.75">
      <c r="A999" t="s">
        <v>239</v>
      </c>
      <c r="B999" t="s">
        <v>240</v>
      </c>
      <c r="C999" t="s">
        <v>3047</v>
      </c>
      <c r="D999" s="5">
        <v>46078</v>
      </c>
      <c r="E999" s="5">
        <v>46078</v>
      </c>
      <c r="F999" s="120" t="s">
        <v>3050</v>
      </c>
      <c r="G999" s="1"/>
      <c r="H999" s="1" t="s">
        <v>1170</v>
      </c>
      <c r="I999" s="1" t="s">
        <v>3051</v>
      </c>
      <c r="J999" s="80"/>
      <c r="K999" s="80"/>
      <c r="L999" s="80"/>
      <c r="M999" s="80"/>
      <c r="N999" s="80"/>
      <c r="O999" s="80"/>
      <c r="P999" s="80"/>
      <c r="Q999" s="80"/>
    </row>
    <row r="1000" spans="1:17" customFormat="1" ht="28.5">
      <c r="A1000" t="s">
        <v>239</v>
      </c>
      <c r="B1000" t="s">
        <v>240</v>
      </c>
      <c r="C1000" t="s">
        <v>3052</v>
      </c>
      <c r="D1000" s="5">
        <v>46078</v>
      </c>
      <c r="E1000" s="5">
        <v>46078</v>
      </c>
      <c r="F1000" s="120" t="s">
        <v>3053</v>
      </c>
      <c r="G1000" s="1"/>
      <c r="H1000" s="1" t="s">
        <v>261</v>
      </c>
      <c r="I1000" s="1" t="s">
        <v>3054</v>
      </c>
      <c r="J1000" s="80"/>
      <c r="K1000" s="80"/>
      <c r="L1000" s="80"/>
      <c r="M1000" s="80"/>
      <c r="N1000" s="80"/>
      <c r="O1000" s="80"/>
      <c r="P1000" s="80"/>
      <c r="Q1000" s="80"/>
    </row>
    <row r="1001" spans="1:17" customFormat="1" ht="42.75">
      <c r="A1001" t="s">
        <v>239</v>
      </c>
      <c r="B1001" t="s">
        <v>240</v>
      </c>
      <c r="C1001" t="s">
        <v>3052</v>
      </c>
      <c r="D1001" s="5">
        <v>46078</v>
      </c>
      <c r="E1001" s="5">
        <v>46078</v>
      </c>
      <c r="F1001" s="120" t="s">
        <v>3055</v>
      </c>
      <c r="G1001" s="1"/>
      <c r="H1001" s="1" t="s">
        <v>630</v>
      </c>
      <c r="I1001" s="1" t="s">
        <v>3056</v>
      </c>
      <c r="J1001" s="80"/>
      <c r="K1001" s="80"/>
      <c r="L1001" s="80"/>
      <c r="M1001" s="80"/>
      <c r="N1001" s="80"/>
      <c r="O1001" s="80"/>
      <c r="P1001" s="80"/>
      <c r="Q1001" s="80"/>
    </row>
    <row r="1002" spans="1:17" customFormat="1" ht="28.5">
      <c r="A1002" t="s">
        <v>239</v>
      </c>
      <c r="B1002" t="s">
        <v>240</v>
      </c>
      <c r="C1002" t="s">
        <v>3057</v>
      </c>
      <c r="D1002" s="5">
        <v>46079</v>
      </c>
      <c r="E1002" s="5">
        <v>46079</v>
      </c>
      <c r="F1002" s="120" t="s">
        <v>3058</v>
      </c>
      <c r="G1002" s="1"/>
      <c r="H1002" s="1" t="s">
        <v>261</v>
      </c>
      <c r="I1002" s="1" t="s">
        <v>3059</v>
      </c>
      <c r="J1002" s="80"/>
      <c r="K1002" s="80"/>
      <c r="L1002" s="80"/>
      <c r="M1002" s="80"/>
      <c r="N1002" s="80"/>
      <c r="O1002" s="80"/>
      <c r="P1002" s="80"/>
      <c r="Q1002" s="80"/>
    </row>
    <row r="1003" spans="1:17" customFormat="1" ht="42.75">
      <c r="A1003" t="s">
        <v>239</v>
      </c>
      <c r="B1003" t="s">
        <v>240</v>
      </c>
      <c r="C1003" t="s">
        <v>3057</v>
      </c>
      <c r="D1003" s="5">
        <v>46079</v>
      </c>
      <c r="E1003" s="5">
        <v>46079</v>
      </c>
      <c r="F1003" s="120" t="s">
        <v>3060</v>
      </c>
      <c r="G1003" s="1"/>
      <c r="H1003" s="1" t="s">
        <v>527</v>
      </c>
      <c r="I1003" s="1" t="s">
        <v>3061</v>
      </c>
      <c r="J1003" s="80"/>
      <c r="K1003" s="80"/>
      <c r="L1003" s="80"/>
      <c r="M1003" s="80"/>
      <c r="N1003" s="80"/>
      <c r="O1003" s="80"/>
      <c r="P1003" s="80"/>
      <c r="Q1003" s="80"/>
    </row>
    <row r="1004" spans="1:17" customFormat="1" ht="42.75">
      <c r="A1004" t="s">
        <v>239</v>
      </c>
      <c r="B1004" t="s">
        <v>240</v>
      </c>
      <c r="C1004" t="s">
        <v>3062</v>
      </c>
      <c r="D1004" s="5">
        <v>46079</v>
      </c>
      <c r="E1004" s="5">
        <v>46079</v>
      </c>
      <c r="F1004" s="120" t="s">
        <v>3063</v>
      </c>
      <c r="G1004" s="1"/>
      <c r="H1004" s="1" t="s">
        <v>254</v>
      </c>
      <c r="I1004" s="1" t="s">
        <v>3064</v>
      </c>
      <c r="J1004" s="80"/>
      <c r="K1004" s="80"/>
      <c r="L1004" s="80"/>
      <c r="M1004" s="80"/>
      <c r="N1004" s="80"/>
      <c r="O1004" s="80"/>
      <c r="P1004" s="80"/>
      <c r="Q1004" s="80"/>
    </row>
    <row r="1005" spans="1:17" customFormat="1" ht="42.75">
      <c r="A1005" t="s">
        <v>239</v>
      </c>
      <c r="B1005" t="s">
        <v>240</v>
      </c>
      <c r="C1005" t="s">
        <v>3062</v>
      </c>
      <c r="D1005" s="5">
        <v>46079</v>
      </c>
      <c r="E1005" s="5">
        <v>46079</v>
      </c>
      <c r="F1005" s="120" t="s">
        <v>3065</v>
      </c>
      <c r="G1005" s="1"/>
      <c r="H1005" s="1" t="s">
        <v>295</v>
      </c>
      <c r="I1005" s="1" t="s">
        <v>3066</v>
      </c>
      <c r="J1005" s="80"/>
      <c r="K1005" s="80"/>
      <c r="L1005" s="80"/>
      <c r="M1005" s="80"/>
      <c r="N1005" s="80"/>
      <c r="O1005" s="80"/>
      <c r="P1005" s="80"/>
      <c r="Q1005" s="80"/>
    </row>
    <row r="1006" spans="1:17" customFormat="1" ht="28.5">
      <c r="A1006" t="s">
        <v>239</v>
      </c>
      <c r="B1006" t="s">
        <v>240</v>
      </c>
      <c r="C1006" t="s">
        <v>3067</v>
      </c>
      <c r="D1006" s="5">
        <v>46080</v>
      </c>
      <c r="E1006" s="5">
        <v>46080</v>
      </c>
      <c r="F1006" s="120" t="s">
        <v>3068</v>
      </c>
      <c r="G1006" s="1"/>
      <c r="H1006" s="1" t="s">
        <v>261</v>
      </c>
      <c r="I1006" s="1" t="s">
        <v>3069</v>
      </c>
      <c r="J1006" s="80"/>
      <c r="K1006" s="80"/>
      <c r="L1006" s="80"/>
      <c r="M1006" s="80"/>
      <c r="N1006" s="80"/>
      <c r="O1006" s="80"/>
      <c r="P1006" s="80"/>
      <c r="Q1006" s="80"/>
    </row>
    <row r="1007" spans="1:17" customFormat="1" ht="42.75">
      <c r="A1007" t="s">
        <v>239</v>
      </c>
      <c r="B1007" t="s">
        <v>240</v>
      </c>
      <c r="C1007" t="s">
        <v>3067</v>
      </c>
      <c r="D1007" s="5">
        <v>46080</v>
      </c>
      <c r="E1007" s="5">
        <v>46080</v>
      </c>
      <c r="F1007" s="120" t="s">
        <v>3070</v>
      </c>
      <c r="G1007" s="1"/>
      <c r="H1007" s="1" t="s">
        <v>527</v>
      </c>
      <c r="I1007" s="1" t="s">
        <v>3071</v>
      </c>
      <c r="J1007" s="80"/>
      <c r="K1007" s="80"/>
      <c r="L1007" s="80"/>
      <c r="M1007" s="80"/>
      <c r="N1007" s="80"/>
      <c r="O1007" s="80"/>
      <c r="P1007" s="80"/>
      <c r="Q1007" s="80"/>
    </row>
    <row r="1008" spans="1:17" customFormat="1" ht="28.5">
      <c r="A1008" t="s">
        <v>239</v>
      </c>
      <c r="B1008" t="s">
        <v>240</v>
      </c>
      <c r="C1008" t="s">
        <v>3072</v>
      </c>
      <c r="D1008" s="5">
        <v>46080</v>
      </c>
      <c r="E1008" s="5">
        <v>46080</v>
      </c>
      <c r="F1008" s="120" t="s">
        <v>3073</v>
      </c>
      <c r="G1008" s="1"/>
      <c r="H1008" s="1" t="s">
        <v>261</v>
      </c>
      <c r="I1008" s="1" t="s">
        <v>3074</v>
      </c>
      <c r="J1008" s="80"/>
      <c r="K1008" s="80"/>
      <c r="L1008" s="80"/>
      <c r="M1008" s="80"/>
      <c r="N1008" s="80"/>
      <c r="O1008" s="80"/>
      <c r="P1008" s="80"/>
      <c r="Q1008" s="80"/>
    </row>
    <row r="1009" spans="1:17" customFormat="1" ht="42.75">
      <c r="A1009" t="s">
        <v>239</v>
      </c>
      <c r="B1009" t="s">
        <v>240</v>
      </c>
      <c r="C1009" t="s">
        <v>3072</v>
      </c>
      <c r="D1009" s="5">
        <v>46080</v>
      </c>
      <c r="E1009" s="5">
        <v>46080</v>
      </c>
      <c r="F1009" s="120" t="s">
        <v>3075</v>
      </c>
      <c r="G1009" s="1"/>
      <c r="H1009" s="1" t="s">
        <v>264</v>
      </c>
      <c r="I1009" s="1" t="s">
        <v>3076</v>
      </c>
      <c r="J1009" s="80"/>
      <c r="K1009" s="80"/>
      <c r="L1009" s="80"/>
      <c r="M1009" s="80"/>
      <c r="N1009" s="80"/>
      <c r="O1009" s="80"/>
      <c r="P1009" s="80"/>
      <c r="Q1009" s="80"/>
    </row>
    <row r="1010" spans="1:17" customFormat="1">
      <c r="A1010" t="s">
        <v>239</v>
      </c>
      <c r="B1010" t="s">
        <v>240</v>
      </c>
      <c r="C1010" t="s">
        <v>3077</v>
      </c>
      <c r="D1010" s="5">
        <v>46081</v>
      </c>
      <c r="E1010" s="5">
        <v>46081</v>
      </c>
      <c r="F1010" s="120" t="s">
        <v>948</v>
      </c>
      <c r="G1010" s="1"/>
      <c r="H1010" s="1" t="s">
        <v>3078</v>
      </c>
      <c r="I1010" s="1" t="s">
        <v>3079</v>
      </c>
      <c r="J1010" s="80"/>
      <c r="K1010" s="80"/>
      <c r="L1010" s="80"/>
      <c r="M1010" s="80"/>
      <c r="N1010" s="80"/>
      <c r="O1010" s="80"/>
      <c r="P1010" s="80"/>
      <c r="Q1010" s="80"/>
    </row>
    <row r="1011" spans="1:17" customFormat="1" ht="28.5">
      <c r="A1011" t="s">
        <v>239</v>
      </c>
      <c r="B1011" t="s">
        <v>240</v>
      </c>
      <c r="C1011" t="s">
        <v>3080</v>
      </c>
      <c r="D1011" s="5">
        <v>46081</v>
      </c>
      <c r="E1011" s="5">
        <v>46081</v>
      </c>
      <c r="F1011" s="120" t="s">
        <v>3081</v>
      </c>
      <c r="G1011" s="1"/>
      <c r="H1011" s="1" t="s">
        <v>254</v>
      </c>
      <c r="I1011" s="1" t="s">
        <v>3082</v>
      </c>
      <c r="J1011" s="80"/>
      <c r="K1011" s="80"/>
      <c r="L1011" s="80"/>
      <c r="M1011" s="80"/>
      <c r="N1011" s="80"/>
      <c r="O1011" s="80"/>
      <c r="P1011" s="80"/>
      <c r="Q1011" s="80"/>
    </row>
    <row r="1012" spans="1:17" customFormat="1" ht="28.5">
      <c r="A1012" t="s">
        <v>239</v>
      </c>
      <c r="B1012" t="s">
        <v>240</v>
      </c>
      <c r="C1012" t="s">
        <v>3080</v>
      </c>
      <c r="D1012" s="5">
        <v>46081</v>
      </c>
      <c r="E1012" s="5">
        <v>46081</v>
      </c>
      <c r="F1012" s="120" t="s">
        <v>3083</v>
      </c>
      <c r="G1012" s="1"/>
      <c r="H1012" s="1" t="s">
        <v>533</v>
      </c>
      <c r="I1012" s="1" t="s">
        <v>3084</v>
      </c>
      <c r="J1012" s="80"/>
      <c r="K1012" s="80"/>
      <c r="L1012" s="80"/>
      <c r="M1012" s="80"/>
      <c r="N1012" s="80"/>
      <c r="O1012" s="80"/>
      <c r="P1012" s="80"/>
      <c r="Q1012" s="80"/>
    </row>
    <row r="1013" spans="1:17" customFormat="1" ht="28.5">
      <c r="A1013" t="s">
        <v>239</v>
      </c>
      <c r="B1013" t="s">
        <v>240</v>
      </c>
      <c r="C1013" t="s">
        <v>3085</v>
      </c>
      <c r="D1013" s="5">
        <v>46081</v>
      </c>
      <c r="E1013" s="5">
        <v>46081</v>
      </c>
      <c r="F1013" s="120" t="s">
        <v>3086</v>
      </c>
      <c r="G1013" s="1"/>
      <c r="H1013" s="1" t="s">
        <v>254</v>
      </c>
      <c r="I1013" s="1" t="s">
        <v>3087</v>
      </c>
      <c r="J1013" s="80"/>
      <c r="K1013" s="80"/>
      <c r="L1013" s="80"/>
      <c r="M1013" s="80"/>
      <c r="N1013" s="80"/>
      <c r="O1013" s="80"/>
      <c r="P1013" s="80"/>
      <c r="Q1013" s="80"/>
    </row>
    <row r="1014" spans="1:17" customFormat="1" ht="42.75">
      <c r="A1014" t="s">
        <v>239</v>
      </c>
      <c r="B1014" t="s">
        <v>240</v>
      </c>
      <c r="C1014" t="s">
        <v>3085</v>
      </c>
      <c r="D1014" s="5">
        <v>46081</v>
      </c>
      <c r="E1014" s="5">
        <v>46081</v>
      </c>
      <c r="F1014" s="120" t="s">
        <v>3088</v>
      </c>
      <c r="G1014" s="1"/>
      <c r="H1014" s="1" t="s">
        <v>1170</v>
      </c>
      <c r="I1014" s="1" t="s">
        <v>3089</v>
      </c>
      <c r="J1014" s="80"/>
      <c r="K1014" s="80"/>
      <c r="L1014" s="80"/>
      <c r="M1014" s="80"/>
      <c r="N1014" s="80"/>
      <c r="O1014" s="80"/>
      <c r="P1014" s="80"/>
      <c r="Q1014" s="80"/>
    </row>
    <row r="1015" spans="1:17" customFormat="1" ht="28.5">
      <c r="A1015" t="s">
        <v>239</v>
      </c>
      <c r="B1015" t="s">
        <v>240</v>
      </c>
      <c r="C1015" t="s">
        <v>3090</v>
      </c>
      <c r="D1015" s="5">
        <v>46082</v>
      </c>
      <c r="E1015" s="5">
        <v>46082</v>
      </c>
      <c r="F1015" s="120" t="s">
        <v>3091</v>
      </c>
      <c r="G1015" s="1" t="s">
        <v>1557</v>
      </c>
      <c r="H1015" s="1"/>
      <c r="I1015" s="1" t="s">
        <v>3092</v>
      </c>
      <c r="J1015" s="80"/>
      <c r="K1015" s="80"/>
      <c r="L1015" s="80"/>
      <c r="M1015" s="80"/>
      <c r="N1015" s="80"/>
      <c r="O1015" s="80"/>
      <c r="P1015" s="80"/>
      <c r="Q1015" s="80"/>
    </row>
    <row r="1016" spans="1:17" customFormat="1" ht="28.5">
      <c r="A1016" t="s">
        <v>239</v>
      </c>
      <c r="B1016" t="s">
        <v>240</v>
      </c>
      <c r="C1016" t="s">
        <v>3093</v>
      </c>
      <c r="D1016" s="5">
        <v>46082</v>
      </c>
      <c r="E1016" s="5">
        <v>46082</v>
      </c>
      <c r="F1016" s="120" t="s">
        <v>3094</v>
      </c>
      <c r="G1016" s="1" t="s">
        <v>1557</v>
      </c>
      <c r="H1016" s="1"/>
      <c r="I1016" s="1" t="s">
        <v>3095</v>
      </c>
      <c r="J1016" s="80"/>
      <c r="K1016" s="80"/>
      <c r="L1016" s="80"/>
      <c r="M1016" s="80"/>
      <c r="N1016" s="80"/>
      <c r="O1016" s="80"/>
      <c r="P1016" s="80"/>
      <c r="Q1016" s="80"/>
    </row>
    <row r="1017" spans="1:17" customFormat="1" ht="42.75">
      <c r="A1017" t="s">
        <v>239</v>
      </c>
      <c r="B1017" t="s">
        <v>240</v>
      </c>
      <c r="C1017" t="s">
        <v>3096</v>
      </c>
      <c r="D1017" s="5">
        <v>46082</v>
      </c>
      <c r="E1017" s="5">
        <v>46082</v>
      </c>
      <c r="F1017" s="120" t="s">
        <v>3097</v>
      </c>
      <c r="G1017" s="1"/>
      <c r="H1017" s="1" t="s">
        <v>243</v>
      </c>
      <c r="I1017" s="1" t="s">
        <v>3098</v>
      </c>
      <c r="J1017" s="80"/>
      <c r="K1017" s="80"/>
      <c r="L1017" s="80"/>
      <c r="M1017" s="80"/>
      <c r="N1017" s="80"/>
      <c r="O1017" s="80"/>
      <c r="P1017" s="80"/>
      <c r="Q1017" s="80"/>
    </row>
    <row r="1018" spans="1:17" customFormat="1" ht="42.75">
      <c r="A1018" t="s">
        <v>239</v>
      </c>
      <c r="B1018" t="s">
        <v>240</v>
      </c>
      <c r="C1018" t="s">
        <v>3096</v>
      </c>
      <c r="D1018" s="5">
        <v>46082</v>
      </c>
      <c r="E1018" s="5">
        <v>46082</v>
      </c>
      <c r="F1018" s="120" t="s">
        <v>3099</v>
      </c>
      <c r="G1018" s="1"/>
      <c r="H1018" s="1" t="s">
        <v>3100</v>
      </c>
      <c r="I1018" s="1" t="s">
        <v>3101</v>
      </c>
      <c r="J1018" s="80"/>
      <c r="K1018" s="80"/>
      <c r="L1018" s="80"/>
      <c r="M1018" s="80"/>
      <c r="N1018" s="80"/>
      <c r="O1018" s="80"/>
      <c r="P1018" s="80"/>
      <c r="Q1018" s="80"/>
    </row>
    <row r="1019" spans="1:17" customFormat="1" ht="28.5">
      <c r="A1019" t="s">
        <v>239</v>
      </c>
      <c r="B1019" t="s">
        <v>240</v>
      </c>
      <c r="C1019" t="s">
        <v>3102</v>
      </c>
      <c r="D1019" s="5">
        <v>46082</v>
      </c>
      <c r="E1019" s="5">
        <v>46082</v>
      </c>
      <c r="F1019" s="120" t="s">
        <v>3103</v>
      </c>
      <c r="G1019" s="1"/>
      <c r="H1019" s="1" t="s">
        <v>261</v>
      </c>
      <c r="I1019" s="1" t="s">
        <v>3104</v>
      </c>
      <c r="J1019" s="80"/>
      <c r="K1019" s="80"/>
      <c r="L1019" s="80"/>
      <c r="M1019" s="80"/>
      <c r="N1019" s="80"/>
      <c r="O1019" s="80"/>
      <c r="P1019" s="80"/>
      <c r="Q1019" s="80"/>
    </row>
    <row r="1020" spans="1:17" customFormat="1" ht="42.75">
      <c r="A1020" t="s">
        <v>239</v>
      </c>
      <c r="B1020" t="s">
        <v>240</v>
      </c>
      <c r="C1020" t="s">
        <v>3102</v>
      </c>
      <c r="D1020" s="5">
        <v>46082</v>
      </c>
      <c r="E1020" s="5">
        <v>46082</v>
      </c>
      <c r="F1020" s="120" t="s">
        <v>3105</v>
      </c>
      <c r="G1020" s="1"/>
      <c r="H1020" s="1" t="s">
        <v>301</v>
      </c>
      <c r="I1020" s="1" t="s">
        <v>3106</v>
      </c>
      <c r="J1020" s="80"/>
      <c r="K1020" s="80"/>
      <c r="L1020" s="80"/>
      <c r="M1020" s="80"/>
      <c r="N1020" s="80"/>
      <c r="O1020" s="80"/>
      <c r="P1020" s="80"/>
      <c r="Q1020" s="80"/>
    </row>
    <row r="1021" spans="1:17" customFormat="1" ht="42.75">
      <c r="A1021" t="s">
        <v>239</v>
      </c>
      <c r="B1021" t="s">
        <v>240</v>
      </c>
      <c r="C1021" t="s">
        <v>3107</v>
      </c>
      <c r="D1021" s="5">
        <v>46083</v>
      </c>
      <c r="E1021" s="5">
        <v>46083</v>
      </c>
      <c r="F1021" s="120" t="s">
        <v>2802</v>
      </c>
      <c r="G1021" s="1"/>
      <c r="H1021" s="1" t="s">
        <v>277</v>
      </c>
      <c r="I1021" s="1" t="s">
        <v>3108</v>
      </c>
      <c r="J1021" s="80"/>
      <c r="K1021" s="80"/>
      <c r="L1021" s="80"/>
      <c r="M1021" s="80"/>
      <c r="N1021" s="80"/>
      <c r="O1021" s="80"/>
      <c r="P1021" s="80"/>
      <c r="Q1021" s="80"/>
    </row>
    <row r="1022" spans="1:17" customFormat="1" ht="28.5">
      <c r="A1022" t="s">
        <v>239</v>
      </c>
      <c r="B1022" t="s">
        <v>240</v>
      </c>
      <c r="C1022" t="s">
        <v>3109</v>
      </c>
      <c r="D1022" s="5">
        <v>46083</v>
      </c>
      <c r="E1022" s="5">
        <v>46083</v>
      </c>
      <c r="F1022" s="120" t="s">
        <v>3110</v>
      </c>
      <c r="G1022" s="1" t="s">
        <v>1557</v>
      </c>
      <c r="H1022" s="1"/>
      <c r="I1022" s="1" t="s">
        <v>3111</v>
      </c>
      <c r="J1022" s="80"/>
      <c r="K1022" s="80"/>
      <c r="L1022" s="80"/>
      <c r="M1022" s="80"/>
      <c r="N1022" s="80"/>
      <c r="O1022" s="80"/>
      <c r="P1022" s="80"/>
      <c r="Q1022" s="80"/>
    </row>
    <row r="1023" spans="1:17" customFormat="1" ht="28.5">
      <c r="A1023" t="s">
        <v>239</v>
      </c>
      <c r="B1023" t="s">
        <v>240</v>
      </c>
      <c r="C1023" t="s">
        <v>3112</v>
      </c>
      <c r="D1023" s="5">
        <v>46083</v>
      </c>
      <c r="E1023" s="5">
        <v>46083</v>
      </c>
      <c r="F1023" s="120" t="s">
        <v>3113</v>
      </c>
      <c r="G1023" s="1"/>
      <c r="H1023" s="1" t="s">
        <v>243</v>
      </c>
      <c r="I1023" s="1" t="s">
        <v>3114</v>
      </c>
      <c r="J1023" s="80"/>
      <c r="K1023" s="80"/>
      <c r="L1023" s="80"/>
      <c r="M1023" s="80"/>
      <c r="N1023" s="80"/>
      <c r="O1023" s="80"/>
      <c r="P1023" s="80"/>
      <c r="Q1023" s="80"/>
    </row>
    <row r="1024" spans="1:17" customFormat="1" ht="28.5">
      <c r="A1024" t="s">
        <v>239</v>
      </c>
      <c r="B1024" t="s">
        <v>240</v>
      </c>
      <c r="C1024" t="s">
        <v>3112</v>
      </c>
      <c r="D1024" s="5">
        <v>46083</v>
      </c>
      <c r="E1024" s="5">
        <v>46083</v>
      </c>
      <c r="F1024" s="120" t="s">
        <v>3115</v>
      </c>
      <c r="G1024" s="1"/>
      <c r="H1024" s="1" t="s">
        <v>3116</v>
      </c>
      <c r="I1024" s="1" t="s">
        <v>3117</v>
      </c>
      <c r="J1024" s="80"/>
      <c r="K1024" s="80"/>
      <c r="L1024" s="80"/>
      <c r="M1024" s="80"/>
      <c r="N1024" s="80"/>
      <c r="O1024" s="80"/>
      <c r="P1024" s="80"/>
      <c r="Q1024" s="80"/>
    </row>
    <row r="1025" spans="1:17" customFormat="1" ht="28.5">
      <c r="A1025" t="s">
        <v>239</v>
      </c>
      <c r="B1025" t="s">
        <v>240</v>
      </c>
      <c r="C1025" t="s">
        <v>3118</v>
      </c>
      <c r="D1025" s="5">
        <v>46083</v>
      </c>
      <c r="E1025" s="5">
        <v>46083</v>
      </c>
      <c r="F1025" s="120" t="s">
        <v>3119</v>
      </c>
      <c r="G1025" s="1"/>
      <c r="H1025" s="1" t="s">
        <v>261</v>
      </c>
      <c r="I1025" s="1" t="s">
        <v>3120</v>
      </c>
      <c r="J1025" s="80"/>
      <c r="K1025" s="80"/>
      <c r="L1025" s="80"/>
      <c r="M1025" s="80"/>
      <c r="N1025" s="80"/>
      <c r="O1025" s="80"/>
      <c r="P1025" s="80"/>
      <c r="Q1025" s="80"/>
    </row>
    <row r="1026" spans="1:17" customFormat="1" ht="28.5">
      <c r="A1026" t="s">
        <v>239</v>
      </c>
      <c r="B1026" t="s">
        <v>240</v>
      </c>
      <c r="C1026" t="s">
        <v>3118</v>
      </c>
      <c r="D1026" s="5">
        <v>46083</v>
      </c>
      <c r="E1026" s="5">
        <v>46083</v>
      </c>
      <c r="F1026" s="120" t="s">
        <v>3121</v>
      </c>
      <c r="G1026" s="1"/>
      <c r="H1026" s="1" t="s">
        <v>374</v>
      </c>
      <c r="I1026" s="1" t="s">
        <v>3122</v>
      </c>
      <c r="J1026" s="80"/>
      <c r="K1026" s="80"/>
      <c r="L1026" s="80"/>
      <c r="M1026" s="80"/>
      <c r="N1026" s="80"/>
      <c r="O1026" s="80"/>
      <c r="P1026" s="80"/>
      <c r="Q1026" s="80"/>
    </row>
    <row r="1027" spans="1:17" customFormat="1" ht="28.5">
      <c r="A1027" t="s">
        <v>239</v>
      </c>
      <c r="B1027" t="s">
        <v>240</v>
      </c>
      <c r="C1027" t="s">
        <v>3123</v>
      </c>
      <c r="D1027" s="5">
        <v>46083</v>
      </c>
      <c r="E1027" s="5">
        <v>46083</v>
      </c>
      <c r="F1027" s="120" t="s">
        <v>3124</v>
      </c>
      <c r="G1027" s="1"/>
      <c r="H1027" s="1" t="s">
        <v>243</v>
      </c>
      <c r="I1027" s="1" t="s">
        <v>3125</v>
      </c>
      <c r="J1027" s="80"/>
      <c r="K1027" s="80"/>
      <c r="L1027" s="80"/>
      <c r="M1027" s="80"/>
      <c r="N1027" s="80"/>
      <c r="O1027" s="80"/>
      <c r="P1027" s="80"/>
      <c r="Q1027" s="80"/>
    </row>
    <row r="1028" spans="1:17" customFormat="1" ht="42.75">
      <c r="A1028" t="s">
        <v>239</v>
      </c>
      <c r="B1028" t="s">
        <v>240</v>
      </c>
      <c r="C1028" t="s">
        <v>3123</v>
      </c>
      <c r="D1028" s="5">
        <v>46083</v>
      </c>
      <c r="E1028" s="5">
        <v>46083</v>
      </c>
      <c r="F1028" s="120" t="s">
        <v>3126</v>
      </c>
      <c r="G1028" s="1"/>
      <c r="H1028" s="1" t="s">
        <v>833</v>
      </c>
      <c r="I1028" s="1" t="s">
        <v>3127</v>
      </c>
      <c r="J1028" s="80"/>
      <c r="K1028" s="80"/>
      <c r="L1028" s="80"/>
      <c r="M1028" s="80"/>
      <c r="N1028" s="80"/>
      <c r="O1028" s="80"/>
      <c r="P1028" s="80"/>
      <c r="Q1028" s="80"/>
    </row>
    <row r="1029" spans="1:17" customFormat="1" ht="42.75">
      <c r="A1029" t="s">
        <v>239</v>
      </c>
      <c r="B1029" t="s">
        <v>240</v>
      </c>
      <c r="C1029" t="s">
        <v>3128</v>
      </c>
      <c r="D1029" s="5">
        <v>46083</v>
      </c>
      <c r="E1029" s="5">
        <v>46083</v>
      </c>
      <c r="F1029" s="120" t="s">
        <v>3129</v>
      </c>
      <c r="G1029" s="1"/>
      <c r="H1029" s="1" t="s">
        <v>533</v>
      </c>
      <c r="I1029" s="1" t="s">
        <v>3130</v>
      </c>
      <c r="J1029" s="80"/>
      <c r="K1029" s="80"/>
      <c r="L1029" s="80"/>
      <c r="M1029" s="80"/>
      <c r="N1029" s="80"/>
      <c r="O1029" s="80"/>
      <c r="P1029" s="80"/>
      <c r="Q1029" s="80"/>
    </row>
    <row r="1030" spans="1:17" customFormat="1" ht="28.5">
      <c r="A1030" t="s">
        <v>239</v>
      </c>
      <c r="B1030" t="s">
        <v>240</v>
      </c>
      <c r="C1030" t="s">
        <v>3131</v>
      </c>
      <c r="D1030" s="5">
        <v>46083</v>
      </c>
      <c r="E1030" s="5">
        <v>46083</v>
      </c>
      <c r="F1030" s="120" t="s">
        <v>2320</v>
      </c>
      <c r="G1030" s="1" t="s">
        <v>1557</v>
      </c>
      <c r="H1030" s="1"/>
      <c r="I1030" s="1" t="s">
        <v>3132</v>
      </c>
      <c r="J1030" s="80"/>
      <c r="K1030" s="80"/>
      <c r="L1030" s="80"/>
      <c r="M1030" s="80"/>
      <c r="N1030" s="80"/>
      <c r="O1030" s="80"/>
      <c r="P1030" s="80"/>
      <c r="Q1030" s="80"/>
    </row>
    <row r="1031" spans="1:17" customFormat="1" ht="42.75">
      <c r="A1031" t="s">
        <v>239</v>
      </c>
      <c r="B1031" t="s">
        <v>240</v>
      </c>
      <c r="C1031" t="s">
        <v>3133</v>
      </c>
      <c r="D1031" s="5">
        <v>46084</v>
      </c>
      <c r="E1031" s="5">
        <v>46084</v>
      </c>
      <c r="F1031" s="120" t="s">
        <v>3134</v>
      </c>
      <c r="G1031" s="1"/>
      <c r="H1031" s="1" t="s">
        <v>243</v>
      </c>
      <c r="I1031" s="1" t="s">
        <v>3135</v>
      </c>
      <c r="J1031" s="80"/>
      <c r="K1031" s="80"/>
      <c r="L1031" s="80"/>
      <c r="M1031" s="80"/>
      <c r="N1031" s="80"/>
      <c r="O1031" s="80"/>
      <c r="P1031" s="80"/>
      <c r="Q1031" s="80"/>
    </row>
    <row r="1032" spans="1:17" customFormat="1" ht="42.75">
      <c r="A1032" t="s">
        <v>239</v>
      </c>
      <c r="B1032" t="s">
        <v>240</v>
      </c>
      <c r="C1032" t="s">
        <v>3133</v>
      </c>
      <c r="D1032" s="5">
        <v>46084</v>
      </c>
      <c r="E1032" s="5">
        <v>46084</v>
      </c>
      <c r="F1032" s="120" t="s">
        <v>3136</v>
      </c>
      <c r="G1032" s="1"/>
      <c r="H1032" s="1" t="s">
        <v>588</v>
      </c>
      <c r="I1032" s="1" t="s">
        <v>3137</v>
      </c>
      <c r="J1032" s="80"/>
      <c r="K1032" s="80"/>
      <c r="L1032" s="80"/>
      <c r="M1032" s="80"/>
      <c r="N1032" s="80"/>
      <c r="O1032" s="80"/>
      <c r="P1032" s="80"/>
      <c r="Q1032" s="80"/>
    </row>
    <row r="1033" spans="1:17" customFormat="1" ht="28.5">
      <c r="A1033" t="s">
        <v>239</v>
      </c>
      <c r="B1033" t="s">
        <v>240</v>
      </c>
      <c r="C1033" t="s">
        <v>3138</v>
      </c>
      <c r="D1033" s="5">
        <v>46084</v>
      </c>
      <c r="E1033" s="5">
        <v>46084</v>
      </c>
      <c r="F1033" s="120" t="s">
        <v>3139</v>
      </c>
      <c r="G1033" s="1"/>
      <c r="H1033" s="1" t="s">
        <v>254</v>
      </c>
      <c r="I1033" s="1" t="s">
        <v>3140</v>
      </c>
      <c r="J1033" s="80"/>
      <c r="K1033" s="80"/>
      <c r="L1033" s="80"/>
      <c r="M1033" s="80"/>
      <c r="N1033" s="80"/>
      <c r="O1033" s="80"/>
      <c r="P1033" s="80"/>
      <c r="Q1033" s="80"/>
    </row>
    <row r="1034" spans="1:17" customFormat="1" ht="42.75">
      <c r="A1034" t="s">
        <v>239</v>
      </c>
      <c r="B1034" t="s">
        <v>240</v>
      </c>
      <c r="C1034" t="s">
        <v>3138</v>
      </c>
      <c r="D1034" s="5">
        <v>46084</v>
      </c>
      <c r="E1034" s="5">
        <v>46084</v>
      </c>
      <c r="F1034" s="120" t="s">
        <v>3141</v>
      </c>
      <c r="G1034" s="1"/>
      <c r="H1034" s="1" t="s">
        <v>295</v>
      </c>
      <c r="I1034" s="1" t="s">
        <v>3142</v>
      </c>
      <c r="J1034" s="80"/>
      <c r="K1034" s="80"/>
      <c r="L1034" s="80"/>
      <c r="M1034" s="80"/>
      <c r="N1034" s="80"/>
      <c r="O1034" s="80"/>
      <c r="P1034" s="80"/>
      <c r="Q1034" s="80"/>
    </row>
    <row r="1035" spans="1:17" customFormat="1" ht="28.5">
      <c r="A1035" t="s">
        <v>239</v>
      </c>
      <c r="B1035" t="s">
        <v>240</v>
      </c>
      <c r="C1035" t="s">
        <v>3143</v>
      </c>
      <c r="D1035" s="5">
        <v>46085</v>
      </c>
      <c r="E1035" s="5">
        <v>46085</v>
      </c>
      <c r="F1035" s="120" t="s">
        <v>3144</v>
      </c>
      <c r="G1035" s="1" t="s">
        <v>3145</v>
      </c>
      <c r="H1035" s="1"/>
      <c r="I1035" s="1" t="s">
        <v>3146</v>
      </c>
      <c r="J1035" s="80"/>
      <c r="K1035" s="80"/>
      <c r="L1035" s="80"/>
      <c r="M1035" s="80"/>
      <c r="N1035" s="80"/>
      <c r="O1035" s="80"/>
      <c r="P1035" s="80"/>
      <c r="Q1035" s="80"/>
    </row>
    <row r="1036" spans="1:17" customFormat="1" ht="28.5">
      <c r="A1036" t="s">
        <v>239</v>
      </c>
      <c r="B1036" t="s">
        <v>240</v>
      </c>
      <c r="C1036" t="s">
        <v>3147</v>
      </c>
      <c r="D1036" s="5">
        <v>46085</v>
      </c>
      <c r="E1036" s="5">
        <v>46085</v>
      </c>
      <c r="F1036" s="120" t="s">
        <v>3148</v>
      </c>
      <c r="G1036" s="1" t="s">
        <v>671</v>
      </c>
      <c r="H1036" s="1"/>
      <c r="I1036" s="1" t="s">
        <v>3149</v>
      </c>
      <c r="J1036" s="80"/>
      <c r="K1036" s="80"/>
      <c r="L1036" s="80"/>
      <c r="M1036" s="80"/>
      <c r="N1036" s="80"/>
      <c r="O1036" s="80"/>
      <c r="P1036" s="80"/>
      <c r="Q1036" s="80"/>
    </row>
    <row r="1037" spans="1:17" customFormat="1">
      <c r="A1037" t="s">
        <v>239</v>
      </c>
      <c r="B1037" t="s">
        <v>240</v>
      </c>
      <c r="C1037" t="s">
        <v>3150</v>
      </c>
      <c r="D1037" s="5">
        <v>46087</v>
      </c>
      <c r="E1037" s="5">
        <v>46087</v>
      </c>
      <c r="F1037" s="120" t="s">
        <v>3151</v>
      </c>
      <c r="G1037" s="1" t="s">
        <v>1476</v>
      </c>
      <c r="H1037" s="1"/>
      <c r="I1037" s="1" t="s">
        <v>3152</v>
      </c>
      <c r="J1037" s="80"/>
      <c r="K1037" s="80"/>
      <c r="L1037" s="80"/>
      <c r="M1037" s="80"/>
      <c r="N1037" s="80"/>
      <c r="O1037" s="80"/>
      <c r="P1037" s="80"/>
      <c r="Q1037" s="80"/>
    </row>
    <row r="1038" spans="1:17" customFormat="1" ht="28.5">
      <c r="A1038" t="s">
        <v>239</v>
      </c>
      <c r="B1038" t="s">
        <v>240</v>
      </c>
      <c r="C1038" t="s">
        <v>3153</v>
      </c>
      <c r="D1038" s="5">
        <v>46087</v>
      </c>
      <c r="E1038" s="5">
        <v>46087</v>
      </c>
      <c r="F1038" s="120" t="s">
        <v>3154</v>
      </c>
      <c r="G1038" s="1" t="s">
        <v>3155</v>
      </c>
      <c r="H1038" s="1"/>
      <c r="I1038" s="1" t="s">
        <v>3156</v>
      </c>
      <c r="J1038" s="80"/>
      <c r="K1038" s="80"/>
      <c r="L1038" s="80"/>
      <c r="M1038" s="80"/>
      <c r="N1038" s="80"/>
      <c r="O1038" s="80"/>
      <c r="P1038" s="80"/>
      <c r="Q1038" s="80"/>
    </row>
    <row r="1039" spans="1:17" customFormat="1" ht="28.5">
      <c r="A1039" t="s">
        <v>239</v>
      </c>
      <c r="B1039" t="s">
        <v>240</v>
      </c>
      <c r="C1039" t="s">
        <v>3157</v>
      </c>
      <c r="D1039" s="5">
        <v>46087</v>
      </c>
      <c r="E1039" s="5">
        <v>46087</v>
      </c>
      <c r="F1039" s="120" t="s">
        <v>3158</v>
      </c>
      <c r="G1039" s="1" t="s">
        <v>833</v>
      </c>
      <c r="H1039" s="1"/>
      <c r="I1039" s="1" t="s">
        <v>3159</v>
      </c>
      <c r="J1039" s="80"/>
      <c r="K1039" s="80"/>
      <c r="L1039" s="80"/>
      <c r="M1039" s="80"/>
      <c r="N1039" s="80"/>
      <c r="O1039" s="80"/>
      <c r="P1039" s="80"/>
      <c r="Q1039" s="80"/>
    </row>
    <row r="1040" spans="1:17" customFormat="1">
      <c r="A1040" t="s">
        <v>239</v>
      </c>
      <c r="B1040" t="s">
        <v>240</v>
      </c>
      <c r="C1040" t="s">
        <v>3160</v>
      </c>
      <c r="D1040" s="5">
        <v>46087</v>
      </c>
      <c r="E1040" s="5">
        <v>46087</v>
      </c>
      <c r="F1040" s="120" t="s">
        <v>3161</v>
      </c>
      <c r="G1040" s="1" t="s">
        <v>3162</v>
      </c>
      <c r="H1040" s="1"/>
      <c r="I1040" s="1" t="s">
        <v>3163</v>
      </c>
      <c r="J1040" s="80"/>
      <c r="K1040" s="80"/>
      <c r="L1040" s="80"/>
      <c r="M1040" s="80"/>
      <c r="N1040" s="80"/>
      <c r="O1040" s="80"/>
      <c r="P1040" s="80"/>
      <c r="Q1040" s="80"/>
    </row>
    <row r="1041" spans="1:17" customFormat="1" ht="42.75">
      <c r="A1041" t="s">
        <v>239</v>
      </c>
      <c r="B1041" t="s">
        <v>240</v>
      </c>
      <c r="C1041" t="s">
        <v>3164</v>
      </c>
      <c r="D1041" s="5">
        <v>46087</v>
      </c>
      <c r="E1041" s="5">
        <v>46087</v>
      </c>
      <c r="F1041" s="120" t="s">
        <v>3165</v>
      </c>
      <c r="G1041" s="1" t="s">
        <v>1557</v>
      </c>
      <c r="H1041" s="1"/>
      <c r="I1041" s="1" t="s">
        <v>3166</v>
      </c>
      <c r="J1041" s="80"/>
      <c r="K1041" s="80"/>
      <c r="L1041" s="80"/>
      <c r="M1041" s="80"/>
      <c r="N1041" s="80"/>
      <c r="O1041" s="80"/>
      <c r="P1041" s="80"/>
      <c r="Q1041" s="80"/>
    </row>
    <row r="1042" spans="1:17" customFormat="1" ht="28.5">
      <c r="A1042" t="s">
        <v>239</v>
      </c>
      <c r="B1042" t="s">
        <v>240</v>
      </c>
      <c r="C1042" t="s">
        <v>3167</v>
      </c>
      <c r="D1042" s="5">
        <v>46088</v>
      </c>
      <c r="E1042" s="5">
        <v>46088</v>
      </c>
      <c r="F1042" s="120" t="s">
        <v>3168</v>
      </c>
      <c r="G1042" s="1"/>
      <c r="H1042" s="1" t="s">
        <v>254</v>
      </c>
      <c r="I1042" s="1" t="s">
        <v>3169</v>
      </c>
      <c r="J1042" s="80"/>
      <c r="K1042" s="80"/>
      <c r="L1042" s="80"/>
      <c r="M1042" s="80"/>
      <c r="N1042" s="80"/>
      <c r="O1042" s="80"/>
      <c r="P1042" s="80"/>
      <c r="Q1042" s="80"/>
    </row>
    <row r="1043" spans="1:17" customFormat="1" ht="28.5">
      <c r="A1043" t="s">
        <v>239</v>
      </c>
      <c r="B1043" t="s">
        <v>240</v>
      </c>
      <c r="C1043" t="s">
        <v>3167</v>
      </c>
      <c r="D1043" s="5">
        <v>46088</v>
      </c>
      <c r="E1043" s="5">
        <v>46088</v>
      </c>
      <c r="F1043" s="120" t="s">
        <v>3170</v>
      </c>
      <c r="G1043" s="1"/>
      <c r="H1043" s="1" t="s">
        <v>307</v>
      </c>
      <c r="I1043" s="1" t="s">
        <v>3171</v>
      </c>
      <c r="J1043" s="80"/>
      <c r="K1043" s="80"/>
      <c r="L1043" s="80"/>
      <c r="M1043" s="80"/>
      <c r="N1043" s="80"/>
      <c r="O1043" s="80"/>
      <c r="P1043" s="80"/>
      <c r="Q1043" s="80"/>
    </row>
    <row r="1044" spans="1:17" customFormat="1" ht="28.5">
      <c r="A1044" t="s">
        <v>239</v>
      </c>
      <c r="B1044" t="s">
        <v>240</v>
      </c>
      <c r="C1044" t="s">
        <v>3172</v>
      </c>
      <c r="D1044" s="5">
        <v>46088</v>
      </c>
      <c r="E1044" s="5">
        <v>46088</v>
      </c>
      <c r="F1044" s="120" t="s">
        <v>3173</v>
      </c>
      <c r="G1044" s="1"/>
      <c r="H1044" s="1" t="s">
        <v>261</v>
      </c>
      <c r="I1044" s="1" t="s">
        <v>3174</v>
      </c>
      <c r="J1044" s="80"/>
      <c r="K1044" s="80"/>
      <c r="L1044" s="80"/>
      <c r="M1044" s="80"/>
      <c r="N1044" s="80"/>
      <c r="O1044" s="80"/>
      <c r="P1044" s="80"/>
      <c r="Q1044" s="80"/>
    </row>
    <row r="1045" spans="1:17" customFormat="1" ht="42.75">
      <c r="A1045" t="s">
        <v>239</v>
      </c>
      <c r="B1045" t="s">
        <v>240</v>
      </c>
      <c r="C1045" t="s">
        <v>3172</v>
      </c>
      <c r="D1045" s="5">
        <v>46088</v>
      </c>
      <c r="E1045" s="5">
        <v>46088</v>
      </c>
      <c r="F1045" s="120" t="s">
        <v>3175</v>
      </c>
      <c r="G1045" s="1"/>
      <c r="H1045" s="1" t="s">
        <v>307</v>
      </c>
      <c r="I1045" s="1" t="s">
        <v>3176</v>
      </c>
      <c r="J1045" s="80"/>
      <c r="K1045" s="80"/>
      <c r="L1045" s="80"/>
      <c r="M1045" s="80"/>
      <c r="N1045" s="80"/>
      <c r="O1045" s="80"/>
      <c r="P1045" s="80"/>
      <c r="Q1045" s="80"/>
    </row>
    <row r="1046" spans="1:17" customFormat="1" ht="28.5">
      <c r="A1046" t="s">
        <v>239</v>
      </c>
      <c r="B1046" t="s">
        <v>240</v>
      </c>
      <c r="C1046" t="s">
        <v>3177</v>
      </c>
      <c r="D1046" s="5">
        <v>46088</v>
      </c>
      <c r="E1046" s="5">
        <v>46088</v>
      </c>
      <c r="F1046" s="120" t="s">
        <v>3178</v>
      </c>
      <c r="G1046" s="1" t="s">
        <v>1004</v>
      </c>
      <c r="H1046" s="1"/>
      <c r="I1046" s="1" t="s">
        <v>3179</v>
      </c>
      <c r="J1046" s="80"/>
      <c r="K1046" s="80"/>
      <c r="L1046" s="80"/>
      <c r="M1046" s="80"/>
      <c r="N1046" s="80"/>
      <c r="O1046" s="80"/>
      <c r="P1046" s="80"/>
      <c r="Q1046" s="80"/>
    </row>
    <row r="1047" spans="1:17" customFormat="1" ht="28.5">
      <c r="A1047" t="s">
        <v>239</v>
      </c>
      <c r="B1047" t="s">
        <v>240</v>
      </c>
      <c r="C1047" t="s">
        <v>3180</v>
      </c>
      <c r="D1047" s="5">
        <v>46090</v>
      </c>
      <c r="E1047" s="5">
        <v>46090</v>
      </c>
      <c r="F1047" s="120" t="s">
        <v>3181</v>
      </c>
      <c r="G1047" s="1" t="s">
        <v>1557</v>
      </c>
      <c r="H1047" s="1"/>
      <c r="I1047" s="1" t="s">
        <v>3182</v>
      </c>
      <c r="J1047" s="80"/>
      <c r="K1047" s="80"/>
      <c r="L1047" s="80"/>
      <c r="M1047" s="80"/>
      <c r="N1047" s="80"/>
      <c r="O1047" s="80"/>
      <c r="P1047" s="80"/>
      <c r="Q1047" s="80"/>
    </row>
    <row r="1048" spans="1:17" customFormat="1" ht="28.5">
      <c r="A1048" t="s">
        <v>239</v>
      </c>
      <c r="B1048" t="s">
        <v>240</v>
      </c>
      <c r="C1048" t="s">
        <v>3183</v>
      </c>
      <c r="D1048" s="5">
        <v>46090</v>
      </c>
      <c r="E1048" s="5">
        <v>46090</v>
      </c>
      <c r="F1048" s="120" t="s">
        <v>3184</v>
      </c>
      <c r="G1048" s="1"/>
      <c r="H1048" s="1" t="s">
        <v>254</v>
      </c>
      <c r="I1048" s="1" t="s">
        <v>3185</v>
      </c>
      <c r="J1048" s="80"/>
      <c r="K1048" s="80"/>
      <c r="L1048" s="80"/>
      <c r="M1048" s="80"/>
      <c r="N1048" s="80"/>
      <c r="O1048" s="80"/>
      <c r="P1048" s="80"/>
      <c r="Q1048" s="80"/>
    </row>
    <row r="1049" spans="1:17" customFormat="1" ht="42.75">
      <c r="A1049" t="s">
        <v>239</v>
      </c>
      <c r="B1049" t="s">
        <v>240</v>
      </c>
      <c r="C1049" t="s">
        <v>3183</v>
      </c>
      <c r="D1049" s="5">
        <v>46090</v>
      </c>
      <c r="E1049" s="5">
        <v>46090</v>
      </c>
      <c r="F1049" s="120" t="s">
        <v>3186</v>
      </c>
      <c r="G1049" s="1"/>
      <c r="H1049" s="1" t="s">
        <v>295</v>
      </c>
      <c r="I1049" s="1" t="s">
        <v>3187</v>
      </c>
      <c r="J1049" s="80"/>
      <c r="K1049" s="80"/>
      <c r="L1049" s="80"/>
      <c r="M1049" s="80"/>
      <c r="N1049" s="80"/>
      <c r="O1049" s="80"/>
      <c r="P1049" s="80"/>
      <c r="Q1049" s="80"/>
    </row>
    <row r="1050" spans="1:17" customFormat="1" ht="28.5">
      <c r="A1050" t="s">
        <v>540</v>
      </c>
      <c r="B1050" t="s">
        <v>240</v>
      </c>
      <c r="C1050" t="s">
        <v>3188</v>
      </c>
      <c r="D1050" s="5">
        <v>46090</v>
      </c>
      <c r="E1050" s="5">
        <v>46090</v>
      </c>
      <c r="F1050" s="120" t="s">
        <v>1611</v>
      </c>
      <c r="G1050" s="1" t="s">
        <v>1557</v>
      </c>
      <c r="H1050" s="1"/>
      <c r="I1050" s="1" t="s">
        <v>3189</v>
      </c>
      <c r="J1050" s="80"/>
      <c r="K1050" s="80"/>
      <c r="L1050" s="80"/>
      <c r="M1050" s="80"/>
      <c r="N1050" s="80"/>
      <c r="O1050" s="80"/>
      <c r="P1050" s="80"/>
      <c r="Q1050" s="80"/>
    </row>
    <row r="1051" spans="1:17" customFormat="1" ht="28.5">
      <c r="A1051" t="s">
        <v>239</v>
      </c>
      <c r="B1051" t="s">
        <v>240</v>
      </c>
      <c r="C1051" t="s">
        <v>3190</v>
      </c>
      <c r="D1051" s="5">
        <v>46091</v>
      </c>
      <c r="E1051" s="5">
        <v>46091</v>
      </c>
      <c r="F1051" s="120" t="s">
        <v>3191</v>
      </c>
      <c r="G1051" s="1" t="s">
        <v>650</v>
      </c>
      <c r="H1051" s="1"/>
      <c r="I1051" s="1" t="s">
        <v>3192</v>
      </c>
      <c r="J1051" s="80"/>
      <c r="K1051" s="80"/>
      <c r="L1051" s="80"/>
      <c r="M1051" s="80"/>
      <c r="N1051" s="80"/>
      <c r="O1051" s="80"/>
      <c r="P1051" s="80"/>
      <c r="Q1051" s="80"/>
    </row>
    <row r="1052" spans="1:17" customFormat="1" ht="28.5">
      <c r="A1052" t="s">
        <v>1539</v>
      </c>
      <c r="B1052" t="s">
        <v>240</v>
      </c>
      <c r="C1052" t="s">
        <v>3193</v>
      </c>
      <c r="D1052" s="5">
        <v>46092</v>
      </c>
      <c r="E1052" s="5">
        <v>46092</v>
      </c>
      <c r="F1052" s="120" t="s">
        <v>3194</v>
      </c>
      <c r="G1052" s="1" t="s">
        <v>1545</v>
      </c>
      <c r="H1052" s="1"/>
      <c r="I1052" s="1" t="s">
        <v>3195</v>
      </c>
      <c r="J1052" s="80"/>
      <c r="K1052" s="80"/>
      <c r="L1052" s="80"/>
      <c r="M1052" s="80"/>
      <c r="N1052" s="80"/>
      <c r="O1052" s="80"/>
      <c r="P1052" s="80"/>
      <c r="Q1052" s="80"/>
    </row>
    <row r="1053" spans="1:17" customFormat="1" ht="42.75">
      <c r="A1053" t="s">
        <v>239</v>
      </c>
      <c r="B1053" t="s">
        <v>240</v>
      </c>
      <c r="C1053" t="s">
        <v>3196</v>
      </c>
      <c r="D1053" s="5">
        <v>46092</v>
      </c>
      <c r="E1053" s="5">
        <v>46092</v>
      </c>
      <c r="F1053" s="120" t="s">
        <v>3197</v>
      </c>
      <c r="G1053" s="1"/>
      <c r="H1053" s="1" t="s">
        <v>254</v>
      </c>
      <c r="I1053" s="1" t="s">
        <v>3198</v>
      </c>
      <c r="J1053" s="80"/>
      <c r="K1053" s="80"/>
      <c r="L1053" s="80"/>
      <c r="M1053" s="80"/>
      <c r="N1053" s="80"/>
      <c r="O1053" s="80"/>
      <c r="P1053" s="80"/>
      <c r="Q1053" s="80"/>
    </row>
    <row r="1054" spans="1:17" customFormat="1" ht="42.75">
      <c r="A1054" t="s">
        <v>239</v>
      </c>
      <c r="B1054" t="s">
        <v>240</v>
      </c>
      <c r="C1054" t="s">
        <v>3196</v>
      </c>
      <c r="D1054" s="5">
        <v>46092</v>
      </c>
      <c r="E1054" s="5">
        <v>46092</v>
      </c>
      <c r="F1054" s="120" t="s">
        <v>3199</v>
      </c>
      <c r="G1054" s="1"/>
      <c r="H1054" s="1" t="s">
        <v>1545</v>
      </c>
      <c r="I1054" s="1" t="s">
        <v>3200</v>
      </c>
      <c r="J1054" s="80"/>
      <c r="K1054" s="80"/>
      <c r="L1054" s="80"/>
      <c r="M1054" s="80"/>
      <c r="N1054" s="80"/>
      <c r="O1054" s="80"/>
      <c r="P1054" s="80"/>
      <c r="Q1054" s="80"/>
    </row>
    <row r="1055" spans="1:17" customFormat="1">
      <c r="A1055" t="s">
        <v>239</v>
      </c>
      <c r="B1055" t="s">
        <v>240</v>
      </c>
      <c r="C1055" t="s">
        <v>3201</v>
      </c>
      <c r="D1055" s="5">
        <v>46092</v>
      </c>
      <c r="E1055" s="5">
        <v>46092</v>
      </c>
      <c r="F1055" s="120" t="s">
        <v>738</v>
      </c>
      <c r="G1055" s="1"/>
      <c r="H1055" s="1" t="s">
        <v>254</v>
      </c>
      <c r="I1055" s="1" t="s">
        <v>3202</v>
      </c>
      <c r="J1055" s="80"/>
      <c r="K1055" s="80"/>
      <c r="L1055" s="80"/>
      <c r="M1055" s="80"/>
      <c r="N1055" s="80"/>
      <c r="O1055" s="80"/>
      <c r="P1055" s="80"/>
      <c r="Q1055" s="80"/>
    </row>
    <row r="1056" spans="1:17" customFormat="1" ht="28.5">
      <c r="A1056" t="s">
        <v>239</v>
      </c>
      <c r="B1056" t="s">
        <v>240</v>
      </c>
      <c r="C1056" t="s">
        <v>3201</v>
      </c>
      <c r="D1056" s="5">
        <v>46092</v>
      </c>
      <c r="E1056" s="5">
        <v>46092</v>
      </c>
      <c r="F1056" s="120" t="s">
        <v>740</v>
      </c>
      <c r="G1056" s="1"/>
      <c r="H1056" s="1" t="s">
        <v>3203</v>
      </c>
      <c r="I1056" s="1" t="s">
        <v>3204</v>
      </c>
      <c r="J1056" s="80"/>
      <c r="K1056" s="80"/>
      <c r="L1056" s="80"/>
      <c r="M1056" s="80"/>
      <c r="N1056" s="80"/>
      <c r="O1056" s="80"/>
      <c r="P1056" s="80"/>
      <c r="Q1056" s="80"/>
    </row>
    <row r="1057" spans="1:17" customFormat="1">
      <c r="A1057" t="s">
        <v>239</v>
      </c>
      <c r="B1057" t="s">
        <v>240</v>
      </c>
      <c r="C1057" t="s">
        <v>3205</v>
      </c>
      <c r="D1057" s="5">
        <v>46092</v>
      </c>
      <c r="E1057" s="5">
        <v>46092</v>
      </c>
      <c r="F1057" s="120" t="s">
        <v>732</v>
      </c>
      <c r="G1057" s="1"/>
      <c r="H1057" s="1" t="s">
        <v>254</v>
      </c>
      <c r="I1057" s="1" t="s">
        <v>3206</v>
      </c>
      <c r="J1057" s="80"/>
      <c r="K1057" s="80"/>
      <c r="L1057" s="80"/>
      <c r="M1057" s="80"/>
      <c r="N1057" s="80"/>
      <c r="O1057" s="80"/>
      <c r="P1057" s="80"/>
      <c r="Q1057" s="80"/>
    </row>
    <row r="1058" spans="1:17" customFormat="1" ht="28.5">
      <c r="A1058" t="s">
        <v>239</v>
      </c>
      <c r="B1058" t="s">
        <v>240</v>
      </c>
      <c r="C1058" t="s">
        <v>3205</v>
      </c>
      <c r="D1058" s="5">
        <v>46092</v>
      </c>
      <c r="E1058" s="5">
        <v>46092</v>
      </c>
      <c r="F1058" s="120" t="s">
        <v>734</v>
      </c>
      <c r="G1058" s="1"/>
      <c r="H1058" s="1" t="s">
        <v>3207</v>
      </c>
      <c r="I1058" s="1" t="s">
        <v>3208</v>
      </c>
      <c r="J1058" s="80"/>
      <c r="K1058" s="80"/>
      <c r="L1058" s="80"/>
      <c r="M1058" s="80"/>
      <c r="N1058" s="80"/>
      <c r="O1058" s="80"/>
      <c r="P1058" s="80"/>
      <c r="Q1058" s="80"/>
    </row>
    <row r="1059" spans="1:17" customFormat="1" ht="42.75">
      <c r="A1059" t="s">
        <v>239</v>
      </c>
      <c r="B1059" t="s">
        <v>240</v>
      </c>
      <c r="C1059" t="s">
        <v>3209</v>
      </c>
      <c r="D1059" s="5">
        <v>46094</v>
      </c>
      <c r="E1059" s="5">
        <v>46094</v>
      </c>
      <c r="F1059" s="120" t="s">
        <v>3210</v>
      </c>
      <c r="G1059" s="1" t="s">
        <v>1476</v>
      </c>
      <c r="H1059" s="1"/>
      <c r="I1059" s="1" t="s">
        <v>3211</v>
      </c>
      <c r="J1059" s="80"/>
      <c r="K1059" s="80"/>
      <c r="L1059" s="80"/>
      <c r="M1059" s="80"/>
      <c r="N1059" s="80"/>
      <c r="O1059" s="80"/>
      <c r="P1059" s="80"/>
      <c r="Q1059" s="80"/>
    </row>
    <row r="1060" spans="1:17" customFormat="1" ht="28.5">
      <c r="A1060" t="s">
        <v>239</v>
      </c>
      <c r="B1060" t="s">
        <v>240</v>
      </c>
      <c r="C1060" t="s">
        <v>3212</v>
      </c>
      <c r="D1060" s="5">
        <v>46095</v>
      </c>
      <c r="E1060" s="5">
        <v>46095</v>
      </c>
      <c r="F1060" s="120" t="s">
        <v>3213</v>
      </c>
      <c r="G1060" s="1" t="s">
        <v>1557</v>
      </c>
      <c r="H1060" s="1"/>
      <c r="I1060" s="1" t="s">
        <v>3214</v>
      </c>
      <c r="J1060" s="80"/>
      <c r="K1060" s="80"/>
      <c r="L1060" s="80"/>
      <c r="M1060" s="80"/>
      <c r="N1060" s="80"/>
      <c r="O1060" s="80"/>
      <c r="P1060" s="80"/>
      <c r="Q1060" s="80"/>
    </row>
    <row r="1061" spans="1:17" customFormat="1" ht="42.75">
      <c r="A1061" t="s">
        <v>239</v>
      </c>
      <c r="B1061" t="s">
        <v>240</v>
      </c>
      <c r="C1061" t="s">
        <v>3215</v>
      </c>
      <c r="D1061" s="5">
        <v>46096</v>
      </c>
      <c r="E1061" s="5">
        <v>46096</v>
      </c>
      <c r="F1061" s="120" t="s">
        <v>3216</v>
      </c>
      <c r="G1061" s="1"/>
      <c r="H1061" s="1" t="s">
        <v>243</v>
      </c>
      <c r="I1061" s="1" t="s">
        <v>3217</v>
      </c>
      <c r="J1061" s="80"/>
      <c r="K1061" s="80"/>
      <c r="L1061" s="80"/>
      <c r="M1061" s="80"/>
      <c r="N1061" s="80"/>
      <c r="O1061" s="80"/>
      <c r="P1061" s="80"/>
      <c r="Q1061" s="80"/>
    </row>
    <row r="1062" spans="1:17" customFormat="1" ht="42.75">
      <c r="A1062" t="s">
        <v>239</v>
      </c>
      <c r="B1062" t="s">
        <v>240</v>
      </c>
      <c r="C1062" t="s">
        <v>3215</v>
      </c>
      <c r="D1062" s="5">
        <v>46096</v>
      </c>
      <c r="E1062" s="5">
        <v>46096</v>
      </c>
      <c r="F1062" s="120" t="s">
        <v>3218</v>
      </c>
      <c r="G1062" s="1"/>
      <c r="H1062" s="1" t="s">
        <v>580</v>
      </c>
      <c r="I1062" s="1" t="s">
        <v>3219</v>
      </c>
      <c r="J1062" s="80"/>
      <c r="K1062" s="80"/>
      <c r="L1062" s="80"/>
      <c r="M1062" s="80"/>
      <c r="N1062" s="80"/>
      <c r="O1062" s="80"/>
      <c r="P1062" s="80"/>
      <c r="Q1062" s="80"/>
    </row>
    <row r="1063" spans="1:17" customFormat="1" ht="28.5">
      <c r="A1063" t="s">
        <v>239</v>
      </c>
      <c r="B1063" t="s">
        <v>240</v>
      </c>
      <c r="C1063" t="s">
        <v>3220</v>
      </c>
      <c r="D1063" s="5">
        <v>46097</v>
      </c>
      <c r="E1063" s="5">
        <v>46097</v>
      </c>
      <c r="F1063" s="120" t="s">
        <v>3221</v>
      </c>
      <c r="G1063" s="1" t="s">
        <v>897</v>
      </c>
      <c r="H1063" s="1"/>
      <c r="I1063" s="1" t="s">
        <v>3222</v>
      </c>
      <c r="J1063" s="80"/>
      <c r="K1063" s="80"/>
      <c r="L1063" s="80"/>
      <c r="M1063" s="80"/>
      <c r="N1063" s="80"/>
      <c r="O1063" s="80"/>
      <c r="P1063" s="80"/>
      <c r="Q1063" s="80"/>
    </row>
    <row r="1064" spans="1:17" customFormat="1">
      <c r="B1064" t="s">
        <v>240</v>
      </c>
      <c r="C1064" t="s">
        <v>3223</v>
      </c>
      <c r="D1064" s="5">
        <v>46097</v>
      </c>
      <c r="E1064" s="5">
        <v>46097</v>
      </c>
      <c r="F1064" s="120" t="s">
        <v>3224</v>
      </c>
      <c r="G1064" s="1" t="s">
        <v>3225</v>
      </c>
      <c r="H1064" s="1"/>
      <c r="I1064" s="1" t="s">
        <v>3226</v>
      </c>
      <c r="J1064" s="80"/>
      <c r="K1064" s="80"/>
      <c r="L1064" s="80"/>
      <c r="M1064" s="80"/>
      <c r="N1064" s="80"/>
      <c r="O1064" s="80"/>
      <c r="P1064" s="80"/>
      <c r="Q1064" s="80"/>
    </row>
    <row r="1065" spans="1:17" customFormat="1">
      <c r="B1065" t="s">
        <v>240</v>
      </c>
      <c r="C1065" t="s">
        <v>3227</v>
      </c>
      <c r="D1065" s="5">
        <v>46097</v>
      </c>
      <c r="E1065" s="5">
        <v>46097</v>
      </c>
      <c r="F1065" s="120" t="s">
        <v>3228</v>
      </c>
      <c r="G1065" s="1"/>
      <c r="H1065" s="1" t="s">
        <v>261</v>
      </c>
      <c r="I1065" s="1" t="s">
        <v>3229</v>
      </c>
      <c r="J1065" s="80"/>
      <c r="K1065" s="80"/>
      <c r="L1065" s="80"/>
      <c r="M1065" s="80"/>
      <c r="N1065" s="80"/>
      <c r="O1065" s="80"/>
      <c r="P1065" s="80"/>
      <c r="Q1065" s="80"/>
    </row>
    <row r="1066" spans="1:17" customFormat="1">
      <c r="B1066" t="s">
        <v>240</v>
      </c>
      <c r="C1066" t="s">
        <v>3227</v>
      </c>
      <c r="D1066" s="5">
        <v>46097</v>
      </c>
      <c r="E1066" s="5">
        <v>46097</v>
      </c>
      <c r="F1066" s="120" t="s">
        <v>3230</v>
      </c>
      <c r="G1066" s="1"/>
      <c r="H1066" s="1" t="s">
        <v>3231</v>
      </c>
      <c r="I1066" s="1" t="s">
        <v>3232</v>
      </c>
      <c r="J1066" s="80"/>
      <c r="K1066" s="80"/>
      <c r="L1066" s="80"/>
      <c r="M1066" s="80"/>
      <c r="N1066" s="80"/>
      <c r="O1066" s="80"/>
      <c r="P1066" s="80"/>
      <c r="Q1066" s="80"/>
    </row>
    <row r="1067" spans="1:17" customFormat="1" ht="42.75">
      <c r="A1067" t="s">
        <v>239</v>
      </c>
      <c r="B1067" t="s">
        <v>240</v>
      </c>
      <c r="C1067" t="s">
        <v>3233</v>
      </c>
      <c r="D1067" s="5">
        <v>46098</v>
      </c>
      <c r="E1067" s="5">
        <v>46098</v>
      </c>
      <c r="F1067" s="120" t="s">
        <v>3234</v>
      </c>
      <c r="G1067" s="1"/>
      <c r="H1067" s="1" t="s">
        <v>3235</v>
      </c>
      <c r="I1067" s="1" t="s">
        <v>3236</v>
      </c>
      <c r="J1067" s="80"/>
      <c r="K1067" s="80"/>
      <c r="L1067" s="80"/>
      <c r="M1067" s="80"/>
      <c r="N1067" s="80"/>
      <c r="O1067" s="80"/>
      <c r="P1067" s="80"/>
      <c r="Q1067" s="80"/>
    </row>
    <row r="1068" spans="1:17" customFormat="1" ht="28.5">
      <c r="A1068" t="s">
        <v>239</v>
      </c>
      <c r="B1068" t="s">
        <v>240</v>
      </c>
      <c r="C1068" t="s">
        <v>3237</v>
      </c>
      <c r="D1068" s="5">
        <v>46098</v>
      </c>
      <c r="E1068" s="5">
        <v>46098</v>
      </c>
      <c r="F1068" s="120" t="s">
        <v>3238</v>
      </c>
      <c r="G1068" s="1" t="s">
        <v>2030</v>
      </c>
      <c r="H1068" s="1"/>
      <c r="I1068" s="1" t="s">
        <v>3239</v>
      </c>
      <c r="J1068" s="80"/>
      <c r="K1068" s="80"/>
      <c r="L1068" s="80"/>
      <c r="M1068" s="80"/>
      <c r="N1068" s="80"/>
      <c r="O1068" s="80"/>
      <c r="P1068" s="80"/>
      <c r="Q1068" s="80"/>
    </row>
    <row r="1069" spans="1:17" customFormat="1" ht="42.75">
      <c r="A1069" t="s">
        <v>239</v>
      </c>
      <c r="B1069" t="s">
        <v>240</v>
      </c>
      <c r="C1069" t="s">
        <v>3240</v>
      </c>
      <c r="D1069" s="5">
        <v>46099</v>
      </c>
      <c r="E1069" s="5">
        <v>46099</v>
      </c>
      <c r="F1069" s="120" t="s">
        <v>3241</v>
      </c>
      <c r="G1069" s="1"/>
      <c r="H1069" s="1" t="s">
        <v>313</v>
      </c>
      <c r="I1069" s="1" t="s">
        <v>3242</v>
      </c>
      <c r="J1069" s="80"/>
      <c r="K1069" s="80"/>
      <c r="L1069" s="80"/>
      <c r="M1069" s="80"/>
      <c r="N1069" s="80"/>
      <c r="O1069" s="80"/>
      <c r="P1069" s="80"/>
      <c r="Q1069" s="80"/>
    </row>
    <row r="1070" spans="1:17" customFormat="1" ht="42.75">
      <c r="A1070" t="s">
        <v>239</v>
      </c>
      <c r="B1070" t="s">
        <v>240</v>
      </c>
      <c r="C1070" t="s">
        <v>3243</v>
      </c>
      <c r="D1070" s="5">
        <v>46099</v>
      </c>
      <c r="E1070" s="5">
        <v>46099</v>
      </c>
      <c r="F1070" s="120" t="s">
        <v>3244</v>
      </c>
      <c r="G1070" s="1"/>
      <c r="H1070" s="1" t="s">
        <v>1170</v>
      </c>
      <c r="I1070" s="1" t="s">
        <v>3245</v>
      </c>
      <c r="J1070" s="80"/>
      <c r="K1070" s="80"/>
      <c r="L1070" s="80"/>
      <c r="M1070" s="80"/>
      <c r="N1070" s="80"/>
      <c r="O1070" s="80"/>
      <c r="P1070" s="80"/>
      <c r="Q1070" s="80"/>
    </row>
    <row r="1071" spans="1:17" customFormat="1" ht="42.75">
      <c r="A1071" t="s">
        <v>239</v>
      </c>
      <c r="B1071" t="s">
        <v>240</v>
      </c>
      <c r="C1071" t="s">
        <v>3246</v>
      </c>
      <c r="D1071" s="5">
        <v>46099</v>
      </c>
      <c r="E1071" s="5">
        <v>46099</v>
      </c>
      <c r="F1071" s="120" t="s">
        <v>3247</v>
      </c>
      <c r="G1071" s="1" t="s">
        <v>3248</v>
      </c>
      <c r="H1071" s="1"/>
      <c r="I1071" s="1" t="s">
        <v>3249</v>
      </c>
      <c r="J1071" s="80"/>
      <c r="K1071" s="80"/>
      <c r="L1071" s="80"/>
      <c r="M1071" s="80"/>
      <c r="N1071" s="80"/>
      <c r="O1071" s="80"/>
      <c r="P1071" s="80"/>
      <c r="Q1071" s="80"/>
    </row>
    <row r="1072" spans="1:17" customFormat="1" ht="28.5">
      <c r="A1072" t="s">
        <v>239</v>
      </c>
      <c r="B1072" t="s">
        <v>240</v>
      </c>
      <c r="C1072" t="s">
        <v>3250</v>
      </c>
      <c r="D1072" s="5">
        <v>46099</v>
      </c>
      <c r="E1072" s="5">
        <v>46099</v>
      </c>
      <c r="F1072" s="120" t="s">
        <v>3251</v>
      </c>
      <c r="G1072" s="1"/>
      <c r="H1072" s="1" t="s">
        <v>254</v>
      </c>
      <c r="I1072" s="1" t="s">
        <v>3252</v>
      </c>
      <c r="J1072" s="80"/>
      <c r="K1072" s="80"/>
      <c r="L1072" s="80"/>
      <c r="M1072" s="80"/>
      <c r="N1072" s="80"/>
      <c r="O1072" s="80"/>
      <c r="P1072" s="80"/>
      <c r="Q1072" s="80"/>
    </row>
    <row r="1073" spans="1:17" customFormat="1" ht="28.5">
      <c r="A1073" t="s">
        <v>239</v>
      </c>
      <c r="B1073" t="s">
        <v>240</v>
      </c>
      <c r="C1073" t="s">
        <v>3250</v>
      </c>
      <c r="D1073" s="5">
        <v>46099</v>
      </c>
      <c r="E1073" s="5">
        <v>46099</v>
      </c>
      <c r="F1073" s="120" t="s">
        <v>3253</v>
      </c>
      <c r="G1073" s="1"/>
      <c r="H1073" s="1" t="s">
        <v>1530</v>
      </c>
      <c r="I1073" s="1" t="s">
        <v>3254</v>
      </c>
      <c r="J1073" s="80"/>
      <c r="K1073" s="80"/>
      <c r="L1073" s="80"/>
      <c r="M1073" s="80"/>
      <c r="N1073" s="80"/>
      <c r="O1073" s="80"/>
      <c r="P1073" s="80"/>
      <c r="Q1073" s="80"/>
    </row>
    <row r="1074" spans="1:17" customFormat="1" ht="28.5">
      <c r="A1074" t="s">
        <v>239</v>
      </c>
      <c r="B1074" t="s">
        <v>240</v>
      </c>
      <c r="C1074" t="s">
        <v>3255</v>
      </c>
      <c r="D1074" s="5">
        <v>46100</v>
      </c>
      <c r="E1074" s="5">
        <v>46100</v>
      </c>
      <c r="F1074" s="120" t="s">
        <v>3256</v>
      </c>
      <c r="G1074" s="1" t="s">
        <v>1545</v>
      </c>
      <c r="H1074" s="1"/>
      <c r="I1074" s="1" t="s">
        <v>3257</v>
      </c>
      <c r="J1074" s="80"/>
      <c r="K1074" s="80"/>
      <c r="L1074" s="80"/>
      <c r="M1074" s="80"/>
      <c r="N1074" s="80"/>
      <c r="O1074" s="80"/>
      <c r="P1074" s="80"/>
      <c r="Q1074" s="80"/>
    </row>
    <row r="1075" spans="1:17" customFormat="1" ht="28.5">
      <c r="A1075" t="s">
        <v>239</v>
      </c>
      <c r="B1075" t="s">
        <v>240</v>
      </c>
      <c r="C1075" t="s">
        <v>3258</v>
      </c>
      <c r="D1075" s="5">
        <v>46100</v>
      </c>
      <c r="E1075" s="5">
        <v>46100</v>
      </c>
      <c r="F1075" s="120" t="s">
        <v>3259</v>
      </c>
      <c r="G1075" s="1" t="s">
        <v>1044</v>
      </c>
      <c r="H1075" s="1"/>
      <c r="I1075" s="1" t="s">
        <v>3260</v>
      </c>
      <c r="J1075" s="80"/>
      <c r="K1075" s="80"/>
      <c r="L1075" s="80"/>
      <c r="M1075" s="80"/>
      <c r="N1075" s="80"/>
      <c r="O1075" s="80"/>
      <c r="P1075" s="80"/>
      <c r="Q1075" s="80"/>
    </row>
    <row r="1076" spans="1:17" customFormat="1" ht="42.75">
      <c r="A1076" t="s">
        <v>239</v>
      </c>
      <c r="B1076" t="s">
        <v>240</v>
      </c>
      <c r="C1076" t="s">
        <v>3261</v>
      </c>
      <c r="D1076" s="5">
        <v>46101</v>
      </c>
      <c r="E1076" s="5">
        <v>46101</v>
      </c>
      <c r="F1076" s="120" t="s">
        <v>3262</v>
      </c>
      <c r="G1076" s="1"/>
      <c r="H1076" s="1" t="s">
        <v>261</v>
      </c>
      <c r="I1076" s="1" t="s">
        <v>3263</v>
      </c>
      <c r="J1076" s="80"/>
      <c r="K1076" s="80"/>
      <c r="L1076" s="80"/>
      <c r="M1076" s="80"/>
      <c r="N1076" s="80"/>
      <c r="O1076" s="80"/>
      <c r="P1076" s="80"/>
      <c r="Q1076" s="80"/>
    </row>
    <row r="1077" spans="1:17" customFormat="1" ht="42.75">
      <c r="A1077" t="s">
        <v>239</v>
      </c>
      <c r="B1077" t="s">
        <v>240</v>
      </c>
      <c r="C1077" t="s">
        <v>3261</v>
      </c>
      <c r="D1077" s="5">
        <v>46101</v>
      </c>
      <c r="E1077" s="5">
        <v>46101</v>
      </c>
      <c r="F1077" s="120" t="s">
        <v>3264</v>
      </c>
      <c r="G1077" s="1"/>
      <c r="H1077" s="1" t="s">
        <v>940</v>
      </c>
      <c r="I1077" s="1" t="s">
        <v>3265</v>
      </c>
      <c r="J1077" s="80"/>
      <c r="K1077" s="80"/>
      <c r="L1077" s="80"/>
      <c r="M1077" s="80"/>
      <c r="N1077" s="80"/>
      <c r="O1077" s="80"/>
      <c r="P1077" s="80"/>
      <c r="Q1077" s="80"/>
    </row>
    <row r="1078" spans="1:17" customFormat="1" ht="42.75">
      <c r="A1078" t="s">
        <v>239</v>
      </c>
      <c r="B1078" t="s">
        <v>240</v>
      </c>
      <c r="C1078" t="s">
        <v>3266</v>
      </c>
      <c r="D1078" s="5">
        <v>46102</v>
      </c>
      <c r="E1078" s="5">
        <v>46102</v>
      </c>
      <c r="F1078" s="120" t="s">
        <v>3267</v>
      </c>
      <c r="G1078" s="1"/>
      <c r="H1078" s="1" t="s">
        <v>243</v>
      </c>
      <c r="I1078" s="1" t="s">
        <v>3268</v>
      </c>
      <c r="J1078" s="80"/>
      <c r="K1078" s="80"/>
      <c r="L1078" s="80"/>
      <c r="M1078" s="80"/>
      <c r="N1078" s="80"/>
      <c r="O1078" s="80"/>
      <c r="P1078" s="80"/>
      <c r="Q1078" s="80"/>
    </row>
    <row r="1079" spans="1:17" customFormat="1" ht="42.75">
      <c r="A1079" t="s">
        <v>239</v>
      </c>
      <c r="B1079" t="s">
        <v>240</v>
      </c>
      <c r="C1079" t="s">
        <v>3266</v>
      </c>
      <c r="D1079" s="5">
        <v>46102</v>
      </c>
      <c r="E1079" s="5">
        <v>46102</v>
      </c>
      <c r="F1079" s="120" t="s">
        <v>3269</v>
      </c>
      <c r="G1079" s="1"/>
      <c r="H1079" s="1" t="s">
        <v>447</v>
      </c>
      <c r="I1079" s="1" t="s">
        <v>3270</v>
      </c>
      <c r="J1079" s="80"/>
      <c r="K1079" s="80"/>
      <c r="L1079" s="80"/>
      <c r="M1079" s="80"/>
      <c r="N1079" s="80"/>
      <c r="O1079" s="80"/>
      <c r="P1079" s="80"/>
      <c r="Q1079" s="80"/>
    </row>
    <row r="1080" spans="1:17" customFormat="1" ht="28.5">
      <c r="A1080" t="s">
        <v>239</v>
      </c>
      <c r="B1080" t="s">
        <v>240</v>
      </c>
      <c r="C1080" t="s">
        <v>3271</v>
      </c>
      <c r="D1080" s="5">
        <v>46102</v>
      </c>
      <c r="E1080" s="5">
        <v>46102</v>
      </c>
      <c r="F1080" s="120" t="s">
        <v>3272</v>
      </c>
      <c r="G1080" s="1"/>
      <c r="H1080" s="1" t="s">
        <v>254</v>
      </c>
      <c r="I1080" s="1" t="s">
        <v>3273</v>
      </c>
      <c r="J1080" s="80"/>
      <c r="K1080" s="80"/>
      <c r="L1080" s="80"/>
      <c r="M1080" s="80"/>
      <c r="N1080" s="80"/>
      <c r="O1080" s="80"/>
      <c r="P1080" s="80"/>
      <c r="Q1080" s="80"/>
    </row>
    <row r="1081" spans="1:17" customFormat="1" ht="42.75">
      <c r="A1081" t="s">
        <v>239</v>
      </c>
      <c r="B1081" t="s">
        <v>240</v>
      </c>
      <c r="C1081" t="s">
        <v>3271</v>
      </c>
      <c r="D1081" s="5">
        <v>46102</v>
      </c>
      <c r="E1081" s="5">
        <v>46102</v>
      </c>
      <c r="F1081" s="120" t="s">
        <v>3274</v>
      </c>
      <c r="G1081" s="1"/>
      <c r="H1081" s="1" t="s">
        <v>1032</v>
      </c>
      <c r="I1081" s="1" t="s">
        <v>3275</v>
      </c>
      <c r="J1081" s="80"/>
      <c r="K1081" s="80"/>
      <c r="L1081" s="80"/>
      <c r="M1081" s="80"/>
      <c r="N1081" s="80"/>
      <c r="O1081" s="80"/>
      <c r="P1081" s="80"/>
      <c r="Q1081" s="80"/>
    </row>
    <row r="1082" spans="1:17" customFormat="1">
      <c r="D1082" s="1"/>
      <c r="E1082" s="1"/>
      <c r="F1082" s="120"/>
      <c r="G1082" s="1"/>
      <c r="H1082" s="1"/>
      <c r="I1082" s="1"/>
      <c r="J1082" s="80"/>
      <c r="K1082" s="80"/>
      <c r="L1082" s="80"/>
      <c r="M1082" s="80"/>
      <c r="N1082" s="80"/>
      <c r="O1082" s="80"/>
      <c r="P1082" s="80"/>
      <c r="Q1082" s="80"/>
    </row>
    <row r="1083" spans="1:17" customFormat="1">
      <c r="D1083" s="1"/>
      <c r="E1083" s="1"/>
      <c r="F1083" s="120"/>
      <c r="G1083" s="1"/>
      <c r="H1083" s="1"/>
      <c r="I1083" s="1"/>
      <c r="J1083" s="80"/>
      <c r="K1083" s="80"/>
      <c r="L1083" s="80"/>
      <c r="M1083" s="80"/>
      <c r="N1083" s="80"/>
      <c r="O1083" s="80"/>
      <c r="P1083" s="80"/>
      <c r="Q1083" s="80"/>
    </row>
    <row r="1084" spans="1:17" customFormat="1">
      <c r="D1084" s="1"/>
      <c r="E1084" s="1"/>
      <c r="F1084" s="120"/>
      <c r="G1084" s="1"/>
      <c r="H1084" s="1"/>
      <c r="I1084" s="1"/>
      <c r="J1084" s="80"/>
      <c r="K1084" s="80"/>
      <c r="L1084" s="80"/>
      <c r="M1084" s="80"/>
      <c r="N1084" s="80"/>
      <c r="O1084" s="80"/>
      <c r="P1084" s="80"/>
      <c r="Q1084" s="80"/>
    </row>
    <row r="1085" spans="1:17" customFormat="1">
      <c r="D1085" s="1"/>
      <c r="E1085" s="1"/>
      <c r="F1085" s="120"/>
      <c r="G1085" s="1"/>
      <c r="H1085" s="1"/>
      <c r="I1085" s="1"/>
      <c r="J1085" s="80"/>
      <c r="K1085" s="80"/>
      <c r="L1085" s="80"/>
      <c r="M1085" s="80"/>
      <c r="N1085" s="80"/>
      <c r="O1085" s="80"/>
      <c r="P1085" s="80"/>
      <c r="Q1085" s="80"/>
    </row>
    <row r="1086" spans="1:17" customFormat="1">
      <c r="D1086" s="1"/>
      <c r="E1086" s="1"/>
      <c r="F1086" s="120"/>
      <c r="G1086" s="1"/>
      <c r="H1086" s="1"/>
      <c r="I1086" s="1"/>
      <c r="J1086" s="80"/>
      <c r="K1086" s="80"/>
      <c r="L1086" s="80"/>
      <c r="M1086" s="80"/>
      <c r="N1086" s="80"/>
      <c r="O1086" s="80"/>
      <c r="P1086" s="80"/>
      <c r="Q1086" s="80"/>
    </row>
    <row r="1087" spans="1:17" customFormat="1">
      <c r="D1087" s="1"/>
      <c r="E1087" s="1"/>
      <c r="F1087" s="120"/>
      <c r="G1087" s="1"/>
      <c r="H1087" s="1"/>
      <c r="I1087" s="1"/>
      <c r="J1087" s="80"/>
      <c r="K1087" s="80"/>
      <c r="L1087" s="80"/>
      <c r="M1087" s="80"/>
      <c r="N1087" s="80"/>
      <c r="O1087" s="80"/>
      <c r="P1087" s="80"/>
      <c r="Q1087" s="80"/>
    </row>
    <row r="1088" spans="1:17" customFormat="1">
      <c r="D1088" s="1"/>
      <c r="E1088" s="1"/>
      <c r="F1088" s="120"/>
      <c r="G1088" s="1"/>
      <c r="H1088" s="1"/>
      <c r="I1088" s="1"/>
      <c r="J1088" s="80"/>
      <c r="K1088" s="80"/>
      <c r="L1088" s="80"/>
      <c r="M1088" s="80"/>
      <c r="N1088" s="80"/>
      <c r="O1088" s="80"/>
      <c r="P1088" s="80"/>
      <c r="Q1088" s="80"/>
    </row>
    <row r="1089" spans="4:17" customFormat="1">
      <c r="D1089" s="1"/>
      <c r="E1089" s="1"/>
      <c r="F1089" s="120"/>
      <c r="G1089" s="1"/>
      <c r="H1089" s="1"/>
      <c r="I1089" s="1"/>
      <c r="J1089" s="80"/>
      <c r="K1089" s="80"/>
      <c r="L1089" s="80"/>
      <c r="M1089" s="80"/>
      <c r="N1089" s="80"/>
      <c r="O1089" s="80"/>
      <c r="P1089" s="80"/>
      <c r="Q1089" s="80"/>
    </row>
    <row r="1090" spans="4:17" customFormat="1">
      <c r="D1090" s="1"/>
      <c r="E1090" s="1"/>
      <c r="F1090" s="120"/>
      <c r="G1090" s="1"/>
      <c r="H1090" s="1"/>
      <c r="I1090" s="1"/>
      <c r="J1090" s="80"/>
      <c r="K1090" s="80"/>
      <c r="L1090" s="80"/>
      <c r="M1090" s="80"/>
      <c r="N1090" s="80"/>
      <c r="O1090" s="80"/>
      <c r="P1090" s="80"/>
      <c r="Q1090" s="80"/>
    </row>
    <row r="1091" spans="4:17" customFormat="1">
      <c r="D1091" s="1"/>
      <c r="E1091" s="1"/>
      <c r="F1091" s="120"/>
      <c r="G1091" s="1"/>
      <c r="H1091" s="1"/>
      <c r="I1091" s="1"/>
      <c r="J1091" s="80"/>
      <c r="K1091" s="80"/>
      <c r="L1091" s="80"/>
      <c r="M1091" s="80"/>
      <c r="N1091" s="80"/>
      <c r="O1091" s="80"/>
      <c r="P1091" s="80"/>
      <c r="Q1091" s="80"/>
    </row>
    <row r="1092" spans="4:17" customFormat="1">
      <c r="D1092" s="1"/>
      <c r="E1092" s="1"/>
      <c r="F1092" s="120"/>
      <c r="G1092" s="1"/>
      <c r="H1092" s="1"/>
      <c r="I1092" s="1"/>
      <c r="J1092" s="80"/>
      <c r="K1092" s="80"/>
      <c r="L1092" s="80"/>
      <c r="M1092" s="80"/>
      <c r="N1092" s="80"/>
      <c r="O1092" s="80"/>
      <c r="P1092" s="80"/>
      <c r="Q1092" s="80"/>
    </row>
    <row r="1093" spans="4:17" customFormat="1">
      <c r="D1093" s="1"/>
      <c r="E1093" s="1"/>
      <c r="F1093" s="120"/>
      <c r="G1093" s="1"/>
      <c r="H1093" s="1"/>
      <c r="I1093" s="1"/>
      <c r="J1093" s="80"/>
      <c r="K1093" s="80"/>
      <c r="L1093" s="80"/>
      <c r="M1093" s="80"/>
      <c r="N1093" s="80"/>
      <c r="O1093" s="80"/>
      <c r="P1093" s="80"/>
      <c r="Q1093" s="80"/>
    </row>
    <row r="1094" spans="4:17" customFormat="1">
      <c r="D1094" s="1"/>
      <c r="E1094" s="1"/>
      <c r="F1094" s="120"/>
      <c r="G1094" s="1"/>
      <c r="H1094" s="1"/>
      <c r="I1094" s="1"/>
      <c r="J1094" s="80"/>
      <c r="K1094" s="80"/>
      <c r="L1094" s="80"/>
      <c r="M1094" s="80"/>
      <c r="N1094" s="80"/>
      <c r="O1094" s="80"/>
      <c r="P1094" s="80"/>
      <c r="Q1094" s="80"/>
    </row>
    <row r="1095" spans="4:17" customFormat="1">
      <c r="D1095" s="1"/>
      <c r="E1095" s="1"/>
      <c r="F1095" s="120"/>
      <c r="G1095" s="1"/>
      <c r="H1095" s="1"/>
      <c r="I1095" s="1"/>
      <c r="J1095" s="80"/>
      <c r="K1095" s="80"/>
      <c r="L1095" s="80"/>
      <c r="M1095" s="80"/>
      <c r="N1095" s="80"/>
      <c r="O1095" s="80"/>
      <c r="P1095" s="80"/>
      <c r="Q1095" s="80"/>
    </row>
    <row r="1096" spans="4:17" customFormat="1">
      <c r="D1096" s="1"/>
      <c r="E1096" s="1"/>
      <c r="F1096" s="120"/>
      <c r="G1096" s="1"/>
      <c r="H1096" s="1"/>
      <c r="I1096" s="1"/>
      <c r="J1096" s="80"/>
      <c r="K1096" s="80"/>
      <c r="L1096" s="80"/>
      <c r="M1096" s="80"/>
      <c r="N1096" s="80"/>
      <c r="O1096" s="80"/>
      <c r="P1096" s="80"/>
      <c r="Q1096" s="80"/>
    </row>
    <row r="1097" spans="4:17" customFormat="1">
      <c r="D1097" s="1"/>
      <c r="E1097" s="1"/>
      <c r="F1097" s="120"/>
      <c r="G1097" s="1"/>
      <c r="H1097" s="1"/>
      <c r="I1097" s="1"/>
      <c r="J1097" s="80"/>
      <c r="K1097" s="80"/>
      <c r="L1097" s="80"/>
      <c r="M1097" s="80"/>
      <c r="N1097" s="80"/>
      <c r="O1097" s="80"/>
      <c r="P1097" s="80"/>
      <c r="Q1097" s="80"/>
    </row>
    <row r="1098" spans="4:17" customFormat="1">
      <c r="D1098" s="1"/>
      <c r="E1098" s="1"/>
      <c r="F1098" s="120"/>
      <c r="G1098" s="1"/>
      <c r="H1098" s="1"/>
      <c r="I1098" s="1"/>
      <c r="J1098" s="80"/>
      <c r="K1098" s="80"/>
      <c r="L1098" s="80"/>
      <c r="M1098" s="80"/>
      <c r="N1098" s="80"/>
      <c r="O1098" s="80"/>
      <c r="P1098" s="80"/>
      <c r="Q1098" s="80"/>
    </row>
    <row r="1099" spans="4:17" customFormat="1">
      <c r="D1099" s="1"/>
      <c r="E1099" s="1"/>
      <c r="F1099" s="120"/>
      <c r="G1099" s="1"/>
      <c r="H1099" s="1"/>
      <c r="I1099" s="1"/>
      <c r="J1099" s="80"/>
      <c r="K1099" s="80"/>
      <c r="L1099" s="80"/>
      <c r="M1099" s="80"/>
      <c r="N1099" s="80"/>
      <c r="O1099" s="80"/>
      <c r="P1099" s="80"/>
      <c r="Q1099" s="80"/>
    </row>
    <row r="1100" spans="4:17" customFormat="1">
      <c r="D1100" s="1"/>
      <c r="E1100" s="1"/>
      <c r="F1100" s="120"/>
      <c r="G1100" s="1"/>
      <c r="H1100" s="1"/>
      <c r="I1100" s="1"/>
      <c r="J1100" s="80"/>
      <c r="K1100" s="80"/>
      <c r="L1100" s="80"/>
      <c r="M1100" s="80"/>
      <c r="N1100" s="80"/>
      <c r="O1100" s="80"/>
      <c r="P1100" s="80"/>
      <c r="Q1100" s="80"/>
    </row>
    <row r="1101" spans="4:17" customFormat="1">
      <c r="D1101" s="1"/>
      <c r="E1101" s="1"/>
      <c r="F1101" s="120"/>
      <c r="G1101" s="1"/>
      <c r="H1101" s="1"/>
      <c r="I1101" s="1"/>
      <c r="J1101" s="80"/>
      <c r="K1101" s="80"/>
      <c r="L1101" s="80"/>
      <c r="M1101" s="80"/>
      <c r="N1101" s="80"/>
      <c r="O1101" s="80"/>
      <c r="P1101" s="80"/>
      <c r="Q1101" s="80"/>
    </row>
    <row r="1102" spans="4:17" customFormat="1">
      <c r="D1102" s="1"/>
      <c r="E1102" s="1"/>
      <c r="F1102" s="120"/>
      <c r="G1102" s="1"/>
      <c r="H1102" s="1"/>
      <c r="I1102" s="1"/>
      <c r="J1102" s="80"/>
      <c r="K1102" s="80"/>
      <c r="L1102" s="80"/>
      <c r="M1102" s="80"/>
      <c r="N1102" s="80"/>
      <c r="O1102" s="80"/>
      <c r="P1102" s="80"/>
      <c r="Q1102" s="80"/>
    </row>
    <row r="1103" spans="4:17" customFormat="1">
      <c r="D1103" s="1"/>
      <c r="E1103" s="1"/>
      <c r="F1103" s="120"/>
      <c r="G1103" s="1"/>
      <c r="H1103" s="1"/>
      <c r="I1103" s="1"/>
      <c r="J1103" s="80"/>
      <c r="K1103" s="80"/>
      <c r="L1103" s="80"/>
      <c r="M1103" s="80"/>
      <c r="N1103" s="80"/>
      <c r="O1103" s="80"/>
      <c r="P1103" s="80"/>
      <c r="Q1103" s="80"/>
    </row>
    <row r="1104" spans="4:17" customFormat="1">
      <c r="D1104" s="1"/>
      <c r="E1104" s="1"/>
      <c r="F1104" s="120"/>
      <c r="G1104" s="1"/>
      <c r="H1104" s="1"/>
      <c r="I1104" s="1"/>
      <c r="J1104" s="80"/>
      <c r="K1104" s="80"/>
      <c r="L1104" s="80"/>
      <c r="M1104" s="80"/>
      <c r="N1104" s="80"/>
      <c r="O1104" s="80"/>
      <c r="P1104" s="80"/>
      <c r="Q1104" s="80"/>
    </row>
    <row r="1105" spans="4:17" customFormat="1">
      <c r="D1105" s="1"/>
      <c r="E1105" s="1"/>
      <c r="F1105" s="120"/>
      <c r="G1105" s="1"/>
      <c r="H1105" s="1"/>
      <c r="I1105" s="1"/>
      <c r="J1105" s="80"/>
      <c r="K1105" s="80"/>
      <c r="L1105" s="80"/>
      <c r="M1105" s="80"/>
      <c r="N1105" s="80"/>
      <c r="O1105" s="80"/>
      <c r="P1105" s="80"/>
      <c r="Q1105" s="80"/>
    </row>
    <row r="1106" spans="4:17" customFormat="1">
      <c r="D1106" s="1"/>
      <c r="E1106" s="1"/>
      <c r="F1106" s="120"/>
      <c r="G1106" s="1"/>
      <c r="H1106" s="1"/>
      <c r="I1106" s="1"/>
      <c r="J1106" s="80"/>
      <c r="K1106" s="80"/>
      <c r="L1106" s="80"/>
      <c r="M1106" s="80"/>
      <c r="N1106" s="80"/>
      <c r="O1106" s="80"/>
      <c r="P1106" s="80"/>
      <c r="Q1106" s="80"/>
    </row>
    <row r="1107" spans="4:17" customFormat="1">
      <c r="D1107" s="1"/>
      <c r="E1107" s="1"/>
      <c r="F1107" s="120"/>
      <c r="G1107" s="1"/>
      <c r="H1107" s="1"/>
      <c r="I1107" s="1"/>
      <c r="J1107" s="80"/>
      <c r="K1107" s="80"/>
      <c r="L1107" s="80"/>
      <c r="M1107" s="80"/>
      <c r="N1107" s="80"/>
      <c r="O1107" s="80"/>
      <c r="P1107" s="80"/>
      <c r="Q1107" s="80"/>
    </row>
    <row r="1108" spans="4:17" customFormat="1">
      <c r="D1108" s="1"/>
      <c r="E1108" s="1"/>
      <c r="F1108" s="120"/>
      <c r="G1108" s="1"/>
      <c r="H1108" s="1"/>
      <c r="I1108" s="1"/>
      <c r="J1108" s="80"/>
      <c r="K1108" s="80"/>
      <c r="L1108" s="80"/>
      <c r="M1108" s="80"/>
      <c r="N1108" s="80"/>
      <c r="O1108" s="80"/>
      <c r="P1108" s="80"/>
      <c r="Q1108" s="80"/>
    </row>
    <row r="1109" spans="4:17" customFormat="1">
      <c r="D1109" s="1"/>
      <c r="E1109" s="1"/>
      <c r="F1109" s="120"/>
      <c r="G1109" s="1"/>
      <c r="H1109" s="1"/>
      <c r="I1109" s="1"/>
      <c r="J1109" s="80"/>
      <c r="K1109" s="80"/>
      <c r="L1109" s="80"/>
      <c r="M1109" s="80"/>
      <c r="N1109" s="80"/>
      <c r="O1109" s="80"/>
      <c r="P1109" s="80"/>
      <c r="Q1109" s="80"/>
    </row>
    <row r="1110" spans="4:17" customFormat="1">
      <c r="D1110" s="1"/>
      <c r="E1110" s="1"/>
      <c r="F1110" s="120"/>
      <c r="G1110" s="1"/>
      <c r="H1110" s="1"/>
      <c r="I1110" s="1"/>
      <c r="J1110" s="80"/>
      <c r="K1110" s="80"/>
      <c r="L1110" s="80"/>
      <c r="M1110" s="80"/>
      <c r="N1110" s="80"/>
      <c r="O1110" s="80"/>
      <c r="P1110" s="80"/>
      <c r="Q1110" s="80"/>
    </row>
    <row r="1111" spans="4:17" customFormat="1">
      <c r="D1111" s="1"/>
      <c r="E1111" s="1"/>
      <c r="F1111" s="120"/>
      <c r="G1111" s="1"/>
      <c r="H1111" s="1"/>
      <c r="I1111" s="1"/>
      <c r="J1111" s="80"/>
      <c r="K1111" s="80"/>
      <c r="L1111" s="80"/>
      <c r="M1111" s="80"/>
      <c r="N1111" s="80"/>
      <c r="O1111" s="80"/>
      <c r="P1111" s="80"/>
      <c r="Q1111" s="80"/>
    </row>
    <row r="1112" spans="4:17" customFormat="1">
      <c r="D1112" s="1"/>
      <c r="E1112" s="1"/>
      <c r="F1112" s="120"/>
      <c r="G1112" s="1"/>
      <c r="H1112" s="1"/>
      <c r="I1112" s="1"/>
      <c r="J1112" s="80"/>
      <c r="K1112" s="80"/>
      <c r="L1112" s="80"/>
      <c r="M1112" s="80"/>
      <c r="N1112" s="80"/>
      <c r="O1112" s="80"/>
      <c r="P1112" s="80"/>
      <c r="Q1112" s="80"/>
    </row>
    <row r="1113" spans="4:17" customFormat="1">
      <c r="D1113" s="1"/>
      <c r="E1113" s="1"/>
      <c r="F1113" s="120"/>
      <c r="G1113" s="1"/>
      <c r="H1113" s="1"/>
      <c r="I1113" s="1"/>
      <c r="J1113" s="80"/>
      <c r="K1113" s="80"/>
      <c r="L1113" s="80"/>
      <c r="M1113" s="80"/>
      <c r="N1113" s="80"/>
      <c r="O1113" s="80"/>
      <c r="P1113" s="80"/>
      <c r="Q1113" s="80"/>
    </row>
    <row r="1114" spans="4:17" customFormat="1">
      <c r="D1114" s="1"/>
      <c r="E1114" s="1"/>
      <c r="F1114" s="120"/>
      <c r="G1114" s="1"/>
      <c r="H1114" s="1"/>
      <c r="I1114" s="1"/>
      <c r="J1114" s="80"/>
      <c r="K1114" s="80"/>
      <c r="L1114" s="80"/>
      <c r="M1114" s="80"/>
      <c r="N1114" s="80"/>
      <c r="O1114" s="80"/>
      <c r="P1114" s="80"/>
      <c r="Q1114" s="80"/>
    </row>
    <row r="1115" spans="4:17" customFormat="1">
      <c r="D1115" s="1"/>
      <c r="E1115" s="1"/>
      <c r="F1115" s="120"/>
      <c r="G1115" s="1"/>
      <c r="H1115" s="1"/>
      <c r="I1115" s="1"/>
      <c r="J1115" s="80"/>
      <c r="K1115" s="80"/>
      <c r="L1115" s="80"/>
      <c r="M1115" s="80"/>
      <c r="N1115" s="80"/>
      <c r="O1115" s="80"/>
      <c r="P1115" s="80"/>
      <c r="Q1115" s="80"/>
    </row>
    <row r="1116" spans="4:17" customFormat="1">
      <c r="D1116" s="1"/>
      <c r="E1116" s="1"/>
      <c r="F1116" s="120"/>
      <c r="G1116" s="1"/>
      <c r="H1116" s="1"/>
      <c r="I1116" s="1"/>
      <c r="J1116" s="80"/>
      <c r="K1116" s="80"/>
      <c r="L1116" s="80"/>
      <c r="M1116" s="80"/>
      <c r="N1116" s="80"/>
      <c r="O1116" s="80"/>
      <c r="P1116" s="80"/>
      <c r="Q1116" s="80"/>
    </row>
    <row r="1117" spans="4:17" customFormat="1">
      <c r="D1117" s="1"/>
      <c r="E1117" s="1"/>
      <c r="F1117" s="120"/>
      <c r="G1117" s="1"/>
      <c r="H1117" s="1"/>
      <c r="I1117" s="1"/>
      <c r="J1117" s="80"/>
      <c r="K1117" s="80"/>
      <c r="L1117" s="80"/>
      <c r="M1117" s="80"/>
      <c r="N1117" s="80"/>
      <c r="O1117" s="80"/>
      <c r="P1117" s="80"/>
      <c r="Q1117" s="80"/>
    </row>
    <row r="1118" spans="4:17" customFormat="1">
      <c r="D1118" s="1"/>
      <c r="E1118" s="1"/>
      <c r="F1118" s="120"/>
      <c r="G1118" s="1"/>
      <c r="H1118" s="1"/>
      <c r="I1118" s="1"/>
      <c r="J1118" s="80"/>
      <c r="K1118" s="80"/>
      <c r="L1118" s="80"/>
      <c r="M1118" s="80"/>
      <c r="N1118" s="80"/>
      <c r="O1118" s="80"/>
      <c r="P1118" s="80"/>
      <c r="Q1118" s="80"/>
    </row>
    <row r="1119" spans="4:17" customFormat="1">
      <c r="D1119" s="1"/>
      <c r="E1119" s="1"/>
      <c r="F1119" s="120"/>
      <c r="G1119" s="1"/>
      <c r="H1119" s="1"/>
      <c r="I1119" s="1"/>
      <c r="J1119" s="80"/>
      <c r="K1119" s="80"/>
      <c r="L1119" s="80"/>
      <c r="M1119" s="80"/>
      <c r="N1119" s="80"/>
      <c r="O1119" s="80"/>
      <c r="P1119" s="80"/>
      <c r="Q1119" s="80"/>
    </row>
    <row r="1120" spans="4:17" customFormat="1">
      <c r="D1120" s="1"/>
      <c r="E1120" s="1"/>
      <c r="F1120" s="120"/>
      <c r="G1120" s="1"/>
      <c r="H1120" s="1"/>
      <c r="I1120" s="1"/>
      <c r="J1120" s="80"/>
      <c r="K1120" s="80"/>
      <c r="L1120" s="80"/>
      <c r="M1120" s="80"/>
      <c r="N1120" s="80"/>
      <c r="O1120" s="80"/>
      <c r="P1120" s="80"/>
      <c r="Q1120" s="80"/>
    </row>
    <row r="1121" spans="4:17" customFormat="1">
      <c r="D1121" s="1"/>
      <c r="E1121" s="1"/>
      <c r="F1121" s="120"/>
      <c r="G1121" s="1"/>
      <c r="H1121" s="1"/>
      <c r="I1121" s="1"/>
      <c r="J1121" s="80"/>
      <c r="K1121" s="80"/>
      <c r="L1121" s="80"/>
      <c r="M1121" s="80"/>
      <c r="N1121" s="80"/>
      <c r="O1121" s="80"/>
      <c r="P1121" s="80"/>
      <c r="Q1121" s="80"/>
    </row>
    <row r="1122" spans="4:17" customFormat="1">
      <c r="D1122" s="1"/>
      <c r="E1122" s="1"/>
      <c r="F1122" s="120"/>
      <c r="G1122" s="1"/>
      <c r="H1122" s="1"/>
      <c r="I1122" s="1"/>
      <c r="J1122" s="80"/>
      <c r="K1122" s="80"/>
      <c r="L1122" s="80"/>
      <c r="M1122" s="80"/>
      <c r="N1122" s="80"/>
      <c r="O1122" s="80"/>
      <c r="P1122" s="80"/>
      <c r="Q1122" s="80"/>
    </row>
    <row r="1123" spans="4:17" customFormat="1">
      <c r="D1123" s="1"/>
      <c r="E1123" s="1"/>
      <c r="F1123" s="120"/>
      <c r="G1123" s="1"/>
      <c r="H1123" s="1"/>
      <c r="I1123" s="1"/>
      <c r="J1123" s="80"/>
      <c r="K1123" s="80"/>
      <c r="L1123" s="80"/>
      <c r="M1123" s="80"/>
      <c r="N1123" s="80"/>
      <c r="O1123" s="80"/>
      <c r="P1123" s="80"/>
      <c r="Q1123" s="80"/>
    </row>
    <row r="1124" spans="4:17" customFormat="1">
      <c r="D1124" s="1"/>
      <c r="E1124" s="1"/>
      <c r="F1124" s="120"/>
      <c r="G1124" s="1"/>
      <c r="H1124" s="1"/>
      <c r="I1124" s="1"/>
      <c r="J1124" s="80"/>
      <c r="K1124" s="80"/>
      <c r="L1124" s="80"/>
      <c r="M1124" s="80"/>
      <c r="N1124" s="80"/>
      <c r="O1124" s="80"/>
      <c r="P1124" s="80"/>
      <c r="Q1124" s="80"/>
    </row>
    <row r="1125" spans="4:17" customFormat="1">
      <c r="D1125" s="1"/>
      <c r="E1125" s="1"/>
      <c r="F1125" s="120"/>
      <c r="G1125" s="1"/>
      <c r="H1125" s="1"/>
      <c r="I1125" s="1"/>
      <c r="J1125" s="80"/>
      <c r="K1125" s="80"/>
      <c r="L1125" s="80"/>
      <c r="M1125" s="80"/>
      <c r="N1125" s="80"/>
      <c r="O1125" s="80"/>
      <c r="P1125" s="80"/>
      <c r="Q1125" s="80"/>
    </row>
    <row r="1126" spans="4:17" customFormat="1">
      <c r="D1126" s="1"/>
      <c r="E1126" s="1"/>
      <c r="F1126" s="120"/>
      <c r="G1126" s="1"/>
      <c r="H1126" s="1"/>
      <c r="I1126" s="1"/>
      <c r="J1126" s="80"/>
      <c r="K1126" s="80"/>
      <c r="L1126" s="80"/>
      <c r="M1126" s="80"/>
      <c r="N1126" s="80"/>
      <c r="O1126" s="80"/>
      <c r="P1126" s="80"/>
      <c r="Q1126" s="80"/>
    </row>
    <row r="1127" spans="4:17" customFormat="1">
      <c r="D1127" s="1"/>
      <c r="E1127" s="1"/>
      <c r="F1127" s="120"/>
      <c r="G1127" s="1"/>
      <c r="H1127" s="1"/>
      <c r="I1127" s="1"/>
      <c r="J1127" s="80"/>
      <c r="K1127" s="80"/>
      <c r="L1127" s="80"/>
      <c r="M1127" s="80"/>
      <c r="N1127" s="80"/>
      <c r="O1127" s="80"/>
      <c r="P1127" s="80"/>
      <c r="Q1127" s="80"/>
    </row>
    <row r="1128" spans="4:17" customFormat="1">
      <c r="D1128" s="1"/>
      <c r="E1128" s="1"/>
      <c r="F1128" s="120"/>
      <c r="G1128" s="1"/>
      <c r="H1128" s="1"/>
      <c r="I1128" s="1"/>
      <c r="J1128" s="80"/>
      <c r="K1128" s="80"/>
      <c r="L1128" s="80"/>
      <c r="M1128" s="80"/>
      <c r="N1128" s="80"/>
      <c r="O1128" s="80"/>
      <c r="P1128" s="80"/>
      <c r="Q1128" s="80"/>
    </row>
    <row r="1129" spans="4:17" customFormat="1">
      <c r="D1129" s="1"/>
      <c r="E1129" s="1"/>
      <c r="F1129" s="120"/>
      <c r="G1129" s="1"/>
      <c r="H1129" s="1"/>
      <c r="I1129" s="1"/>
      <c r="J1129" s="80"/>
      <c r="K1129" s="80"/>
      <c r="L1129" s="80"/>
      <c r="M1129" s="80"/>
      <c r="N1129" s="80"/>
      <c r="O1129" s="80"/>
      <c r="P1129" s="80"/>
      <c r="Q1129" s="80"/>
    </row>
    <row r="1130" spans="4:17" customFormat="1">
      <c r="D1130" s="1"/>
      <c r="E1130" s="1"/>
      <c r="F1130" s="120"/>
      <c r="G1130" s="1"/>
      <c r="H1130" s="1"/>
      <c r="I1130" s="1"/>
      <c r="J1130" s="80"/>
      <c r="K1130" s="80"/>
      <c r="L1130" s="80"/>
      <c r="M1130" s="80"/>
      <c r="N1130" s="80"/>
      <c r="O1130" s="80"/>
      <c r="P1130" s="80"/>
      <c r="Q1130" s="80"/>
    </row>
    <row r="1131" spans="4:17" customFormat="1">
      <c r="D1131" s="1"/>
      <c r="E1131" s="1"/>
      <c r="F1131" s="120"/>
      <c r="G1131" s="1"/>
      <c r="H1131" s="1"/>
      <c r="I1131" s="1"/>
      <c r="J1131" s="80"/>
      <c r="K1131" s="80"/>
      <c r="L1131" s="80"/>
      <c r="M1131" s="80"/>
      <c r="N1131" s="80"/>
      <c r="O1131" s="80"/>
      <c r="P1131" s="80"/>
      <c r="Q1131" s="80"/>
    </row>
    <row r="1132" spans="4:17" customFormat="1">
      <c r="D1132" s="1"/>
      <c r="E1132" s="1"/>
      <c r="F1132" s="120"/>
      <c r="G1132" s="1"/>
      <c r="H1132" s="1"/>
      <c r="I1132" s="1"/>
      <c r="J1132" s="80"/>
      <c r="K1132" s="80"/>
      <c r="L1132" s="80"/>
      <c r="M1132" s="80"/>
      <c r="N1132" s="80"/>
      <c r="O1132" s="80"/>
      <c r="P1132" s="80"/>
      <c r="Q1132" s="80"/>
    </row>
    <row r="1133" spans="4:17" customFormat="1">
      <c r="D1133" s="1"/>
      <c r="E1133" s="1"/>
      <c r="F1133" s="120"/>
      <c r="G1133" s="1"/>
      <c r="H1133" s="1"/>
      <c r="I1133" s="1"/>
      <c r="J1133" s="80"/>
      <c r="K1133" s="80"/>
      <c r="L1133" s="80"/>
      <c r="M1133" s="80"/>
      <c r="N1133" s="80"/>
      <c r="O1133" s="80"/>
      <c r="P1133" s="80"/>
      <c r="Q1133" s="80"/>
    </row>
    <row r="1134" spans="4:17" customFormat="1">
      <c r="D1134" s="1"/>
      <c r="E1134" s="1"/>
      <c r="F1134" s="120"/>
      <c r="G1134" s="1"/>
      <c r="H1134" s="1"/>
      <c r="I1134" s="1"/>
      <c r="J1134" s="80"/>
      <c r="K1134" s="80"/>
      <c r="L1134" s="80"/>
      <c r="M1134" s="80"/>
      <c r="N1134" s="80"/>
      <c r="O1134" s="80"/>
      <c r="P1134" s="80"/>
      <c r="Q1134" s="80"/>
    </row>
    <row r="1135" spans="4:17" customFormat="1">
      <c r="D1135" s="1"/>
      <c r="E1135" s="1"/>
      <c r="F1135" s="120"/>
      <c r="G1135" s="1"/>
      <c r="H1135" s="1"/>
      <c r="I1135" s="1"/>
      <c r="J1135" s="80"/>
      <c r="K1135" s="80"/>
      <c r="L1135" s="80"/>
      <c r="M1135" s="80"/>
      <c r="N1135" s="80"/>
      <c r="O1135" s="80"/>
      <c r="P1135" s="80"/>
      <c r="Q1135" s="80"/>
    </row>
    <row r="1136" spans="4:17" customFormat="1">
      <c r="D1136" s="1"/>
      <c r="E1136" s="1"/>
      <c r="F1136" s="120"/>
      <c r="G1136" s="1"/>
      <c r="H1136" s="1"/>
      <c r="I1136" s="1"/>
      <c r="J1136" s="80"/>
      <c r="K1136" s="80"/>
      <c r="L1136" s="80"/>
      <c r="M1136" s="80"/>
      <c r="N1136" s="80"/>
      <c r="O1136" s="80"/>
      <c r="P1136" s="80"/>
      <c r="Q1136" s="80"/>
    </row>
    <row r="1137" spans="4:17" customFormat="1">
      <c r="D1137" s="1"/>
      <c r="E1137" s="1"/>
      <c r="F1137" s="120"/>
      <c r="G1137" s="1"/>
      <c r="H1137" s="1"/>
      <c r="I1137" s="1"/>
      <c r="J1137" s="80"/>
      <c r="K1137" s="80"/>
      <c r="L1137" s="80"/>
      <c r="M1137" s="80"/>
      <c r="N1137" s="80"/>
      <c r="O1137" s="80"/>
      <c r="P1137" s="80"/>
      <c r="Q1137" s="80"/>
    </row>
    <row r="1138" spans="4:17" customFormat="1">
      <c r="D1138" s="1"/>
      <c r="E1138" s="1"/>
      <c r="F1138" s="120"/>
      <c r="G1138" s="1"/>
      <c r="H1138" s="1"/>
      <c r="I1138" s="1"/>
      <c r="J1138" s="80"/>
      <c r="K1138" s="80"/>
      <c r="L1138" s="80"/>
      <c r="M1138" s="80"/>
      <c r="N1138" s="80"/>
      <c r="O1138" s="80"/>
      <c r="P1138" s="80"/>
      <c r="Q1138" s="80"/>
    </row>
    <row r="1139" spans="4:17" customFormat="1">
      <c r="D1139" s="1"/>
      <c r="E1139" s="1"/>
      <c r="F1139" s="120"/>
      <c r="G1139" s="1"/>
      <c r="H1139" s="1"/>
      <c r="I1139" s="1"/>
      <c r="J1139" s="80"/>
      <c r="K1139" s="80"/>
      <c r="L1139" s="80"/>
      <c r="M1139" s="80"/>
      <c r="N1139" s="80"/>
      <c r="O1139" s="80"/>
      <c r="P1139" s="80"/>
      <c r="Q1139" s="80"/>
    </row>
    <row r="1140" spans="4:17" customFormat="1">
      <c r="D1140" s="1"/>
      <c r="E1140" s="1"/>
      <c r="F1140" s="120"/>
      <c r="G1140" s="1"/>
      <c r="H1140" s="1"/>
      <c r="I1140" s="1"/>
      <c r="J1140" s="80"/>
      <c r="K1140" s="80"/>
      <c r="L1140" s="80"/>
      <c r="M1140" s="80"/>
      <c r="N1140" s="80"/>
      <c r="O1140" s="80"/>
      <c r="P1140" s="80"/>
      <c r="Q1140" s="80"/>
    </row>
    <row r="1141" spans="4:17" customFormat="1">
      <c r="D1141" s="1"/>
      <c r="E1141" s="1"/>
      <c r="F1141" s="120"/>
      <c r="G1141" s="1"/>
      <c r="H1141" s="1"/>
      <c r="I1141" s="1"/>
      <c r="J1141" s="80"/>
      <c r="K1141" s="80"/>
      <c r="L1141" s="80"/>
      <c r="M1141" s="80"/>
      <c r="N1141" s="80"/>
      <c r="O1141" s="80"/>
      <c r="P1141" s="80"/>
      <c r="Q1141" s="80"/>
    </row>
    <row r="1142" spans="4:17" customFormat="1">
      <c r="D1142" s="1"/>
      <c r="E1142" s="1"/>
      <c r="F1142" s="120"/>
      <c r="G1142" s="1"/>
      <c r="H1142" s="1"/>
      <c r="I1142" s="1"/>
      <c r="J1142" s="80"/>
      <c r="K1142" s="80"/>
      <c r="L1142" s="80"/>
      <c r="M1142" s="80"/>
      <c r="N1142" s="80"/>
      <c r="O1142" s="80"/>
      <c r="P1142" s="80"/>
      <c r="Q1142" s="80"/>
    </row>
    <row r="1143" spans="4:17" customFormat="1">
      <c r="D1143" s="1"/>
      <c r="E1143" s="1"/>
      <c r="F1143" s="120"/>
      <c r="G1143" s="1"/>
      <c r="H1143" s="1"/>
      <c r="I1143" s="1"/>
      <c r="J1143" s="80"/>
      <c r="K1143" s="80"/>
      <c r="L1143" s="80"/>
      <c r="M1143" s="80"/>
      <c r="N1143" s="80"/>
      <c r="O1143" s="80"/>
      <c r="P1143" s="80"/>
      <c r="Q1143" s="80"/>
    </row>
    <row r="1144" spans="4:17" customFormat="1">
      <c r="D1144" s="1"/>
      <c r="E1144" s="1"/>
      <c r="F1144" s="120"/>
      <c r="G1144" s="1"/>
      <c r="H1144" s="1"/>
      <c r="I1144" s="1"/>
      <c r="J1144" s="80"/>
      <c r="K1144" s="80"/>
      <c r="L1144" s="80"/>
      <c r="M1144" s="80"/>
      <c r="N1144" s="80"/>
      <c r="O1144" s="80"/>
      <c r="P1144" s="80"/>
      <c r="Q1144" s="80"/>
    </row>
    <row r="1145" spans="4:17" customFormat="1">
      <c r="D1145" s="1"/>
      <c r="E1145" s="1"/>
      <c r="F1145" s="120"/>
      <c r="G1145" s="1"/>
      <c r="H1145" s="1"/>
      <c r="I1145" s="1"/>
      <c r="J1145" s="80"/>
      <c r="K1145" s="80"/>
      <c r="L1145" s="80"/>
      <c r="M1145" s="80"/>
      <c r="N1145" s="80"/>
      <c r="O1145" s="80"/>
      <c r="P1145" s="80"/>
      <c r="Q1145" s="80"/>
    </row>
    <row r="1146" spans="4:17" customFormat="1">
      <c r="D1146" s="1"/>
      <c r="E1146" s="1"/>
      <c r="F1146" s="120"/>
      <c r="G1146" s="1"/>
      <c r="H1146" s="1"/>
      <c r="I1146" s="1"/>
      <c r="J1146" s="80"/>
      <c r="K1146" s="80"/>
      <c r="L1146" s="80"/>
      <c r="M1146" s="80"/>
      <c r="N1146" s="80"/>
      <c r="O1146" s="80"/>
      <c r="P1146" s="80"/>
      <c r="Q1146" s="80"/>
    </row>
    <row r="1147" spans="4:17" customFormat="1">
      <c r="D1147" s="1"/>
      <c r="E1147" s="1"/>
      <c r="F1147" s="120"/>
      <c r="G1147" s="1"/>
      <c r="H1147" s="1"/>
      <c r="I1147" s="1"/>
      <c r="J1147" s="80"/>
      <c r="K1147" s="80"/>
      <c r="L1147" s="80"/>
      <c r="M1147" s="80"/>
      <c r="N1147" s="80"/>
      <c r="O1147" s="80"/>
      <c r="P1147" s="80"/>
      <c r="Q1147" s="80"/>
    </row>
    <row r="1148" spans="4:17" customFormat="1">
      <c r="D1148" s="1"/>
      <c r="E1148" s="1"/>
      <c r="F1148" s="120"/>
      <c r="G1148" s="1"/>
      <c r="H1148" s="1"/>
      <c r="I1148" s="1"/>
      <c r="J1148" s="80"/>
      <c r="K1148" s="80"/>
      <c r="L1148" s="80"/>
      <c r="M1148" s="80"/>
      <c r="N1148" s="80"/>
      <c r="O1148" s="80"/>
      <c r="P1148" s="80"/>
      <c r="Q1148" s="80"/>
    </row>
    <row r="1149" spans="4:17" customFormat="1">
      <c r="D1149" s="1"/>
      <c r="E1149" s="1"/>
      <c r="F1149" s="120"/>
      <c r="G1149" s="1"/>
      <c r="H1149" s="1"/>
      <c r="I1149" s="1"/>
      <c r="J1149" s="80"/>
      <c r="K1149" s="80"/>
      <c r="L1149" s="80"/>
      <c r="M1149" s="80"/>
      <c r="N1149" s="80"/>
      <c r="O1149" s="80"/>
      <c r="P1149" s="80"/>
      <c r="Q1149" s="80"/>
    </row>
    <row r="1150" spans="4:17" customFormat="1">
      <c r="D1150" s="1"/>
      <c r="E1150" s="1"/>
      <c r="F1150" s="120"/>
      <c r="G1150" s="1"/>
      <c r="H1150" s="1"/>
      <c r="I1150" s="1"/>
      <c r="J1150" s="80"/>
      <c r="K1150" s="80"/>
      <c r="L1150" s="80"/>
      <c r="M1150" s="80"/>
      <c r="N1150" s="80"/>
      <c r="O1150" s="80"/>
      <c r="P1150" s="80"/>
      <c r="Q1150" s="80"/>
    </row>
    <row r="1151" spans="4:17" customFormat="1">
      <c r="D1151" s="1"/>
      <c r="E1151" s="1"/>
      <c r="F1151" s="120"/>
      <c r="G1151" s="1"/>
      <c r="H1151" s="1"/>
      <c r="I1151" s="1"/>
      <c r="J1151" s="80"/>
      <c r="K1151" s="80"/>
      <c r="L1151" s="80"/>
      <c r="M1151" s="80"/>
      <c r="N1151" s="80"/>
      <c r="O1151" s="80"/>
      <c r="P1151" s="80"/>
      <c r="Q1151" s="80"/>
    </row>
    <row r="1152" spans="4:17" customFormat="1">
      <c r="D1152" s="1"/>
      <c r="E1152" s="1"/>
      <c r="F1152" s="120"/>
      <c r="G1152" s="1"/>
      <c r="H1152" s="1"/>
      <c r="I1152" s="1"/>
      <c r="J1152" s="80"/>
      <c r="K1152" s="80"/>
      <c r="L1152" s="80"/>
      <c r="M1152" s="80"/>
      <c r="N1152" s="80"/>
      <c r="O1152" s="80"/>
      <c r="P1152" s="80"/>
      <c r="Q1152" s="80"/>
    </row>
    <row r="1153" spans="4:17" customFormat="1">
      <c r="D1153" s="1"/>
      <c r="E1153" s="1"/>
      <c r="F1153" s="120"/>
      <c r="G1153" s="1"/>
      <c r="H1153" s="1"/>
      <c r="I1153" s="1"/>
      <c r="J1153" s="80"/>
      <c r="K1153" s="80"/>
      <c r="L1153" s="80"/>
      <c r="M1153" s="80"/>
      <c r="N1153" s="80"/>
      <c r="O1153" s="80"/>
      <c r="P1153" s="80"/>
      <c r="Q1153" s="80"/>
    </row>
    <row r="1154" spans="4:17" customFormat="1">
      <c r="D1154" s="1"/>
      <c r="E1154" s="1"/>
      <c r="F1154" s="120"/>
      <c r="G1154" s="1"/>
      <c r="H1154" s="1"/>
      <c r="I1154" s="1"/>
      <c r="J1154" s="80"/>
      <c r="K1154" s="80"/>
      <c r="L1154" s="80"/>
      <c r="M1154" s="80"/>
      <c r="N1154" s="80"/>
      <c r="O1154" s="80"/>
      <c r="P1154" s="80"/>
      <c r="Q1154" s="80"/>
    </row>
    <row r="1155" spans="4:17" customFormat="1">
      <c r="D1155" s="1"/>
      <c r="E1155" s="1"/>
      <c r="F1155" s="120"/>
      <c r="G1155" s="1"/>
      <c r="H1155" s="1"/>
      <c r="I1155" s="1"/>
      <c r="J1155" s="80"/>
      <c r="K1155" s="80"/>
      <c r="L1155" s="80"/>
      <c r="M1155" s="80"/>
      <c r="N1155" s="80"/>
      <c r="O1155" s="80"/>
      <c r="P1155" s="80"/>
      <c r="Q1155" s="80"/>
    </row>
    <row r="1156" spans="4:17" customFormat="1">
      <c r="D1156" s="1"/>
      <c r="E1156" s="1"/>
      <c r="F1156" s="120"/>
      <c r="G1156" s="1"/>
      <c r="H1156" s="1"/>
      <c r="I1156" s="1"/>
      <c r="J1156" s="80"/>
      <c r="K1156" s="80"/>
      <c r="L1156" s="80"/>
      <c r="M1156" s="80"/>
      <c r="N1156" s="80"/>
      <c r="O1156" s="80"/>
      <c r="P1156" s="80"/>
      <c r="Q1156" s="80"/>
    </row>
    <row r="1157" spans="4:17" customFormat="1">
      <c r="D1157" s="1"/>
      <c r="E1157" s="1"/>
      <c r="F1157" s="120"/>
      <c r="G1157" s="1"/>
      <c r="H1157" s="1"/>
      <c r="I1157" s="1"/>
      <c r="J1157" s="80"/>
      <c r="K1157" s="80"/>
      <c r="L1157" s="80"/>
      <c r="M1157" s="80"/>
      <c r="N1157" s="80"/>
      <c r="O1157" s="80"/>
      <c r="P1157" s="80"/>
      <c r="Q1157" s="80"/>
    </row>
    <row r="1158" spans="4:17" customFormat="1">
      <c r="D1158" s="1"/>
      <c r="E1158" s="1"/>
      <c r="F1158" s="120"/>
      <c r="G1158" s="1"/>
      <c r="H1158" s="1"/>
      <c r="I1158" s="1"/>
      <c r="J1158" s="80"/>
      <c r="K1158" s="80"/>
      <c r="L1158" s="80"/>
      <c r="M1158" s="80"/>
      <c r="N1158" s="80"/>
      <c r="O1158" s="80"/>
      <c r="P1158" s="80"/>
      <c r="Q1158" s="80"/>
    </row>
    <row r="1159" spans="4:17" customFormat="1">
      <c r="D1159" s="1"/>
      <c r="E1159" s="1"/>
      <c r="F1159" s="120"/>
      <c r="G1159" s="1"/>
      <c r="H1159" s="1"/>
      <c r="I1159" s="1"/>
      <c r="J1159" s="80"/>
      <c r="K1159" s="80"/>
      <c r="L1159" s="80"/>
      <c r="M1159" s="80"/>
      <c r="N1159" s="80"/>
      <c r="O1159" s="80"/>
      <c r="P1159" s="80"/>
      <c r="Q1159" s="80"/>
    </row>
    <row r="1160" spans="4:17" customFormat="1">
      <c r="D1160" s="1"/>
      <c r="E1160" s="1"/>
      <c r="F1160" s="120"/>
      <c r="G1160" s="1"/>
      <c r="H1160" s="1"/>
      <c r="I1160" s="1"/>
      <c r="J1160" s="80"/>
      <c r="K1160" s="80"/>
      <c r="L1160" s="80"/>
      <c r="M1160" s="80"/>
      <c r="N1160" s="80"/>
      <c r="O1160" s="80"/>
      <c r="P1160" s="80"/>
      <c r="Q1160" s="80"/>
    </row>
    <row r="1161" spans="4:17" customFormat="1">
      <c r="D1161" s="1"/>
      <c r="E1161" s="1"/>
      <c r="F1161" s="120"/>
      <c r="G1161" s="1"/>
      <c r="H1161" s="1"/>
      <c r="I1161" s="1"/>
      <c r="J1161" s="80"/>
      <c r="K1161" s="80"/>
      <c r="L1161" s="80"/>
      <c r="M1161" s="80"/>
      <c r="N1161" s="80"/>
      <c r="O1161" s="80"/>
      <c r="P1161" s="80"/>
      <c r="Q1161" s="80"/>
    </row>
    <row r="1162" spans="4:17" customFormat="1">
      <c r="D1162" s="1"/>
      <c r="E1162" s="1"/>
      <c r="F1162" s="120"/>
      <c r="G1162" s="1"/>
      <c r="H1162" s="1"/>
      <c r="I1162" s="1"/>
      <c r="J1162" s="80"/>
      <c r="K1162" s="80"/>
      <c r="L1162" s="80"/>
      <c r="M1162" s="80"/>
      <c r="N1162" s="80"/>
      <c r="O1162" s="80"/>
      <c r="P1162" s="80"/>
      <c r="Q1162" s="80"/>
    </row>
    <row r="1163" spans="4:17" customFormat="1">
      <c r="D1163" s="1"/>
      <c r="E1163" s="1"/>
      <c r="F1163" s="120"/>
      <c r="G1163" s="1"/>
      <c r="H1163" s="1"/>
      <c r="I1163" s="1"/>
      <c r="J1163" s="80"/>
      <c r="K1163" s="80"/>
      <c r="L1163" s="80"/>
      <c r="M1163" s="80"/>
      <c r="N1163" s="80"/>
      <c r="O1163" s="80"/>
      <c r="P1163" s="80"/>
      <c r="Q1163" s="80"/>
    </row>
    <row r="1164" spans="4:17" customFormat="1">
      <c r="D1164" s="1"/>
      <c r="E1164" s="1"/>
      <c r="F1164" s="120"/>
      <c r="G1164" s="1"/>
      <c r="H1164" s="1"/>
      <c r="I1164" s="1"/>
      <c r="J1164" s="80"/>
      <c r="K1164" s="80"/>
      <c r="L1164" s="80"/>
      <c r="M1164" s="80"/>
      <c r="N1164" s="80"/>
      <c r="O1164" s="80"/>
      <c r="P1164" s="80"/>
      <c r="Q1164" s="80"/>
    </row>
    <row r="1165" spans="4:17" customFormat="1">
      <c r="D1165" s="1"/>
      <c r="E1165" s="1"/>
      <c r="F1165" s="120"/>
      <c r="G1165" s="1"/>
      <c r="H1165" s="1"/>
      <c r="I1165" s="1"/>
      <c r="J1165" s="80"/>
      <c r="K1165" s="80"/>
      <c r="L1165" s="80"/>
      <c r="M1165" s="80"/>
      <c r="N1165" s="80"/>
      <c r="O1165" s="80"/>
      <c r="P1165" s="80"/>
      <c r="Q1165" s="80"/>
    </row>
    <row r="1166" spans="4:17" customFormat="1">
      <c r="D1166" s="1"/>
      <c r="E1166" s="1"/>
      <c r="F1166" s="120"/>
      <c r="G1166" s="1"/>
      <c r="H1166" s="1"/>
      <c r="I1166" s="1"/>
      <c r="J1166" s="80"/>
      <c r="K1166" s="80"/>
      <c r="L1166" s="80"/>
      <c r="M1166" s="80"/>
      <c r="N1166" s="80"/>
      <c r="O1166" s="80"/>
      <c r="P1166" s="80"/>
      <c r="Q1166" s="80"/>
    </row>
    <row r="1167" spans="4:17" customFormat="1">
      <c r="D1167" s="1"/>
      <c r="E1167" s="1"/>
      <c r="F1167" s="120"/>
      <c r="G1167" s="1"/>
      <c r="H1167" s="1"/>
      <c r="I1167" s="1"/>
      <c r="J1167" s="80"/>
      <c r="K1167" s="80"/>
      <c r="L1167" s="80"/>
      <c r="M1167" s="80"/>
      <c r="N1167" s="80"/>
      <c r="O1167" s="80"/>
      <c r="P1167" s="80"/>
      <c r="Q1167" s="80"/>
    </row>
    <row r="1168" spans="4:17" customFormat="1">
      <c r="D1168" s="1"/>
      <c r="E1168" s="1"/>
      <c r="F1168" s="120"/>
      <c r="G1168" s="1"/>
      <c r="H1168" s="1"/>
      <c r="I1168" s="1"/>
      <c r="J1168" s="80"/>
      <c r="K1168" s="80"/>
      <c r="L1168" s="80"/>
      <c r="M1168" s="80"/>
      <c r="N1168" s="80"/>
      <c r="O1168" s="80"/>
      <c r="P1168" s="80"/>
      <c r="Q1168" s="80"/>
    </row>
    <row r="1169" spans="4:17" customFormat="1">
      <c r="D1169" s="1"/>
      <c r="E1169" s="1"/>
      <c r="F1169" s="120"/>
      <c r="G1169" s="1"/>
      <c r="H1169" s="1"/>
      <c r="I1169" s="1"/>
      <c r="J1169" s="80"/>
      <c r="K1169" s="80"/>
      <c r="L1169" s="80"/>
      <c r="M1169" s="80"/>
      <c r="N1169" s="80"/>
      <c r="O1169" s="80"/>
      <c r="P1169" s="80"/>
      <c r="Q1169" s="80"/>
    </row>
    <row r="1170" spans="4:17" customFormat="1">
      <c r="D1170" s="1"/>
      <c r="E1170" s="1"/>
      <c r="F1170" s="120"/>
      <c r="G1170" s="1"/>
      <c r="H1170" s="1"/>
      <c r="I1170" s="1"/>
      <c r="J1170" s="80"/>
      <c r="K1170" s="80"/>
      <c r="L1170" s="80"/>
      <c r="M1170" s="80"/>
      <c r="N1170" s="80"/>
      <c r="O1170" s="80"/>
      <c r="P1170" s="80"/>
      <c r="Q1170" s="80"/>
    </row>
    <row r="1171" spans="4:17" customFormat="1">
      <c r="D1171" s="1"/>
      <c r="E1171" s="1"/>
      <c r="F1171" s="120"/>
      <c r="G1171" s="1"/>
      <c r="H1171" s="1"/>
      <c r="I1171" s="1"/>
      <c r="J1171" s="80"/>
      <c r="K1171" s="80"/>
      <c r="L1171" s="80"/>
      <c r="M1171" s="80"/>
      <c r="N1171" s="80"/>
      <c r="O1171" s="80"/>
      <c r="P1171" s="80"/>
      <c r="Q1171" s="80"/>
    </row>
    <row r="1172" spans="4:17" customFormat="1">
      <c r="D1172" s="1"/>
      <c r="E1172" s="1"/>
      <c r="F1172" s="120"/>
      <c r="G1172" s="1"/>
      <c r="H1172" s="1"/>
      <c r="I1172" s="1"/>
      <c r="J1172" s="80"/>
      <c r="K1172" s="80"/>
      <c r="L1172" s="80"/>
      <c r="M1172" s="80"/>
      <c r="N1172" s="80"/>
      <c r="O1172" s="80"/>
      <c r="P1172" s="80"/>
      <c r="Q1172" s="80"/>
    </row>
    <row r="1173" spans="4:17" customFormat="1">
      <c r="D1173" s="1"/>
      <c r="E1173" s="1"/>
      <c r="F1173" s="120"/>
      <c r="G1173" s="1"/>
      <c r="H1173" s="1"/>
      <c r="I1173" s="1"/>
      <c r="J1173" s="80"/>
      <c r="K1173" s="80"/>
      <c r="L1173" s="80"/>
      <c r="M1173" s="80"/>
      <c r="N1173" s="80"/>
      <c r="O1173" s="80"/>
      <c r="P1173" s="80"/>
      <c r="Q1173" s="80"/>
    </row>
    <row r="1174" spans="4:17" customFormat="1">
      <c r="D1174" s="1"/>
      <c r="E1174" s="1"/>
      <c r="F1174" s="120"/>
      <c r="G1174" s="1"/>
      <c r="H1174" s="1"/>
      <c r="I1174" s="1"/>
      <c r="J1174" s="80"/>
      <c r="K1174" s="80"/>
      <c r="L1174" s="80"/>
      <c r="M1174" s="80"/>
      <c r="N1174" s="80"/>
      <c r="O1174" s="80"/>
      <c r="P1174" s="80"/>
      <c r="Q1174" s="80"/>
    </row>
    <row r="1175" spans="4:17" customFormat="1">
      <c r="D1175" s="1"/>
      <c r="E1175" s="1"/>
      <c r="F1175" s="120"/>
      <c r="G1175" s="1"/>
      <c r="H1175" s="1"/>
      <c r="I1175" s="1"/>
      <c r="J1175" s="80"/>
      <c r="K1175" s="80"/>
      <c r="L1175" s="80"/>
      <c r="M1175" s="80"/>
      <c r="N1175" s="80"/>
      <c r="O1175" s="80"/>
      <c r="P1175" s="80"/>
      <c r="Q1175" s="80"/>
    </row>
    <row r="1176" spans="4:17" customFormat="1">
      <c r="D1176" s="1"/>
      <c r="E1176" s="1"/>
      <c r="F1176" s="120"/>
      <c r="G1176" s="1"/>
      <c r="H1176" s="1"/>
      <c r="I1176" s="1"/>
      <c r="J1176" s="80"/>
      <c r="K1176" s="80"/>
      <c r="L1176" s="80"/>
      <c r="M1176" s="80"/>
      <c r="N1176" s="80"/>
      <c r="O1176" s="80"/>
      <c r="P1176" s="80"/>
      <c r="Q1176" s="80"/>
    </row>
    <row r="1177" spans="4:17" customFormat="1">
      <c r="D1177" s="1"/>
      <c r="E1177" s="1"/>
      <c r="F1177" s="120"/>
      <c r="G1177" s="1"/>
      <c r="H1177" s="1"/>
      <c r="I1177" s="1"/>
      <c r="J1177" s="80"/>
      <c r="K1177" s="80"/>
      <c r="L1177" s="80"/>
      <c r="M1177" s="80"/>
      <c r="N1177" s="80"/>
      <c r="O1177" s="80"/>
      <c r="P1177" s="80"/>
      <c r="Q1177" s="80"/>
    </row>
    <row r="1178" spans="4:17" customFormat="1">
      <c r="D1178" s="1"/>
      <c r="E1178" s="1"/>
      <c r="F1178" s="120"/>
      <c r="G1178" s="1"/>
      <c r="H1178" s="1"/>
      <c r="I1178" s="1"/>
      <c r="J1178" s="80"/>
      <c r="K1178" s="80"/>
      <c r="L1178" s="80"/>
      <c r="M1178" s="80"/>
      <c r="N1178" s="80"/>
      <c r="O1178" s="80"/>
      <c r="P1178" s="80"/>
      <c r="Q1178" s="80"/>
    </row>
    <row r="1179" spans="4:17" customFormat="1">
      <c r="D1179" s="1"/>
      <c r="E1179" s="1"/>
      <c r="F1179" s="120"/>
      <c r="G1179" s="1"/>
      <c r="H1179" s="1"/>
      <c r="I1179" s="1"/>
      <c r="J1179" s="80"/>
      <c r="K1179" s="80"/>
      <c r="L1179" s="80"/>
      <c r="M1179" s="80"/>
      <c r="N1179" s="80"/>
      <c r="O1179" s="80"/>
      <c r="P1179" s="80"/>
      <c r="Q1179" s="80"/>
    </row>
    <row r="1180" spans="4:17" customFormat="1">
      <c r="D1180" s="1"/>
      <c r="E1180" s="1"/>
      <c r="F1180" s="120"/>
      <c r="G1180" s="1"/>
      <c r="H1180" s="1"/>
      <c r="I1180" s="1"/>
      <c r="J1180" s="80"/>
      <c r="K1180" s="80"/>
      <c r="L1180" s="80"/>
      <c r="M1180" s="80"/>
      <c r="N1180" s="80"/>
      <c r="O1180" s="80"/>
      <c r="P1180" s="80"/>
      <c r="Q1180" s="80"/>
    </row>
    <row r="1181" spans="4:17" customFormat="1">
      <c r="D1181" s="1"/>
      <c r="E1181" s="1"/>
      <c r="F1181" s="120"/>
      <c r="G1181" s="1"/>
      <c r="H1181" s="1"/>
      <c r="I1181" s="1"/>
      <c r="J1181" s="80"/>
      <c r="K1181" s="80"/>
      <c r="L1181" s="80"/>
      <c r="M1181" s="80"/>
      <c r="N1181" s="80"/>
      <c r="O1181" s="80"/>
      <c r="P1181" s="80"/>
      <c r="Q1181" s="80"/>
    </row>
    <row r="1182" spans="4:17" customFormat="1">
      <c r="D1182" s="1"/>
      <c r="E1182" s="1"/>
      <c r="F1182" s="120"/>
      <c r="G1182" s="1"/>
      <c r="H1182" s="1"/>
      <c r="I1182" s="1"/>
      <c r="J1182" s="80"/>
      <c r="K1182" s="80"/>
      <c r="L1182" s="80"/>
      <c r="M1182" s="80"/>
      <c r="N1182" s="80"/>
      <c r="O1182" s="80"/>
      <c r="P1182" s="80"/>
      <c r="Q1182" s="80"/>
    </row>
    <row r="1183" spans="4:17" customFormat="1">
      <c r="D1183" s="1"/>
      <c r="E1183" s="1"/>
      <c r="F1183" s="120"/>
      <c r="G1183" s="1"/>
      <c r="H1183" s="1"/>
      <c r="I1183" s="1"/>
      <c r="J1183" s="80"/>
      <c r="K1183" s="80"/>
      <c r="L1183" s="80"/>
      <c r="M1183" s="80"/>
      <c r="N1183" s="80"/>
      <c r="O1183" s="80"/>
      <c r="P1183" s="80"/>
      <c r="Q1183" s="80"/>
    </row>
    <row r="1184" spans="4:17" customFormat="1">
      <c r="D1184" s="1"/>
      <c r="E1184" s="1"/>
      <c r="F1184" s="120"/>
      <c r="G1184" s="1"/>
      <c r="H1184" s="1"/>
      <c r="I1184" s="1"/>
      <c r="J1184" s="80"/>
      <c r="K1184" s="80"/>
      <c r="L1184" s="80"/>
      <c r="M1184" s="80"/>
      <c r="N1184" s="80"/>
      <c r="O1184" s="80"/>
      <c r="P1184" s="80"/>
      <c r="Q1184" s="80"/>
    </row>
    <row r="1185" spans="4:17" customFormat="1">
      <c r="D1185" s="1"/>
      <c r="E1185" s="1"/>
      <c r="F1185" s="120"/>
      <c r="G1185" s="1"/>
      <c r="H1185" s="1"/>
      <c r="I1185" s="1"/>
      <c r="J1185" s="80"/>
      <c r="K1185" s="80"/>
      <c r="L1185" s="80"/>
      <c r="M1185" s="80"/>
      <c r="N1185" s="80"/>
      <c r="O1185" s="80"/>
      <c r="P1185" s="80"/>
      <c r="Q1185" s="80"/>
    </row>
    <row r="1186" spans="4:17" customFormat="1">
      <c r="D1186" s="1"/>
      <c r="E1186" s="1"/>
      <c r="F1186" s="120"/>
      <c r="G1186" s="1"/>
      <c r="H1186" s="1"/>
      <c r="I1186" s="1"/>
      <c r="J1186" s="80"/>
      <c r="K1186" s="80"/>
      <c r="L1186" s="80"/>
      <c r="M1186" s="80"/>
      <c r="N1186" s="80"/>
      <c r="O1186" s="80"/>
      <c r="P1186" s="80"/>
      <c r="Q1186" s="80"/>
    </row>
    <row r="1187" spans="4:17" customFormat="1">
      <c r="D1187" s="1"/>
      <c r="E1187" s="1"/>
      <c r="F1187" s="120"/>
      <c r="G1187" s="1"/>
      <c r="H1187" s="1"/>
      <c r="I1187" s="1"/>
      <c r="J1187" s="80"/>
      <c r="K1187" s="80"/>
      <c r="L1187" s="80"/>
      <c r="M1187" s="80"/>
      <c r="N1187" s="80"/>
      <c r="O1187" s="80"/>
      <c r="P1187" s="80"/>
      <c r="Q1187" s="80"/>
    </row>
    <row r="1188" spans="4:17" customFormat="1">
      <c r="D1188" s="1"/>
      <c r="E1188" s="1"/>
      <c r="F1188" s="120"/>
      <c r="G1188" s="1"/>
      <c r="H1188" s="1"/>
      <c r="I1188" s="1"/>
      <c r="J1188" s="80"/>
      <c r="K1188" s="80"/>
      <c r="L1188" s="80"/>
      <c r="M1188" s="80"/>
      <c r="N1188" s="80"/>
      <c r="O1188" s="80"/>
      <c r="P1188" s="80"/>
      <c r="Q1188" s="80"/>
    </row>
    <row r="1189" spans="4:17" customFormat="1">
      <c r="D1189" s="1"/>
      <c r="E1189" s="1"/>
      <c r="F1189" s="120"/>
      <c r="G1189" s="1"/>
      <c r="H1189" s="1"/>
      <c r="I1189" s="1"/>
      <c r="J1189" s="80"/>
      <c r="K1189" s="80"/>
      <c r="L1189" s="80"/>
      <c r="M1189" s="80"/>
      <c r="N1189" s="80"/>
      <c r="O1189" s="80"/>
      <c r="P1189" s="80"/>
      <c r="Q1189" s="80"/>
    </row>
    <row r="1190" spans="4:17" customFormat="1">
      <c r="D1190" s="1"/>
      <c r="E1190" s="1"/>
      <c r="F1190" s="120"/>
      <c r="G1190" s="1"/>
      <c r="H1190" s="1"/>
      <c r="I1190" s="1"/>
      <c r="J1190" s="80"/>
      <c r="K1190" s="80"/>
      <c r="L1190" s="80"/>
      <c r="M1190" s="80"/>
      <c r="N1190" s="80"/>
      <c r="O1190" s="80"/>
      <c r="P1190" s="80"/>
      <c r="Q1190" s="80"/>
    </row>
    <row r="1191" spans="4:17" customFormat="1">
      <c r="D1191" s="1"/>
      <c r="E1191" s="1"/>
      <c r="F1191" s="120"/>
      <c r="G1191" s="1"/>
      <c r="H1191" s="1"/>
      <c r="I1191" s="1"/>
      <c r="J1191" s="80"/>
      <c r="K1191" s="80"/>
      <c r="L1191" s="80"/>
      <c r="M1191" s="80"/>
      <c r="N1191" s="80"/>
      <c r="O1191" s="80"/>
      <c r="P1191" s="80"/>
      <c r="Q1191" s="80"/>
    </row>
    <row r="1192" spans="4:17" customFormat="1">
      <c r="D1192" s="1"/>
      <c r="E1192" s="1"/>
      <c r="F1192" s="120"/>
      <c r="G1192" s="1"/>
      <c r="H1192" s="1"/>
      <c r="I1192" s="1"/>
      <c r="J1192" s="80"/>
      <c r="K1192" s="80"/>
      <c r="L1192" s="80"/>
      <c r="M1192" s="80"/>
      <c r="N1192" s="80"/>
      <c r="O1192" s="80"/>
      <c r="P1192" s="80"/>
      <c r="Q1192" s="80"/>
    </row>
    <row r="1193" spans="4:17" customFormat="1">
      <c r="D1193" s="1"/>
      <c r="E1193" s="1"/>
      <c r="F1193" s="120"/>
      <c r="G1193" s="1"/>
      <c r="H1193" s="1"/>
      <c r="I1193" s="1"/>
      <c r="J1193" s="80"/>
      <c r="K1193" s="80"/>
      <c r="L1193" s="80"/>
      <c r="M1193" s="80"/>
      <c r="N1193" s="80"/>
      <c r="O1193" s="80"/>
      <c r="P1193" s="80"/>
      <c r="Q1193" s="80"/>
    </row>
    <row r="1194" spans="4:17" customFormat="1">
      <c r="D1194" s="1"/>
      <c r="E1194" s="1"/>
      <c r="F1194" s="120"/>
      <c r="G1194" s="1"/>
      <c r="H1194" s="1"/>
      <c r="I1194" s="1"/>
      <c r="J1194" s="80"/>
      <c r="K1194" s="80"/>
      <c r="L1194" s="80"/>
      <c r="M1194" s="80"/>
      <c r="N1194" s="80"/>
      <c r="O1194" s="80"/>
      <c r="P1194" s="80"/>
      <c r="Q1194" s="80"/>
    </row>
    <row r="1195" spans="4:17" customFormat="1">
      <c r="D1195" s="1"/>
      <c r="E1195" s="1"/>
      <c r="F1195" s="120"/>
      <c r="G1195" s="1"/>
      <c r="H1195" s="1"/>
      <c r="I1195" s="1"/>
      <c r="J1195" s="80"/>
      <c r="K1195" s="80"/>
      <c r="L1195" s="80"/>
      <c r="M1195" s="80"/>
      <c r="N1195" s="80"/>
      <c r="O1195" s="80"/>
      <c r="P1195" s="80"/>
      <c r="Q1195" s="80"/>
    </row>
    <row r="1196" spans="4:17" customFormat="1">
      <c r="D1196" s="1"/>
      <c r="E1196" s="1"/>
      <c r="F1196" s="120"/>
      <c r="G1196" s="1"/>
      <c r="H1196" s="1"/>
      <c r="I1196" s="1"/>
      <c r="J1196" s="80"/>
      <c r="K1196" s="80"/>
      <c r="L1196" s="80"/>
      <c r="M1196" s="80"/>
      <c r="N1196" s="80"/>
      <c r="O1196" s="80"/>
      <c r="P1196" s="80"/>
      <c r="Q1196" s="80"/>
    </row>
    <row r="1197" spans="4:17" customFormat="1">
      <c r="D1197" s="1"/>
      <c r="E1197" s="1"/>
      <c r="F1197" s="120"/>
      <c r="G1197" s="1"/>
      <c r="H1197" s="1"/>
      <c r="I1197" s="1"/>
      <c r="J1197" s="80"/>
      <c r="K1197" s="80"/>
      <c r="L1197" s="80"/>
      <c r="M1197" s="80"/>
      <c r="N1197" s="80"/>
      <c r="O1197" s="80"/>
      <c r="P1197" s="80"/>
      <c r="Q1197" s="80"/>
    </row>
    <row r="1198" spans="4:17" customFormat="1">
      <c r="D1198" s="1"/>
      <c r="E1198" s="1"/>
      <c r="F1198" s="120"/>
      <c r="G1198" s="1"/>
      <c r="H1198" s="1"/>
      <c r="I1198" s="1"/>
      <c r="J1198" s="80"/>
      <c r="K1198" s="80"/>
      <c r="L1198" s="80"/>
      <c r="M1198" s="80"/>
      <c r="N1198" s="80"/>
      <c r="O1198" s="80"/>
      <c r="P1198" s="80"/>
      <c r="Q1198" s="80"/>
    </row>
    <row r="1199" spans="4:17" customFormat="1">
      <c r="D1199" s="1"/>
      <c r="E1199" s="1"/>
      <c r="F1199" s="120"/>
      <c r="G1199" s="1"/>
      <c r="H1199" s="1"/>
      <c r="I1199" s="1"/>
      <c r="J1199" s="80"/>
      <c r="K1199" s="80"/>
      <c r="L1199" s="80"/>
      <c r="M1199" s="80"/>
      <c r="N1199" s="80"/>
      <c r="O1199" s="80"/>
      <c r="P1199" s="80"/>
      <c r="Q1199" s="80"/>
    </row>
    <row r="1200" spans="4:17" customFormat="1">
      <c r="D1200" s="1"/>
      <c r="E1200" s="1"/>
      <c r="F1200" s="120"/>
      <c r="G1200" s="1"/>
      <c r="H1200" s="1"/>
      <c r="I1200" s="1"/>
      <c r="J1200" s="80"/>
      <c r="K1200" s="80"/>
      <c r="L1200" s="80"/>
      <c r="M1200" s="80"/>
      <c r="N1200" s="80"/>
      <c r="O1200" s="80"/>
      <c r="P1200" s="80"/>
      <c r="Q1200" s="80"/>
    </row>
    <row r="1201" spans="4:17" customFormat="1">
      <c r="D1201" s="1"/>
      <c r="E1201" s="1"/>
      <c r="F1201" s="120"/>
      <c r="G1201" s="1"/>
      <c r="H1201" s="1"/>
      <c r="I1201" s="1"/>
      <c r="J1201" s="80"/>
      <c r="K1201" s="80"/>
      <c r="L1201" s="80"/>
      <c r="M1201" s="80"/>
      <c r="N1201" s="80"/>
      <c r="O1201" s="80"/>
      <c r="P1201" s="80"/>
      <c r="Q1201" s="80"/>
    </row>
    <row r="1202" spans="4:17" customFormat="1">
      <c r="D1202" s="1"/>
      <c r="E1202" s="1"/>
      <c r="F1202" s="120"/>
      <c r="G1202" s="1"/>
      <c r="H1202" s="1"/>
      <c r="I1202" s="1"/>
      <c r="J1202" s="80"/>
      <c r="K1202" s="80"/>
      <c r="L1202" s="80"/>
      <c r="M1202" s="80"/>
      <c r="N1202" s="80"/>
      <c r="O1202" s="80"/>
      <c r="P1202" s="80"/>
      <c r="Q1202" s="80"/>
    </row>
    <row r="1203" spans="4:17" customFormat="1">
      <c r="D1203" s="1"/>
      <c r="E1203" s="1"/>
      <c r="F1203" s="120"/>
      <c r="G1203" s="1"/>
      <c r="H1203" s="1"/>
      <c r="I1203" s="1"/>
      <c r="J1203" s="80"/>
      <c r="K1203" s="80"/>
      <c r="L1203" s="80"/>
      <c r="M1203" s="80"/>
      <c r="N1203" s="80"/>
      <c r="O1203" s="80"/>
      <c r="P1203" s="80"/>
      <c r="Q1203" s="80"/>
    </row>
    <row r="1204" spans="4:17" customFormat="1">
      <c r="D1204" s="1"/>
      <c r="E1204" s="1"/>
      <c r="F1204" s="120"/>
      <c r="G1204" s="1"/>
      <c r="H1204" s="1"/>
      <c r="I1204" s="1"/>
      <c r="J1204" s="80"/>
      <c r="K1204" s="80"/>
      <c r="L1204" s="80"/>
      <c r="M1204" s="80"/>
      <c r="N1204" s="80"/>
      <c r="O1204" s="80"/>
      <c r="P1204" s="80"/>
      <c r="Q1204" s="80"/>
    </row>
    <row r="1205" spans="4:17" customFormat="1">
      <c r="D1205" s="1"/>
      <c r="E1205" s="1"/>
      <c r="F1205" s="120"/>
      <c r="G1205" s="1"/>
      <c r="H1205" s="1"/>
      <c r="I1205" s="1"/>
      <c r="J1205" s="80"/>
      <c r="K1205" s="80"/>
      <c r="L1205" s="80"/>
      <c r="M1205" s="80"/>
      <c r="N1205" s="80"/>
      <c r="O1205" s="80"/>
      <c r="P1205" s="80"/>
      <c r="Q1205" s="80"/>
    </row>
    <row r="1206" spans="4:17" customFormat="1">
      <c r="D1206" s="1"/>
      <c r="E1206" s="1"/>
      <c r="F1206" s="120"/>
      <c r="G1206" s="1"/>
      <c r="H1206" s="1"/>
      <c r="I1206" s="1"/>
      <c r="J1206" s="80"/>
      <c r="K1206" s="80"/>
      <c r="L1206" s="80"/>
      <c r="M1206" s="80"/>
      <c r="N1206" s="80"/>
      <c r="O1206" s="80"/>
      <c r="P1206" s="80"/>
      <c r="Q1206" s="80"/>
    </row>
    <row r="1207" spans="4:17" customFormat="1">
      <c r="D1207" s="1"/>
      <c r="E1207" s="1"/>
      <c r="F1207" s="120"/>
      <c r="G1207" s="1"/>
      <c r="H1207" s="1"/>
      <c r="I1207" s="1"/>
      <c r="J1207" s="80"/>
      <c r="K1207" s="80"/>
      <c r="L1207" s="80"/>
      <c r="M1207" s="80"/>
      <c r="N1207" s="80"/>
      <c r="O1207" s="80"/>
      <c r="P1207" s="80"/>
      <c r="Q1207" s="80"/>
    </row>
    <row r="1208" spans="4:17" customFormat="1">
      <c r="D1208" s="1"/>
      <c r="E1208" s="1"/>
      <c r="F1208" s="120"/>
      <c r="G1208" s="1"/>
      <c r="H1208" s="1"/>
      <c r="I1208" s="1"/>
      <c r="J1208" s="80"/>
      <c r="K1208" s="80"/>
      <c r="L1208" s="80"/>
      <c r="M1208" s="80"/>
      <c r="N1208" s="80"/>
      <c r="O1208" s="80"/>
      <c r="P1208" s="80"/>
      <c r="Q1208" s="80"/>
    </row>
    <row r="1209" spans="4:17" customFormat="1">
      <c r="D1209" s="1"/>
      <c r="E1209" s="1"/>
      <c r="F1209" s="120"/>
      <c r="G1209" s="1"/>
      <c r="H1209" s="1"/>
      <c r="I1209" s="1"/>
      <c r="J1209" s="80"/>
      <c r="K1209" s="80"/>
      <c r="L1209" s="80"/>
      <c r="M1209" s="80"/>
      <c r="N1209" s="80"/>
      <c r="O1209" s="80"/>
      <c r="P1209" s="80"/>
      <c r="Q1209" s="80"/>
    </row>
    <row r="1210" spans="4:17" customFormat="1">
      <c r="D1210" s="1"/>
      <c r="E1210" s="1"/>
      <c r="F1210" s="120"/>
      <c r="G1210" s="1"/>
      <c r="H1210" s="1"/>
      <c r="I1210" s="1"/>
      <c r="J1210" s="80"/>
      <c r="K1210" s="80"/>
      <c r="L1210" s="80"/>
      <c r="M1210" s="80"/>
      <c r="N1210" s="80"/>
      <c r="O1210" s="80"/>
      <c r="P1210" s="80"/>
      <c r="Q1210" s="80"/>
    </row>
    <row r="1211" spans="4:17" customFormat="1">
      <c r="D1211" s="1"/>
      <c r="E1211" s="1"/>
      <c r="F1211" s="120"/>
      <c r="G1211" s="1"/>
      <c r="H1211" s="1"/>
      <c r="I1211" s="1"/>
      <c r="J1211" s="80"/>
      <c r="K1211" s="80"/>
      <c r="L1211" s="80"/>
      <c r="M1211" s="80"/>
      <c r="N1211" s="80"/>
      <c r="O1211" s="80"/>
      <c r="P1211" s="80"/>
      <c r="Q1211" s="80"/>
    </row>
    <row r="1212" spans="4:17" customFormat="1">
      <c r="D1212" s="1"/>
      <c r="E1212" s="1"/>
      <c r="F1212" s="120"/>
      <c r="G1212" s="1"/>
      <c r="H1212" s="1"/>
      <c r="I1212" s="1"/>
      <c r="J1212" s="80"/>
      <c r="K1212" s="80"/>
      <c r="L1212" s="80"/>
      <c r="M1212" s="80"/>
      <c r="N1212" s="80"/>
      <c r="O1212" s="80"/>
      <c r="P1212" s="80"/>
      <c r="Q1212" s="80"/>
    </row>
    <row r="1213" spans="4:17" customFormat="1">
      <c r="D1213" s="1"/>
      <c r="E1213" s="1"/>
      <c r="F1213" s="120"/>
      <c r="G1213" s="1"/>
      <c r="H1213" s="1"/>
      <c r="I1213" s="1"/>
      <c r="J1213" s="80"/>
      <c r="K1213" s="80"/>
      <c r="L1213" s="80"/>
      <c r="M1213" s="80"/>
      <c r="N1213" s="80"/>
      <c r="O1213" s="80"/>
      <c r="P1213" s="80"/>
      <c r="Q1213" s="80"/>
    </row>
    <row r="1214" spans="4:17" customFormat="1">
      <c r="D1214" s="1"/>
      <c r="E1214" s="1"/>
      <c r="F1214" s="120"/>
      <c r="G1214" s="1"/>
      <c r="H1214" s="1"/>
      <c r="I1214" s="1"/>
      <c r="J1214" s="80"/>
      <c r="K1214" s="80"/>
      <c r="L1214" s="80"/>
      <c r="M1214" s="80"/>
      <c r="N1214" s="80"/>
      <c r="O1214" s="80"/>
      <c r="P1214" s="80"/>
      <c r="Q1214" s="80"/>
    </row>
    <row r="1215" spans="4:17" customFormat="1">
      <c r="D1215" s="1"/>
      <c r="E1215" s="1"/>
      <c r="F1215" s="120"/>
      <c r="G1215" s="1"/>
      <c r="H1215" s="1"/>
      <c r="I1215" s="1"/>
      <c r="J1215" s="80"/>
      <c r="K1215" s="80"/>
      <c r="L1215" s="80"/>
      <c r="M1215" s="80"/>
      <c r="N1215" s="80"/>
      <c r="O1215" s="80"/>
      <c r="P1215" s="80"/>
      <c r="Q1215" s="80"/>
    </row>
    <row r="1216" spans="4:17" customFormat="1">
      <c r="D1216" s="1"/>
      <c r="E1216" s="1"/>
      <c r="F1216" s="120"/>
      <c r="G1216" s="1"/>
      <c r="H1216" s="1"/>
      <c r="I1216" s="1"/>
      <c r="J1216" s="80"/>
      <c r="K1216" s="80"/>
      <c r="L1216" s="80"/>
      <c r="M1216" s="80"/>
      <c r="N1216" s="80"/>
      <c r="O1216" s="80"/>
      <c r="P1216" s="80"/>
      <c r="Q1216" s="80"/>
    </row>
    <row r="1217" spans="4:17" customFormat="1">
      <c r="D1217" s="1"/>
      <c r="E1217" s="1"/>
      <c r="F1217" s="120"/>
      <c r="G1217" s="1"/>
      <c r="H1217" s="1"/>
      <c r="I1217" s="1"/>
      <c r="J1217" s="80"/>
      <c r="K1217" s="80"/>
      <c r="L1217" s="80"/>
      <c r="M1217" s="80"/>
      <c r="N1217" s="80"/>
      <c r="O1217" s="80"/>
      <c r="P1217" s="80"/>
      <c r="Q1217" s="80"/>
    </row>
    <row r="1218" spans="4:17" customFormat="1">
      <c r="D1218" s="1"/>
      <c r="E1218" s="1"/>
      <c r="F1218" s="120"/>
      <c r="G1218" s="1"/>
      <c r="H1218" s="1"/>
      <c r="I1218" s="1"/>
      <c r="J1218" s="80"/>
      <c r="K1218" s="80"/>
      <c r="L1218" s="80"/>
      <c r="M1218" s="80"/>
      <c r="N1218" s="80"/>
      <c r="O1218" s="80"/>
      <c r="P1218" s="80"/>
      <c r="Q1218" s="80"/>
    </row>
    <row r="1219" spans="4:17" customFormat="1">
      <c r="D1219" s="1"/>
      <c r="E1219" s="1"/>
      <c r="F1219" s="120"/>
      <c r="G1219" s="1"/>
      <c r="H1219" s="1"/>
      <c r="I1219" s="1"/>
      <c r="J1219" s="80"/>
      <c r="K1219" s="80"/>
      <c r="L1219" s="80"/>
      <c r="M1219" s="80"/>
      <c r="N1219" s="80"/>
      <c r="O1219" s="80"/>
      <c r="P1219" s="80"/>
      <c r="Q1219" s="80"/>
    </row>
    <row r="1220" spans="4:17" customFormat="1">
      <c r="D1220" s="1"/>
      <c r="E1220" s="1"/>
      <c r="F1220" s="120"/>
      <c r="G1220" s="1"/>
      <c r="H1220" s="1"/>
      <c r="I1220" s="1"/>
      <c r="J1220" s="80"/>
      <c r="K1220" s="80"/>
      <c r="L1220" s="80"/>
      <c r="M1220" s="80"/>
      <c r="N1220" s="80"/>
      <c r="O1220" s="80"/>
      <c r="P1220" s="80"/>
      <c r="Q1220" s="80"/>
    </row>
    <row r="1221" spans="4:17" customFormat="1">
      <c r="D1221" s="1"/>
      <c r="E1221" s="1"/>
      <c r="F1221" s="120"/>
      <c r="G1221" s="1"/>
      <c r="H1221" s="1"/>
      <c r="I1221" s="1"/>
      <c r="J1221" s="80"/>
      <c r="K1221" s="80"/>
      <c r="L1221" s="80"/>
      <c r="M1221" s="80"/>
      <c r="N1221" s="80"/>
      <c r="O1221" s="80"/>
      <c r="P1221" s="80"/>
      <c r="Q1221" s="80"/>
    </row>
    <row r="1222" spans="4:17" customFormat="1">
      <c r="D1222" s="1"/>
      <c r="E1222" s="1"/>
      <c r="F1222" s="120"/>
      <c r="G1222" s="1"/>
      <c r="H1222" s="1"/>
      <c r="I1222" s="1"/>
      <c r="J1222" s="80"/>
      <c r="K1222" s="80"/>
      <c r="L1222" s="80"/>
      <c r="M1222" s="80"/>
      <c r="N1222" s="80"/>
      <c r="O1222" s="80"/>
      <c r="P1222" s="80"/>
      <c r="Q1222" s="80"/>
    </row>
    <row r="1223" spans="4:17" customFormat="1">
      <c r="D1223" s="1"/>
      <c r="E1223" s="1"/>
      <c r="F1223" s="120"/>
      <c r="G1223" s="1"/>
      <c r="H1223" s="1"/>
      <c r="I1223" s="1"/>
      <c r="J1223" s="80"/>
      <c r="K1223" s="80"/>
      <c r="L1223" s="80"/>
      <c r="M1223" s="80"/>
      <c r="N1223" s="80"/>
      <c r="O1223" s="80"/>
      <c r="P1223" s="80"/>
      <c r="Q1223" s="80"/>
    </row>
    <row r="1224" spans="4:17" customFormat="1">
      <c r="D1224" s="1"/>
      <c r="E1224" s="1"/>
      <c r="F1224" s="120"/>
      <c r="G1224" s="1"/>
      <c r="H1224" s="1"/>
      <c r="I1224" s="1"/>
      <c r="J1224" s="80"/>
      <c r="K1224" s="80"/>
      <c r="L1224" s="80"/>
      <c r="M1224" s="80"/>
      <c r="N1224" s="80"/>
      <c r="O1224" s="80"/>
      <c r="P1224" s="80"/>
      <c r="Q1224" s="80"/>
    </row>
    <row r="1225" spans="4:17" customFormat="1">
      <c r="D1225" s="1"/>
      <c r="E1225" s="1"/>
      <c r="F1225" s="120"/>
      <c r="G1225" s="1"/>
      <c r="H1225" s="1"/>
      <c r="I1225" s="1"/>
      <c r="J1225" s="80"/>
      <c r="K1225" s="80"/>
      <c r="L1225" s="80"/>
      <c r="M1225" s="80"/>
      <c r="N1225" s="80"/>
      <c r="O1225" s="80"/>
      <c r="P1225" s="80"/>
      <c r="Q1225" s="80"/>
    </row>
    <row r="1226" spans="4:17" customFormat="1">
      <c r="D1226" s="1"/>
      <c r="E1226" s="1"/>
      <c r="F1226" s="120"/>
      <c r="G1226" s="1"/>
      <c r="H1226" s="1"/>
      <c r="I1226" s="1"/>
      <c r="J1226" s="80"/>
      <c r="K1226" s="80"/>
      <c r="L1226" s="80"/>
      <c r="M1226" s="80"/>
      <c r="N1226" s="80"/>
      <c r="O1226" s="80"/>
      <c r="P1226" s="80"/>
      <c r="Q1226" s="80"/>
    </row>
    <row r="1227" spans="4:17" customFormat="1">
      <c r="D1227" s="1"/>
      <c r="E1227" s="1"/>
      <c r="F1227" s="120"/>
      <c r="G1227" s="1"/>
      <c r="H1227" s="1"/>
      <c r="I1227" s="1"/>
      <c r="J1227" s="80"/>
      <c r="K1227" s="80"/>
      <c r="L1227" s="80"/>
      <c r="M1227" s="80"/>
      <c r="N1227" s="80"/>
      <c r="O1227" s="80"/>
      <c r="P1227" s="80"/>
      <c r="Q1227" s="80"/>
    </row>
    <row r="1228" spans="4:17" customFormat="1">
      <c r="D1228" s="1"/>
      <c r="E1228" s="1"/>
      <c r="F1228" s="120"/>
      <c r="G1228" s="1"/>
      <c r="H1228" s="1"/>
      <c r="I1228" s="1"/>
      <c r="J1228" s="80"/>
      <c r="K1228" s="80"/>
      <c r="L1228" s="80"/>
      <c r="M1228" s="80"/>
      <c r="N1228" s="80"/>
      <c r="O1228" s="80"/>
      <c r="P1228" s="80"/>
      <c r="Q1228" s="80"/>
    </row>
    <row r="1229" spans="4:17" customFormat="1">
      <c r="D1229" s="1"/>
      <c r="E1229" s="1"/>
      <c r="F1229" s="120"/>
      <c r="G1229" s="1"/>
      <c r="H1229" s="1"/>
      <c r="I1229" s="1"/>
      <c r="J1229" s="80"/>
      <c r="K1229" s="80"/>
      <c r="L1229" s="80"/>
      <c r="M1229" s="80"/>
      <c r="N1229" s="80"/>
      <c r="O1229" s="80"/>
      <c r="P1229" s="80"/>
      <c r="Q1229" s="80"/>
    </row>
    <row r="1230" spans="4:17" customFormat="1">
      <c r="D1230" s="1"/>
      <c r="E1230" s="1"/>
      <c r="F1230" s="120"/>
      <c r="G1230" s="1"/>
      <c r="H1230" s="1"/>
      <c r="I1230" s="1"/>
      <c r="J1230" s="80"/>
      <c r="K1230" s="80"/>
      <c r="L1230" s="80"/>
      <c r="M1230" s="80"/>
      <c r="N1230" s="80"/>
      <c r="O1230" s="80"/>
      <c r="P1230" s="80"/>
      <c r="Q1230" s="80"/>
    </row>
    <row r="1231" spans="4:17" customFormat="1">
      <c r="D1231" s="1"/>
      <c r="E1231" s="1"/>
      <c r="F1231" s="120"/>
      <c r="G1231" s="1"/>
      <c r="H1231" s="1"/>
      <c r="I1231" s="1"/>
      <c r="J1231" s="80"/>
      <c r="K1231" s="80"/>
      <c r="L1231" s="80"/>
      <c r="M1231" s="80"/>
      <c r="N1231" s="80"/>
      <c r="O1231" s="80"/>
      <c r="P1231" s="80"/>
      <c r="Q1231" s="80"/>
    </row>
    <row r="1232" spans="4:17" customFormat="1">
      <c r="D1232" s="1"/>
      <c r="E1232" s="1"/>
      <c r="F1232" s="120"/>
      <c r="G1232" s="1"/>
      <c r="H1232" s="1"/>
      <c r="I1232" s="1"/>
      <c r="J1232" s="80"/>
      <c r="K1232" s="80"/>
      <c r="L1232" s="80"/>
      <c r="M1232" s="80"/>
      <c r="N1232" s="80"/>
      <c r="O1232" s="80"/>
      <c r="P1232" s="80"/>
      <c r="Q1232" s="80"/>
    </row>
    <row r="1233" spans="4:17" customFormat="1">
      <c r="D1233" s="1"/>
      <c r="E1233" s="1"/>
      <c r="F1233" s="120"/>
      <c r="G1233" s="1"/>
      <c r="H1233" s="1"/>
      <c r="I1233" s="1"/>
      <c r="J1233" s="80"/>
      <c r="K1233" s="80"/>
      <c r="L1233" s="80"/>
      <c r="M1233" s="80"/>
      <c r="N1233" s="80"/>
      <c r="O1233" s="80"/>
      <c r="P1233" s="80"/>
      <c r="Q1233" s="80"/>
    </row>
    <row r="1234" spans="4:17" customFormat="1">
      <c r="D1234" s="1"/>
      <c r="E1234" s="1"/>
      <c r="F1234" s="120"/>
      <c r="G1234" s="1"/>
      <c r="H1234" s="1"/>
      <c r="I1234" s="1"/>
      <c r="J1234" s="80"/>
      <c r="K1234" s="80"/>
      <c r="L1234" s="80"/>
      <c r="M1234" s="80"/>
      <c r="N1234" s="80"/>
      <c r="O1234" s="80"/>
      <c r="P1234" s="80"/>
      <c r="Q1234" s="80"/>
    </row>
    <row r="1235" spans="4:17" customFormat="1">
      <c r="D1235" s="1"/>
      <c r="E1235" s="1"/>
      <c r="F1235" s="120"/>
      <c r="G1235" s="1"/>
      <c r="H1235" s="1"/>
      <c r="I1235" s="1"/>
      <c r="J1235" s="80"/>
      <c r="K1235" s="80"/>
      <c r="L1235" s="80"/>
      <c r="M1235" s="80"/>
      <c r="N1235" s="80"/>
      <c r="O1235" s="80"/>
      <c r="P1235" s="80"/>
      <c r="Q1235" s="80"/>
    </row>
    <row r="1236" spans="4:17" customFormat="1">
      <c r="D1236" s="1"/>
      <c r="E1236" s="1"/>
      <c r="F1236" s="120"/>
      <c r="G1236" s="1"/>
      <c r="H1236" s="1"/>
      <c r="I1236" s="1"/>
      <c r="J1236" s="80"/>
      <c r="K1236" s="80"/>
      <c r="L1236" s="80"/>
      <c r="M1236" s="80"/>
      <c r="N1236" s="80"/>
      <c r="O1236" s="80"/>
      <c r="P1236" s="80"/>
      <c r="Q1236" s="80"/>
    </row>
    <row r="1237" spans="4:17" customFormat="1">
      <c r="D1237" s="1"/>
      <c r="E1237" s="1"/>
      <c r="F1237" s="120"/>
      <c r="G1237" s="1"/>
      <c r="H1237" s="1"/>
      <c r="I1237" s="1"/>
      <c r="J1237" s="80"/>
      <c r="K1237" s="80"/>
      <c r="L1237" s="80"/>
      <c r="M1237" s="80"/>
      <c r="N1237" s="80"/>
      <c r="O1237" s="80"/>
      <c r="P1237" s="80"/>
      <c r="Q1237" s="80"/>
    </row>
    <row r="1238" spans="4:17" customFormat="1">
      <c r="D1238" s="1"/>
      <c r="E1238" s="1"/>
      <c r="F1238" s="120"/>
      <c r="G1238" s="1"/>
      <c r="H1238" s="1"/>
      <c r="I1238" s="1"/>
      <c r="J1238" s="80"/>
      <c r="K1238" s="80"/>
      <c r="L1238" s="80"/>
      <c r="M1238" s="80"/>
      <c r="N1238" s="80"/>
      <c r="O1238" s="80"/>
      <c r="P1238" s="80"/>
      <c r="Q1238" s="80"/>
    </row>
    <row r="1239" spans="4:17" customFormat="1">
      <c r="D1239" s="1"/>
      <c r="E1239" s="1"/>
      <c r="F1239" s="120"/>
      <c r="G1239" s="1"/>
      <c r="H1239" s="1"/>
      <c r="I1239" s="1"/>
      <c r="J1239" s="80"/>
      <c r="K1239" s="80"/>
      <c r="L1239" s="80"/>
      <c r="M1239" s="80"/>
      <c r="N1239" s="80"/>
      <c r="O1239" s="80"/>
      <c r="P1239" s="80"/>
      <c r="Q1239" s="80"/>
    </row>
    <row r="1240" spans="4:17" customFormat="1">
      <c r="D1240" s="1"/>
      <c r="E1240" s="1"/>
      <c r="F1240" s="120"/>
      <c r="G1240" s="1"/>
      <c r="H1240" s="1"/>
      <c r="I1240" s="1"/>
      <c r="J1240" s="80"/>
      <c r="K1240" s="80"/>
      <c r="L1240" s="80"/>
      <c r="M1240" s="80"/>
      <c r="N1240" s="80"/>
      <c r="O1240" s="80"/>
      <c r="P1240" s="80"/>
      <c r="Q1240" s="80"/>
    </row>
    <row r="1241" spans="4:17" customFormat="1">
      <c r="D1241" s="1"/>
      <c r="E1241" s="1"/>
      <c r="F1241" s="120"/>
      <c r="G1241" s="1"/>
      <c r="H1241" s="1"/>
      <c r="I1241" s="1"/>
      <c r="J1241" s="80"/>
      <c r="K1241" s="80"/>
      <c r="L1241" s="80"/>
      <c r="M1241" s="80"/>
      <c r="N1241" s="80"/>
      <c r="O1241" s="80"/>
      <c r="P1241" s="80"/>
      <c r="Q1241" s="80"/>
    </row>
    <row r="1242" spans="4:17" customFormat="1">
      <c r="D1242" s="1"/>
      <c r="E1242" s="1"/>
      <c r="F1242" s="120"/>
      <c r="G1242" s="1"/>
      <c r="H1242" s="1"/>
      <c r="I1242" s="1"/>
      <c r="J1242" s="80"/>
      <c r="K1242" s="80"/>
      <c r="L1242" s="80"/>
      <c r="M1242" s="80"/>
      <c r="N1242" s="80"/>
      <c r="O1242" s="80"/>
      <c r="P1242" s="80"/>
      <c r="Q1242" s="80"/>
    </row>
    <row r="1243" spans="4:17" customFormat="1">
      <c r="D1243" s="1"/>
      <c r="E1243" s="1"/>
      <c r="F1243" s="120"/>
      <c r="G1243" s="1"/>
      <c r="H1243" s="1"/>
      <c r="I1243" s="1"/>
      <c r="J1243" s="80"/>
      <c r="K1243" s="80"/>
      <c r="L1243" s="80"/>
      <c r="M1243" s="80"/>
      <c r="N1243" s="80"/>
      <c r="O1243" s="80"/>
      <c r="P1243" s="80"/>
      <c r="Q1243" s="80"/>
    </row>
    <row r="1244" spans="4:17" customFormat="1">
      <c r="D1244" s="1"/>
      <c r="E1244" s="1"/>
      <c r="F1244" s="120"/>
      <c r="G1244" s="1"/>
      <c r="H1244" s="1"/>
      <c r="I1244" s="1"/>
      <c r="J1244" s="80"/>
      <c r="K1244" s="80"/>
      <c r="L1244" s="80"/>
      <c r="M1244" s="80"/>
      <c r="N1244" s="80"/>
      <c r="O1244" s="80"/>
      <c r="P1244" s="80"/>
      <c r="Q1244" s="80"/>
    </row>
    <row r="1245" spans="4:17" customFormat="1">
      <c r="D1245" s="1"/>
      <c r="E1245" s="1"/>
      <c r="F1245" s="120"/>
      <c r="G1245" s="1"/>
      <c r="H1245" s="1"/>
      <c r="I1245" s="1"/>
      <c r="J1245" s="80"/>
      <c r="K1245" s="80"/>
      <c r="L1245" s="80"/>
      <c r="M1245" s="80"/>
      <c r="N1245" s="80"/>
      <c r="O1245" s="80"/>
      <c r="P1245" s="80"/>
      <c r="Q1245" s="80"/>
    </row>
    <row r="1246" spans="4:17" customFormat="1">
      <c r="D1246" s="1"/>
      <c r="E1246" s="1"/>
      <c r="F1246" s="120"/>
      <c r="G1246" s="1"/>
      <c r="H1246" s="1"/>
      <c r="I1246" s="1"/>
      <c r="J1246" s="80"/>
      <c r="K1246" s="80"/>
      <c r="L1246" s="80"/>
      <c r="M1246" s="80"/>
      <c r="N1246" s="80"/>
      <c r="O1246" s="80"/>
      <c r="P1246" s="80"/>
      <c r="Q1246" s="80"/>
    </row>
    <row r="1247" spans="4:17" customFormat="1">
      <c r="D1247" s="1"/>
      <c r="E1247" s="1"/>
      <c r="F1247" s="120"/>
      <c r="G1247" s="1"/>
      <c r="H1247" s="1"/>
      <c r="I1247" s="1"/>
      <c r="J1247" s="80"/>
      <c r="K1247" s="80"/>
      <c r="L1247" s="80"/>
      <c r="M1247" s="80"/>
      <c r="N1247" s="80"/>
      <c r="O1247" s="80"/>
      <c r="P1247" s="80"/>
      <c r="Q1247" s="80"/>
    </row>
    <row r="1248" spans="4:17" customFormat="1">
      <c r="D1248" s="1"/>
      <c r="E1248" s="1"/>
      <c r="F1248" s="120"/>
      <c r="G1248" s="1"/>
      <c r="H1248" s="1"/>
      <c r="I1248" s="1"/>
      <c r="J1248" s="80"/>
      <c r="K1248" s="80"/>
      <c r="L1248" s="80"/>
      <c r="M1248" s="80"/>
      <c r="N1248" s="80"/>
      <c r="O1248" s="80"/>
      <c r="P1248" s="80"/>
      <c r="Q1248" s="80"/>
    </row>
    <row r="1249" spans="4:17" customFormat="1">
      <c r="D1249" s="1"/>
      <c r="E1249" s="1"/>
      <c r="F1249" s="120"/>
      <c r="G1249" s="1"/>
      <c r="H1249" s="1"/>
      <c r="I1249" s="1"/>
      <c r="J1249" s="80"/>
      <c r="K1249" s="80"/>
      <c r="L1249" s="80"/>
      <c r="M1249" s="80"/>
      <c r="N1249" s="80"/>
      <c r="O1249" s="80"/>
      <c r="P1249" s="80"/>
      <c r="Q1249" s="80"/>
    </row>
    <row r="1250" spans="4:17" customFormat="1">
      <c r="D1250" s="1"/>
      <c r="E1250" s="1"/>
      <c r="F1250" s="120"/>
      <c r="G1250" s="1"/>
      <c r="H1250" s="1"/>
      <c r="I1250" s="1"/>
      <c r="J1250" s="80"/>
      <c r="K1250" s="80"/>
      <c r="L1250" s="80"/>
      <c r="M1250" s="80"/>
      <c r="N1250" s="80"/>
      <c r="O1250" s="80"/>
      <c r="P1250" s="80"/>
      <c r="Q1250" s="80"/>
    </row>
    <row r="1251" spans="4:17" customFormat="1">
      <c r="D1251" s="1"/>
      <c r="E1251" s="1"/>
      <c r="F1251" s="120"/>
      <c r="G1251" s="1"/>
      <c r="H1251" s="1"/>
      <c r="I1251" s="1"/>
      <c r="J1251" s="80"/>
      <c r="K1251" s="80"/>
      <c r="L1251" s="80"/>
      <c r="M1251" s="80"/>
      <c r="N1251" s="80"/>
      <c r="O1251" s="80"/>
      <c r="P1251" s="80"/>
      <c r="Q1251" s="80"/>
    </row>
    <row r="1252" spans="4:17" customFormat="1">
      <c r="D1252" s="1"/>
      <c r="E1252" s="1"/>
      <c r="F1252" s="120"/>
      <c r="G1252" s="1"/>
      <c r="H1252" s="1"/>
      <c r="I1252" s="1"/>
      <c r="J1252" s="80"/>
      <c r="K1252" s="80"/>
      <c r="L1252" s="80"/>
      <c r="M1252" s="80"/>
      <c r="N1252" s="80"/>
      <c r="O1252" s="80"/>
      <c r="P1252" s="80"/>
      <c r="Q1252" s="80"/>
    </row>
    <row r="1253" spans="4:17" customFormat="1">
      <c r="D1253" s="1"/>
      <c r="E1253" s="1"/>
      <c r="F1253" s="120"/>
      <c r="G1253" s="1"/>
      <c r="H1253" s="1"/>
      <c r="I1253" s="1"/>
      <c r="J1253" s="80"/>
      <c r="K1253" s="80"/>
      <c r="L1253" s="80"/>
      <c r="M1253" s="80"/>
      <c r="N1253" s="80"/>
      <c r="O1253" s="80"/>
      <c r="P1253" s="80"/>
      <c r="Q1253" s="80"/>
    </row>
    <row r="1254" spans="4:17" customFormat="1">
      <c r="D1254" s="1"/>
      <c r="E1254" s="1"/>
      <c r="F1254" s="120"/>
      <c r="G1254" s="1"/>
      <c r="H1254" s="1"/>
      <c r="I1254" s="1"/>
      <c r="J1254" s="80"/>
      <c r="K1254" s="80"/>
      <c r="L1254" s="80"/>
      <c r="M1254" s="80"/>
      <c r="N1254" s="80"/>
      <c r="O1254" s="80"/>
      <c r="P1254" s="80"/>
      <c r="Q1254" s="80"/>
    </row>
    <row r="1255" spans="4:17" customFormat="1">
      <c r="D1255" s="1"/>
      <c r="E1255" s="1"/>
      <c r="F1255" s="120"/>
      <c r="G1255" s="1"/>
      <c r="H1255" s="1"/>
      <c r="I1255" s="1"/>
      <c r="J1255" s="80"/>
      <c r="K1255" s="80"/>
      <c r="L1255" s="80"/>
      <c r="M1255" s="80"/>
      <c r="N1255" s="80"/>
      <c r="O1255" s="80"/>
      <c r="P1255" s="80"/>
      <c r="Q1255" s="80"/>
    </row>
    <row r="1256" spans="4:17" customFormat="1">
      <c r="D1256" s="1"/>
      <c r="E1256" s="1"/>
      <c r="F1256" s="120"/>
      <c r="G1256" s="1"/>
      <c r="H1256" s="1"/>
      <c r="I1256" s="1"/>
      <c r="J1256" s="80"/>
      <c r="K1256" s="80"/>
      <c r="L1256" s="80"/>
      <c r="M1256" s="80"/>
      <c r="N1256" s="80"/>
      <c r="O1256" s="80"/>
      <c r="P1256" s="80"/>
      <c r="Q1256" s="80"/>
    </row>
    <row r="1257" spans="4:17" customFormat="1">
      <c r="D1257" s="1"/>
      <c r="E1257" s="1"/>
      <c r="F1257" s="120"/>
      <c r="G1257" s="1"/>
      <c r="H1257" s="1"/>
      <c r="I1257" s="1"/>
      <c r="J1257" s="80"/>
      <c r="K1257" s="80"/>
      <c r="L1257" s="80"/>
      <c r="M1257" s="80"/>
      <c r="N1257" s="80"/>
      <c r="O1257" s="80"/>
      <c r="P1257" s="80"/>
      <c r="Q1257" s="80"/>
    </row>
    <row r="1258" spans="4:17" customFormat="1">
      <c r="D1258" s="1"/>
      <c r="E1258" s="1"/>
      <c r="F1258" s="120"/>
      <c r="G1258" s="1"/>
      <c r="H1258" s="1"/>
      <c r="I1258" s="1"/>
      <c r="J1258" s="80"/>
      <c r="K1258" s="80"/>
      <c r="L1258" s="80"/>
      <c r="M1258" s="80"/>
      <c r="N1258" s="80"/>
      <c r="O1258" s="80"/>
      <c r="P1258" s="80"/>
      <c r="Q1258" s="80"/>
    </row>
    <row r="1259" spans="4:17" customFormat="1">
      <c r="D1259" s="1"/>
      <c r="E1259" s="1"/>
      <c r="F1259" s="120"/>
      <c r="G1259" s="1"/>
      <c r="H1259" s="1"/>
      <c r="I1259" s="1"/>
      <c r="J1259" s="80"/>
      <c r="K1259" s="80"/>
      <c r="L1259" s="80"/>
      <c r="M1259" s="80"/>
      <c r="N1259" s="80"/>
      <c r="O1259" s="80"/>
      <c r="P1259" s="80"/>
      <c r="Q1259" s="80"/>
    </row>
    <row r="1260" spans="4:17" customFormat="1">
      <c r="D1260" s="1"/>
      <c r="E1260" s="1"/>
      <c r="F1260" s="120"/>
      <c r="G1260" s="1"/>
      <c r="H1260" s="1"/>
      <c r="I1260" s="1"/>
      <c r="J1260" s="80"/>
      <c r="K1260" s="80"/>
      <c r="L1260" s="80"/>
      <c r="M1260" s="80"/>
      <c r="N1260" s="80"/>
      <c r="O1260" s="80"/>
      <c r="P1260" s="80"/>
      <c r="Q1260" s="80"/>
    </row>
    <row r="1261" spans="4:17" customFormat="1">
      <c r="D1261" s="1"/>
      <c r="E1261" s="1"/>
      <c r="F1261" s="120"/>
      <c r="G1261" s="1"/>
      <c r="H1261" s="1"/>
      <c r="I1261" s="1"/>
      <c r="J1261" s="80"/>
      <c r="K1261" s="80"/>
      <c r="L1261" s="80"/>
      <c r="M1261" s="80"/>
      <c r="N1261" s="80"/>
      <c r="O1261" s="80"/>
      <c r="P1261" s="80"/>
      <c r="Q1261" s="80"/>
    </row>
    <row r="1262" spans="4:17" customFormat="1">
      <c r="D1262" s="1"/>
      <c r="E1262" s="1"/>
      <c r="F1262" s="120"/>
      <c r="G1262" s="1"/>
      <c r="H1262" s="1"/>
      <c r="I1262" s="1"/>
      <c r="J1262" s="80"/>
      <c r="K1262" s="80"/>
      <c r="L1262" s="80"/>
      <c r="M1262" s="80"/>
      <c r="N1262" s="80"/>
      <c r="O1262" s="80"/>
      <c r="P1262" s="80"/>
      <c r="Q1262" s="80"/>
    </row>
    <row r="1263" spans="4:17" customFormat="1">
      <c r="D1263" s="1"/>
      <c r="E1263" s="1"/>
      <c r="F1263" s="120"/>
      <c r="G1263" s="1"/>
      <c r="H1263" s="1"/>
      <c r="I1263" s="1"/>
      <c r="J1263" s="80"/>
      <c r="K1263" s="80"/>
      <c r="L1263" s="80"/>
      <c r="M1263" s="80"/>
      <c r="N1263" s="80"/>
      <c r="O1263" s="80"/>
      <c r="P1263" s="80"/>
      <c r="Q1263" s="80"/>
    </row>
    <row r="1264" spans="4:17" customFormat="1">
      <c r="D1264" s="1"/>
      <c r="E1264" s="1"/>
      <c r="F1264" s="120"/>
      <c r="G1264" s="1"/>
      <c r="H1264" s="1"/>
      <c r="I1264" s="1"/>
      <c r="J1264" s="80"/>
      <c r="K1264" s="80"/>
      <c r="L1264" s="80"/>
      <c r="M1264" s="80"/>
      <c r="N1264" s="80"/>
      <c r="O1264" s="80"/>
      <c r="P1264" s="80"/>
      <c r="Q1264" s="80"/>
    </row>
    <row r="1265" spans="4:17" customFormat="1">
      <c r="D1265" s="1"/>
      <c r="E1265" s="1"/>
      <c r="F1265" s="120"/>
      <c r="G1265" s="1"/>
      <c r="H1265" s="1"/>
      <c r="I1265" s="1"/>
      <c r="J1265" s="80"/>
      <c r="K1265" s="80"/>
      <c r="L1265" s="80"/>
      <c r="M1265" s="80"/>
      <c r="N1265" s="80"/>
      <c r="O1265" s="80"/>
      <c r="P1265" s="80"/>
      <c r="Q1265" s="80"/>
    </row>
    <row r="1266" spans="4:17" customFormat="1">
      <c r="D1266" s="1"/>
      <c r="E1266" s="1"/>
      <c r="F1266" s="120"/>
      <c r="G1266" s="1"/>
      <c r="H1266" s="1"/>
      <c r="I1266" s="1"/>
      <c r="J1266" s="80"/>
      <c r="K1266" s="80"/>
      <c r="L1266" s="80"/>
      <c r="M1266" s="80"/>
      <c r="N1266" s="80"/>
      <c r="O1266" s="80"/>
      <c r="P1266" s="80"/>
      <c r="Q1266" s="80"/>
    </row>
    <row r="1267" spans="4:17" customFormat="1">
      <c r="D1267" s="1"/>
      <c r="E1267" s="1"/>
      <c r="F1267" s="120"/>
      <c r="G1267" s="1"/>
      <c r="H1267" s="1"/>
      <c r="I1267" s="1"/>
      <c r="J1267" s="80"/>
      <c r="K1267" s="80"/>
      <c r="L1267" s="80"/>
      <c r="M1267" s="80"/>
      <c r="N1267" s="80"/>
      <c r="O1267" s="80"/>
      <c r="P1267" s="80"/>
      <c r="Q1267" s="80"/>
    </row>
    <row r="1268" spans="4:17" customFormat="1">
      <c r="D1268" s="1"/>
      <c r="E1268" s="1"/>
      <c r="F1268" s="120"/>
      <c r="G1268" s="1"/>
      <c r="H1268" s="1"/>
      <c r="I1268" s="1"/>
      <c r="J1268" s="80"/>
      <c r="K1268" s="80"/>
      <c r="L1268" s="80"/>
      <c r="M1268" s="80"/>
      <c r="N1268" s="80"/>
      <c r="O1268" s="80"/>
      <c r="P1268" s="80"/>
      <c r="Q1268" s="80"/>
    </row>
    <row r="1269" spans="4:17" customFormat="1">
      <c r="D1269" s="1"/>
      <c r="E1269" s="1"/>
      <c r="F1269" s="120"/>
      <c r="G1269" s="1"/>
      <c r="H1269" s="1"/>
      <c r="I1269" s="1"/>
      <c r="J1269" s="80"/>
      <c r="K1269" s="80"/>
      <c r="L1269" s="80"/>
      <c r="M1269" s="80"/>
      <c r="N1269" s="80"/>
      <c r="O1269" s="80"/>
      <c r="P1269" s="80"/>
      <c r="Q1269" s="80"/>
    </row>
    <row r="1270" spans="4:17" customFormat="1">
      <c r="D1270" s="1"/>
      <c r="E1270" s="1"/>
      <c r="F1270" s="120"/>
      <c r="G1270" s="1"/>
      <c r="H1270" s="1"/>
      <c r="I1270" s="1"/>
      <c r="J1270" s="80"/>
      <c r="K1270" s="80"/>
      <c r="L1270" s="80"/>
      <c r="M1270" s="80"/>
      <c r="N1270" s="80"/>
      <c r="O1270" s="80"/>
      <c r="P1270" s="80"/>
      <c r="Q1270" s="80"/>
    </row>
    <row r="1271" spans="4:17" customFormat="1">
      <c r="D1271" s="1"/>
      <c r="E1271" s="1"/>
      <c r="F1271" s="120"/>
      <c r="G1271" s="1"/>
      <c r="H1271" s="1"/>
      <c r="I1271" s="1"/>
      <c r="J1271" s="80"/>
      <c r="K1271" s="80"/>
      <c r="L1271" s="80"/>
      <c r="M1271" s="80"/>
      <c r="N1271" s="80"/>
      <c r="O1271" s="80"/>
      <c r="P1271" s="80"/>
      <c r="Q1271" s="80"/>
    </row>
    <row r="1272" spans="4:17" customFormat="1">
      <c r="D1272" s="1"/>
      <c r="E1272" s="1"/>
      <c r="F1272" s="120"/>
      <c r="G1272" s="1"/>
      <c r="H1272" s="1"/>
      <c r="I1272" s="1"/>
      <c r="J1272" s="80"/>
      <c r="K1272" s="80"/>
      <c r="L1272" s="80"/>
      <c r="M1272" s="80"/>
      <c r="N1272" s="80"/>
      <c r="O1272" s="80"/>
      <c r="P1272" s="80"/>
      <c r="Q1272" s="80"/>
    </row>
    <row r="1273" spans="4:17" customFormat="1">
      <c r="D1273" s="1"/>
      <c r="E1273" s="1"/>
      <c r="F1273" s="120"/>
      <c r="G1273" s="1"/>
      <c r="H1273" s="1"/>
      <c r="I1273" s="1"/>
      <c r="J1273" s="80"/>
      <c r="K1273" s="80"/>
      <c r="L1273" s="80"/>
      <c r="M1273" s="80"/>
      <c r="N1273" s="80"/>
      <c r="O1273" s="80"/>
      <c r="P1273" s="80"/>
      <c r="Q1273" s="80"/>
    </row>
    <row r="1274" spans="4:17" customFormat="1">
      <c r="D1274" s="1"/>
      <c r="E1274" s="1"/>
      <c r="F1274" s="120"/>
      <c r="G1274" s="1"/>
      <c r="H1274" s="1"/>
      <c r="I1274" s="1"/>
      <c r="J1274" s="80"/>
      <c r="K1274" s="80"/>
      <c r="L1274" s="80"/>
      <c r="M1274" s="80"/>
      <c r="N1274" s="80"/>
      <c r="O1274" s="80"/>
      <c r="P1274" s="80"/>
      <c r="Q1274" s="80"/>
    </row>
    <row r="1275" spans="4:17" customFormat="1">
      <c r="D1275" s="1"/>
      <c r="E1275" s="1"/>
      <c r="F1275" s="120"/>
      <c r="G1275" s="1"/>
      <c r="H1275" s="1"/>
      <c r="I1275" s="1"/>
      <c r="J1275" s="80"/>
      <c r="K1275" s="80"/>
      <c r="L1275" s="80"/>
      <c r="M1275" s="80"/>
      <c r="N1275" s="80"/>
      <c r="O1275" s="80"/>
      <c r="P1275" s="80"/>
      <c r="Q1275" s="80"/>
    </row>
    <row r="1276" spans="4:17" customFormat="1">
      <c r="D1276" s="1"/>
      <c r="E1276" s="1"/>
      <c r="F1276" s="120"/>
      <c r="G1276" s="1"/>
      <c r="H1276" s="1"/>
      <c r="I1276" s="1"/>
      <c r="J1276" s="80"/>
      <c r="K1276" s="80"/>
      <c r="L1276" s="80"/>
      <c r="M1276" s="80"/>
      <c r="N1276" s="80"/>
      <c r="O1276" s="80"/>
      <c r="P1276" s="80"/>
      <c r="Q1276" s="80"/>
    </row>
    <row r="1277" spans="4:17" customFormat="1">
      <c r="D1277" s="1"/>
      <c r="E1277" s="1"/>
      <c r="F1277" s="120"/>
      <c r="G1277" s="1"/>
      <c r="H1277" s="1"/>
      <c r="I1277" s="1"/>
      <c r="J1277" s="80"/>
      <c r="K1277" s="80"/>
      <c r="L1277" s="80"/>
      <c r="M1277" s="80"/>
      <c r="N1277" s="80"/>
      <c r="O1277" s="80"/>
      <c r="P1277" s="80"/>
      <c r="Q1277" s="80"/>
    </row>
    <row r="1278" spans="4:17" customFormat="1">
      <c r="D1278" s="1"/>
      <c r="E1278" s="1"/>
      <c r="F1278" s="120"/>
      <c r="G1278" s="1"/>
      <c r="H1278" s="1"/>
      <c r="I1278" s="1"/>
      <c r="J1278" s="80"/>
      <c r="K1278" s="80"/>
      <c r="L1278" s="80"/>
      <c r="M1278" s="80"/>
      <c r="N1278" s="80"/>
      <c r="O1278" s="80"/>
      <c r="P1278" s="80"/>
      <c r="Q1278" s="80"/>
    </row>
    <row r="1279" spans="4:17" customFormat="1">
      <c r="D1279" s="1"/>
      <c r="E1279" s="1"/>
      <c r="F1279" s="120"/>
      <c r="G1279" s="1"/>
      <c r="H1279" s="1"/>
      <c r="I1279" s="1"/>
      <c r="J1279" s="80"/>
      <c r="K1279" s="80"/>
      <c r="L1279" s="80"/>
      <c r="M1279" s="80"/>
      <c r="N1279" s="80"/>
      <c r="O1279" s="80"/>
      <c r="P1279" s="80"/>
      <c r="Q1279" s="80"/>
    </row>
    <row r="1280" spans="4:17" customFormat="1">
      <c r="D1280" s="1"/>
      <c r="E1280" s="1"/>
      <c r="F1280" s="120"/>
      <c r="G1280" s="1"/>
      <c r="H1280" s="1"/>
      <c r="I1280" s="1"/>
      <c r="J1280" s="80"/>
      <c r="K1280" s="80"/>
      <c r="L1280" s="80"/>
      <c r="M1280" s="80"/>
      <c r="N1280" s="80"/>
      <c r="O1280" s="80"/>
      <c r="P1280" s="80"/>
      <c r="Q1280" s="80"/>
    </row>
    <row r="1281" spans="4:17" customFormat="1">
      <c r="D1281" s="1"/>
      <c r="E1281" s="1"/>
      <c r="F1281" s="120"/>
      <c r="G1281" s="1"/>
      <c r="H1281" s="1"/>
      <c r="I1281" s="1"/>
      <c r="J1281" s="80"/>
      <c r="K1281" s="80"/>
      <c r="L1281" s="80"/>
      <c r="M1281" s="80"/>
      <c r="N1281" s="80"/>
      <c r="O1281" s="80"/>
      <c r="P1281" s="80"/>
      <c r="Q1281" s="80"/>
    </row>
    <row r="1282" spans="4:17" customFormat="1">
      <c r="D1282" s="1"/>
      <c r="E1282" s="1"/>
      <c r="F1282" s="120"/>
      <c r="G1282" s="1"/>
      <c r="H1282" s="1"/>
      <c r="I1282" s="1"/>
      <c r="J1282" s="80"/>
      <c r="K1282" s="80"/>
      <c r="L1282" s="80"/>
      <c r="M1282" s="80"/>
      <c r="N1282" s="80"/>
      <c r="O1282" s="80"/>
      <c r="P1282" s="80"/>
      <c r="Q1282" s="80"/>
    </row>
    <row r="1283" spans="4:17" customFormat="1">
      <c r="D1283" s="1"/>
      <c r="E1283" s="1"/>
      <c r="F1283" s="120"/>
      <c r="G1283" s="1"/>
      <c r="H1283" s="1"/>
      <c r="I1283" s="1"/>
      <c r="J1283" s="80"/>
      <c r="K1283" s="80"/>
      <c r="L1283" s="80"/>
      <c r="M1283" s="80"/>
      <c r="N1283" s="80"/>
      <c r="O1283" s="80"/>
      <c r="P1283" s="80"/>
      <c r="Q1283" s="80"/>
    </row>
    <row r="1284" spans="4:17" customFormat="1">
      <c r="D1284" s="1"/>
      <c r="E1284" s="1"/>
      <c r="F1284" s="120"/>
      <c r="G1284" s="1"/>
      <c r="H1284" s="1"/>
      <c r="I1284" s="1"/>
      <c r="J1284" s="80"/>
      <c r="K1284" s="80"/>
      <c r="L1284" s="80"/>
      <c r="M1284" s="80"/>
      <c r="N1284" s="80"/>
      <c r="O1284" s="80"/>
      <c r="P1284" s="80"/>
      <c r="Q1284" s="80"/>
    </row>
    <row r="1285" spans="4:17" customFormat="1">
      <c r="D1285" s="1"/>
      <c r="E1285" s="1"/>
      <c r="F1285" s="120"/>
      <c r="G1285" s="1"/>
      <c r="H1285" s="1"/>
      <c r="I1285" s="1"/>
      <c r="J1285" s="80"/>
      <c r="K1285" s="80"/>
      <c r="L1285" s="80"/>
      <c r="M1285" s="80"/>
      <c r="N1285" s="80"/>
      <c r="O1285" s="80"/>
      <c r="P1285" s="80"/>
      <c r="Q1285" s="80"/>
    </row>
    <row r="1286" spans="4:17" customFormat="1">
      <c r="D1286" s="1"/>
      <c r="E1286" s="1"/>
      <c r="F1286" s="120"/>
      <c r="G1286" s="1"/>
      <c r="H1286" s="1"/>
      <c r="I1286" s="1"/>
      <c r="J1286" s="80"/>
      <c r="K1286" s="80"/>
      <c r="L1286" s="80"/>
      <c r="M1286" s="80"/>
      <c r="N1286" s="80"/>
      <c r="O1286" s="80"/>
      <c r="P1286" s="80"/>
      <c r="Q1286" s="80"/>
    </row>
    <row r="1287" spans="4:17" customFormat="1">
      <c r="D1287" s="1"/>
      <c r="E1287" s="1"/>
      <c r="F1287" s="120"/>
      <c r="G1287" s="1"/>
      <c r="H1287" s="1"/>
      <c r="I1287" s="1"/>
      <c r="J1287" s="80"/>
      <c r="K1287" s="80"/>
      <c r="L1287" s="80"/>
      <c r="M1287" s="80"/>
      <c r="N1287" s="80"/>
      <c r="O1287" s="80"/>
      <c r="P1287" s="80"/>
      <c r="Q1287" s="80"/>
    </row>
    <row r="1288" spans="4:17" customFormat="1">
      <c r="D1288" s="1"/>
      <c r="E1288" s="1"/>
      <c r="F1288" s="120"/>
      <c r="G1288" s="1"/>
      <c r="H1288" s="1"/>
      <c r="I1288" s="1"/>
      <c r="J1288" s="80"/>
      <c r="K1288" s="80"/>
      <c r="L1288" s="80"/>
      <c r="M1288" s="80"/>
      <c r="N1288" s="80"/>
      <c r="O1288" s="80"/>
      <c r="P1288" s="80"/>
      <c r="Q1288" s="80"/>
    </row>
    <row r="1289" spans="4:17" customFormat="1">
      <c r="D1289" s="1"/>
      <c r="E1289" s="1"/>
      <c r="F1289" s="120"/>
      <c r="G1289" s="1"/>
      <c r="H1289" s="1"/>
      <c r="I1289" s="1"/>
      <c r="J1289" s="80"/>
      <c r="K1289" s="80"/>
      <c r="L1289" s="80"/>
      <c r="M1289" s="80"/>
      <c r="N1289" s="80"/>
      <c r="O1289" s="80"/>
      <c r="P1289" s="80"/>
      <c r="Q1289" s="80"/>
    </row>
    <row r="1290" spans="4:17" customFormat="1">
      <c r="D1290" s="1"/>
      <c r="E1290" s="1"/>
      <c r="F1290" s="120"/>
      <c r="G1290" s="1"/>
      <c r="H1290" s="1"/>
      <c r="I1290" s="1"/>
      <c r="J1290" s="80"/>
      <c r="K1290" s="80"/>
      <c r="L1290" s="80"/>
      <c r="M1290" s="80"/>
      <c r="N1290" s="80"/>
      <c r="O1290" s="80"/>
      <c r="P1290" s="80"/>
      <c r="Q1290" s="80"/>
    </row>
    <row r="1291" spans="4:17" customFormat="1">
      <c r="D1291" s="1"/>
      <c r="E1291" s="1"/>
      <c r="F1291" s="120"/>
      <c r="G1291" s="1"/>
      <c r="H1291" s="1"/>
      <c r="I1291" s="1"/>
      <c r="J1291" s="80"/>
      <c r="K1291" s="80"/>
      <c r="L1291" s="80"/>
      <c r="M1291" s="80"/>
      <c r="N1291" s="80"/>
      <c r="O1291" s="80"/>
      <c r="P1291" s="80"/>
      <c r="Q1291" s="80"/>
    </row>
    <row r="1292" spans="4:17" customFormat="1">
      <c r="D1292" s="1"/>
      <c r="E1292" s="1"/>
      <c r="F1292" s="120"/>
      <c r="G1292" s="1"/>
      <c r="H1292" s="1"/>
      <c r="I1292" s="1"/>
      <c r="J1292" s="80"/>
      <c r="K1292" s="80"/>
      <c r="L1292" s="80"/>
      <c r="M1292" s="80"/>
      <c r="N1292" s="80"/>
      <c r="O1292" s="80"/>
      <c r="P1292" s="80"/>
      <c r="Q1292" s="80"/>
    </row>
    <row r="1293" spans="4:17" customFormat="1">
      <c r="D1293" s="1"/>
      <c r="E1293" s="1"/>
      <c r="F1293" s="120"/>
      <c r="G1293" s="1"/>
      <c r="H1293" s="1"/>
      <c r="I1293" s="1"/>
      <c r="J1293" s="80"/>
      <c r="K1293" s="80"/>
      <c r="L1293" s="80"/>
      <c r="M1293" s="80"/>
      <c r="N1293" s="80"/>
      <c r="O1293" s="80"/>
      <c r="P1293" s="80"/>
      <c r="Q1293" s="80"/>
    </row>
    <row r="1294" spans="4:17" customFormat="1">
      <c r="D1294" s="1"/>
      <c r="E1294" s="1"/>
      <c r="F1294" s="120"/>
      <c r="G1294" s="1"/>
      <c r="H1294" s="1"/>
      <c r="I1294" s="1"/>
      <c r="J1294" s="80"/>
      <c r="K1294" s="80"/>
      <c r="L1294" s="80"/>
      <c r="M1294" s="80"/>
      <c r="N1294" s="80"/>
      <c r="O1294" s="80"/>
      <c r="P1294" s="80"/>
      <c r="Q1294" s="80"/>
    </row>
    <row r="1295" spans="4:17" customFormat="1">
      <c r="D1295" s="1"/>
      <c r="E1295" s="1"/>
      <c r="F1295" s="120"/>
      <c r="G1295" s="1"/>
      <c r="H1295" s="1"/>
      <c r="I1295" s="1"/>
      <c r="J1295" s="80"/>
      <c r="K1295" s="80"/>
      <c r="L1295" s="80"/>
      <c r="M1295" s="80"/>
      <c r="N1295" s="80"/>
      <c r="O1295" s="80"/>
      <c r="P1295" s="80"/>
      <c r="Q1295" s="80"/>
    </row>
    <row r="1296" spans="4:17" customFormat="1">
      <c r="D1296" s="1"/>
      <c r="E1296" s="1"/>
      <c r="F1296" s="120"/>
      <c r="G1296" s="1"/>
      <c r="H1296" s="1"/>
      <c r="I1296" s="1"/>
      <c r="J1296" s="80"/>
      <c r="K1296" s="80"/>
      <c r="L1296" s="80"/>
      <c r="M1296" s="80"/>
      <c r="N1296" s="80"/>
      <c r="O1296" s="80"/>
      <c r="P1296" s="80"/>
      <c r="Q1296" s="80"/>
    </row>
    <row r="1297" spans="4:17" customFormat="1">
      <c r="D1297" s="1"/>
      <c r="E1297" s="1"/>
      <c r="F1297" s="120"/>
      <c r="G1297" s="1"/>
      <c r="H1297" s="1"/>
      <c r="I1297" s="1"/>
      <c r="J1297" s="80"/>
      <c r="K1297" s="80"/>
      <c r="L1297" s="80"/>
      <c r="M1297" s="80"/>
      <c r="N1297" s="80"/>
      <c r="O1297" s="80"/>
      <c r="P1297" s="80"/>
      <c r="Q1297" s="80"/>
    </row>
    <row r="1298" spans="4:17" customFormat="1">
      <c r="D1298" s="1"/>
      <c r="E1298" s="1"/>
      <c r="F1298" s="120"/>
      <c r="G1298" s="1"/>
      <c r="H1298" s="1"/>
      <c r="I1298" s="1"/>
      <c r="J1298" s="80"/>
      <c r="K1298" s="80"/>
      <c r="L1298" s="80"/>
      <c r="M1298" s="80"/>
      <c r="N1298" s="80"/>
      <c r="O1298" s="80"/>
      <c r="P1298" s="80"/>
      <c r="Q1298" s="80"/>
    </row>
    <row r="1299" spans="4:17" customFormat="1">
      <c r="D1299" s="1"/>
      <c r="E1299" s="1"/>
      <c r="F1299" s="120"/>
      <c r="G1299" s="1"/>
      <c r="H1299" s="1"/>
      <c r="I1299" s="1"/>
      <c r="J1299" s="80"/>
      <c r="K1299" s="80"/>
      <c r="L1299" s="80"/>
      <c r="M1299" s="80"/>
      <c r="N1299" s="80"/>
      <c r="O1299" s="80"/>
      <c r="P1299" s="80"/>
      <c r="Q1299" s="80"/>
    </row>
    <row r="1300" spans="4:17" customFormat="1">
      <c r="D1300" s="1"/>
      <c r="E1300" s="1"/>
      <c r="F1300" s="120"/>
      <c r="G1300" s="1"/>
      <c r="H1300" s="1"/>
      <c r="I1300" s="1"/>
      <c r="J1300" s="80"/>
      <c r="K1300" s="80"/>
      <c r="L1300" s="80"/>
      <c r="M1300" s="80"/>
      <c r="N1300" s="80"/>
      <c r="O1300" s="80"/>
      <c r="P1300" s="80"/>
      <c r="Q1300" s="80"/>
    </row>
    <row r="1301" spans="4:17" customFormat="1">
      <c r="D1301" s="1"/>
      <c r="E1301" s="1"/>
      <c r="F1301" s="120"/>
      <c r="G1301" s="1"/>
      <c r="H1301" s="1"/>
      <c r="I1301" s="1"/>
      <c r="J1301" s="80"/>
      <c r="K1301" s="80"/>
      <c r="L1301" s="80"/>
      <c r="M1301" s="80"/>
      <c r="N1301" s="80"/>
      <c r="O1301" s="80"/>
      <c r="P1301" s="80"/>
      <c r="Q1301" s="8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D102" zoomScale="130" zoomScaleNormal="130" workbookViewId="0">
      <selection activeCell="G102" sqref="G102"/>
    </sheetView>
  </sheetViews>
  <sheetFormatPr defaultRowHeight="14.25"/>
  <cols>
    <col min="1" max="1" width="18.125" customWidth="1"/>
    <col min="2" max="2" width="6.125" customWidth="1"/>
    <col min="4" max="4" width="11.5" customWidth="1"/>
    <col min="5" max="5" width="13" customWidth="1"/>
    <col min="6" max="6" width="52.75" style="122" customWidth="1"/>
    <col min="7" max="7" width="13.125" customWidth="1"/>
    <col min="8" max="8" width="18.125" customWidth="1"/>
  </cols>
  <sheetData>
    <row r="1" spans="1:9">
      <c r="A1" s="132" t="s">
        <v>223</v>
      </c>
      <c r="B1" s="132" t="s">
        <v>224</v>
      </c>
      <c r="C1" s="132" t="s">
        <v>225</v>
      </c>
      <c r="D1" s="132" t="s">
        <v>226</v>
      </c>
      <c r="E1" s="132" t="s">
        <v>227</v>
      </c>
      <c r="F1" s="130" t="s">
        <v>228</v>
      </c>
      <c r="G1" s="132" t="s">
        <v>229</v>
      </c>
      <c r="H1" s="132" t="s">
        <v>230</v>
      </c>
      <c r="I1" s="132" t="s">
        <v>231</v>
      </c>
    </row>
    <row r="2" spans="1:9" ht="28.5">
      <c r="A2" s="132" t="s">
        <v>239</v>
      </c>
      <c r="B2" s="132" t="s">
        <v>240</v>
      </c>
      <c r="C2" s="132" t="s">
        <v>3090</v>
      </c>
      <c r="D2" s="133">
        <v>46082</v>
      </c>
      <c r="E2" s="133">
        <v>46082</v>
      </c>
      <c r="F2" s="134" t="s">
        <v>3432</v>
      </c>
      <c r="G2" s="132" t="s">
        <v>1557</v>
      </c>
      <c r="H2" s="132"/>
      <c r="I2" s="132" t="s">
        <v>3092</v>
      </c>
    </row>
    <row r="3" spans="1:9" ht="28.5">
      <c r="A3" s="132" t="s">
        <v>239</v>
      </c>
      <c r="B3" s="132" t="s">
        <v>240</v>
      </c>
      <c r="C3" s="132" t="s">
        <v>3093</v>
      </c>
      <c r="D3" s="133">
        <v>46082</v>
      </c>
      <c r="E3" s="133">
        <v>46082</v>
      </c>
      <c r="F3" s="134" t="s">
        <v>3433</v>
      </c>
      <c r="G3" s="132" t="s">
        <v>1557</v>
      </c>
      <c r="H3" s="132"/>
      <c r="I3" s="132" t="s">
        <v>3095</v>
      </c>
    </row>
    <row r="4" spans="1:9" ht="42.75">
      <c r="A4" s="132" t="s">
        <v>239</v>
      </c>
      <c r="B4" s="132" t="s">
        <v>240</v>
      </c>
      <c r="C4" s="132" t="s">
        <v>3096</v>
      </c>
      <c r="D4" s="133">
        <v>46082</v>
      </c>
      <c r="E4" s="133">
        <v>46082</v>
      </c>
      <c r="F4" s="130" t="s">
        <v>3097</v>
      </c>
      <c r="G4" s="132"/>
      <c r="H4" s="132" t="s">
        <v>243</v>
      </c>
      <c r="I4" s="132" t="s">
        <v>3098</v>
      </c>
    </row>
    <row r="5" spans="1:9" ht="42.75">
      <c r="A5" s="132" t="s">
        <v>239</v>
      </c>
      <c r="B5" s="132" t="s">
        <v>240</v>
      </c>
      <c r="C5" s="132" t="s">
        <v>3096</v>
      </c>
      <c r="D5" s="133">
        <v>46082</v>
      </c>
      <c r="E5" s="133">
        <v>46082</v>
      </c>
      <c r="F5" s="130" t="s">
        <v>3099</v>
      </c>
      <c r="G5" s="132"/>
      <c r="H5" s="132" t="s">
        <v>3100</v>
      </c>
      <c r="I5" s="132" t="s">
        <v>3101</v>
      </c>
    </row>
    <row r="6" spans="1:9" ht="42.75">
      <c r="A6" s="132" t="s">
        <v>239</v>
      </c>
      <c r="B6" s="132" t="s">
        <v>240</v>
      </c>
      <c r="C6" s="132" t="s">
        <v>3102</v>
      </c>
      <c r="D6" s="133">
        <v>46082</v>
      </c>
      <c r="E6" s="133">
        <v>46082</v>
      </c>
      <c r="F6" s="130" t="s">
        <v>3103</v>
      </c>
      <c r="G6" s="132"/>
      <c r="H6" s="132" t="s">
        <v>261</v>
      </c>
      <c r="I6" s="132" t="s">
        <v>3104</v>
      </c>
    </row>
    <row r="7" spans="1:9" ht="42.75">
      <c r="A7" s="132" t="s">
        <v>239</v>
      </c>
      <c r="B7" s="132" t="s">
        <v>240</v>
      </c>
      <c r="C7" s="132" t="s">
        <v>3102</v>
      </c>
      <c r="D7" s="133">
        <v>46082</v>
      </c>
      <c r="E7" s="133">
        <v>46082</v>
      </c>
      <c r="F7" s="130" t="s">
        <v>3105</v>
      </c>
      <c r="G7" s="132"/>
      <c r="H7" s="132" t="s">
        <v>301</v>
      </c>
      <c r="I7" s="132" t="s">
        <v>3106</v>
      </c>
    </row>
    <row r="8" spans="1:9" ht="42.75">
      <c r="A8" s="132" t="s">
        <v>239</v>
      </c>
      <c r="B8" s="132" t="s">
        <v>240</v>
      </c>
      <c r="C8" s="132" t="s">
        <v>3107</v>
      </c>
      <c r="D8" s="133">
        <v>46083</v>
      </c>
      <c r="E8" s="133">
        <v>46083</v>
      </c>
      <c r="F8" s="130" t="s">
        <v>2802</v>
      </c>
      <c r="G8" s="132"/>
      <c r="H8" s="132" t="s">
        <v>277</v>
      </c>
      <c r="I8" s="132" t="s">
        <v>3108</v>
      </c>
    </row>
    <row r="9" spans="1:9" ht="28.5">
      <c r="A9" s="132" t="s">
        <v>239</v>
      </c>
      <c r="B9" s="132" t="s">
        <v>240</v>
      </c>
      <c r="C9" s="132" t="s">
        <v>3109</v>
      </c>
      <c r="D9" s="133">
        <v>46083</v>
      </c>
      <c r="E9" s="133">
        <v>46083</v>
      </c>
      <c r="F9" s="134" t="s">
        <v>3434</v>
      </c>
      <c r="G9" s="132" t="s">
        <v>1557</v>
      </c>
      <c r="H9" s="132"/>
      <c r="I9" s="132" t="s">
        <v>3111</v>
      </c>
    </row>
    <row r="10" spans="1:9" ht="28.5">
      <c r="A10" s="132" t="s">
        <v>239</v>
      </c>
      <c r="B10" s="132" t="s">
        <v>240</v>
      </c>
      <c r="C10" s="132" t="s">
        <v>3112</v>
      </c>
      <c r="D10" s="133">
        <v>46083</v>
      </c>
      <c r="E10" s="133">
        <v>46083</v>
      </c>
      <c r="F10" s="130" t="s">
        <v>3113</v>
      </c>
      <c r="G10" s="132"/>
      <c r="H10" s="132" t="s">
        <v>243</v>
      </c>
      <c r="I10" s="132" t="s">
        <v>3114</v>
      </c>
    </row>
    <row r="11" spans="1:9" ht="28.5">
      <c r="A11" s="132" t="s">
        <v>239</v>
      </c>
      <c r="B11" s="132" t="s">
        <v>240</v>
      </c>
      <c r="C11" s="132" t="s">
        <v>3112</v>
      </c>
      <c r="D11" s="133">
        <v>46083</v>
      </c>
      <c r="E11" s="133">
        <v>46083</v>
      </c>
      <c r="F11" s="130" t="s">
        <v>3115</v>
      </c>
      <c r="G11" s="132"/>
      <c r="H11" s="132" t="s">
        <v>3116</v>
      </c>
      <c r="I11" s="132" t="s">
        <v>3117</v>
      </c>
    </row>
    <row r="12" spans="1:9" ht="28.5">
      <c r="A12" s="132" t="s">
        <v>239</v>
      </c>
      <c r="B12" s="132" t="s">
        <v>240</v>
      </c>
      <c r="C12" s="132" t="s">
        <v>3118</v>
      </c>
      <c r="D12" s="133">
        <v>46083</v>
      </c>
      <c r="E12" s="133">
        <v>46083</v>
      </c>
      <c r="F12" s="130" t="s">
        <v>3119</v>
      </c>
      <c r="G12" s="132"/>
      <c r="H12" s="132" t="s">
        <v>261</v>
      </c>
      <c r="I12" s="132" t="s">
        <v>3120</v>
      </c>
    </row>
    <row r="13" spans="1:9" ht="42.75">
      <c r="A13" s="132" t="s">
        <v>239</v>
      </c>
      <c r="B13" s="132" t="s">
        <v>240</v>
      </c>
      <c r="C13" s="132" t="s">
        <v>3118</v>
      </c>
      <c r="D13" s="133">
        <v>46083</v>
      </c>
      <c r="E13" s="133">
        <v>46083</v>
      </c>
      <c r="F13" s="130" t="s">
        <v>3121</v>
      </c>
      <c r="G13" s="132"/>
      <c r="H13" s="132" t="s">
        <v>374</v>
      </c>
      <c r="I13" s="132" t="s">
        <v>3122</v>
      </c>
    </row>
    <row r="14" spans="1:9" ht="42.75">
      <c r="A14" s="132" t="s">
        <v>239</v>
      </c>
      <c r="B14" s="132" t="s">
        <v>240</v>
      </c>
      <c r="C14" s="132" t="s">
        <v>3123</v>
      </c>
      <c r="D14" s="133">
        <v>46083</v>
      </c>
      <c r="E14" s="133">
        <v>46083</v>
      </c>
      <c r="F14" s="130" t="s">
        <v>3124</v>
      </c>
      <c r="G14" s="132"/>
      <c r="H14" s="132" t="s">
        <v>243</v>
      </c>
      <c r="I14" s="132" t="s">
        <v>3125</v>
      </c>
    </row>
    <row r="15" spans="1:9" ht="42.75">
      <c r="A15" s="132" t="s">
        <v>239</v>
      </c>
      <c r="B15" s="132" t="s">
        <v>240</v>
      </c>
      <c r="C15" s="132" t="s">
        <v>3123</v>
      </c>
      <c r="D15" s="133">
        <v>46083</v>
      </c>
      <c r="E15" s="133">
        <v>46083</v>
      </c>
      <c r="F15" s="130" t="s">
        <v>3126</v>
      </c>
      <c r="G15" s="132"/>
      <c r="H15" s="132" t="s">
        <v>833</v>
      </c>
      <c r="I15" s="132" t="s">
        <v>3127</v>
      </c>
    </row>
    <row r="16" spans="1:9" ht="42.75">
      <c r="A16" s="132" t="s">
        <v>239</v>
      </c>
      <c r="B16" s="132" t="s">
        <v>240</v>
      </c>
      <c r="C16" s="132" t="s">
        <v>3128</v>
      </c>
      <c r="D16" s="133">
        <v>46083</v>
      </c>
      <c r="E16" s="133">
        <v>46083</v>
      </c>
      <c r="F16" s="130" t="s">
        <v>3129</v>
      </c>
      <c r="G16" s="132"/>
      <c r="H16" s="132" t="s">
        <v>533</v>
      </c>
      <c r="I16" s="132" t="s">
        <v>3130</v>
      </c>
    </row>
    <row r="17" spans="1:9" ht="28.5">
      <c r="A17" s="132" t="s">
        <v>239</v>
      </c>
      <c r="B17" s="132" t="s">
        <v>240</v>
      </c>
      <c r="C17" s="132" t="s">
        <v>3131</v>
      </c>
      <c r="D17" s="133">
        <v>46083</v>
      </c>
      <c r="E17" s="133">
        <v>46083</v>
      </c>
      <c r="F17" s="134" t="s">
        <v>3435</v>
      </c>
      <c r="G17" s="132" t="s">
        <v>1557</v>
      </c>
      <c r="H17" s="132"/>
      <c r="I17" s="132" t="s">
        <v>3132</v>
      </c>
    </row>
    <row r="18" spans="1:9" ht="42.75">
      <c r="A18" s="132" t="s">
        <v>239</v>
      </c>
      <c r="B18" s="132" t="s">
        <v>240</v>
      </c>
      <c r="C18" s="132" t="s">
        <v>3133</v>
      </c>
      <c r="D18" s="133">
        <v>46084</v>
      </c>
      <c r="E18" s="133">
        <v>46084</v>
      </c>
      <c r="F18" s="130" t="s">
        <v>3134</v>
      </c>
      <c r="G18" s="132"/>
      <c r="H18" s="132" t="s">
        <v>243</v>
      </c>
      <c r="I18" s="132" t="s">
        <v>3135</v>
      </c>
    </row>
    <row r="19" spans="1:9" ht="42.75">
      <c r="A19" s="132" t="s">
        <v>239</v>
      </c>
      <c r="B19" s="132" t="s">
        <v>240</v>
      </c>
      <c r="C19" s="132" t="s">
        <v>3133</v>
      </c>
      <c r="D19" s="133">
        <v>46084</v>
      </c>
      <c r="E19" s="133">
        <v>46084</v>
      </c>
      <c r="F19" s="130" t="s">
        <v>3136</v>
      </c>
      <c r="G19" s="132"/>
      <c r="H19" s="132" t="s">
        <v>588</v>
      </c>
      <c r="I19" s="132" t="s">
        <v>3137</v>
      </c>
    </row>
    <row r="20" spans="1:9" ht="42.75">
      <c r="A20" s="132" t="s">
        <v>239</v>
      </c>
      <c r="B20" s="132" t="s">
        <v>240</v>
      </c>
      <c r="C20" s="132" t="s">
        <v>3138</v>
      </c>
      <c r="D20" s="133">
        <v>46084</v>
      </c>
      <c r="E20" s="133">
        <v>46084</v>
      </c>
      <c r="F20" s="130" t="s">
        <v>3139</v>
      </c>
      <c r="G20" s="132"/>
      <c r="H20" s="132" t="s">
        <v>254</v>
      </c>
      <c r="I20" s="132" t="s">
        <v>3140</v>
      </c>
    </row>
    <row r="21" spans="1:9" ht="42.75">
      <c r="A21" s="132" t="s">
        <v>239</v>
      </c>
      <c r="B21" s="132" t="s">
        <v>240</v>
      </c>
      <c r="C21" s="132" t="s">
        <v>3138</v>
      </c>
      <c r="D21" s="133">
        <v>46084</v>
      </c>
      <c r="E21" s="133">
        <v>46084</v>
      </c>
      <c r="F21" s="130" t="s">
        <v>3141</v>
      </c>
      <c r="G21" s="132"/>
      <c r="H21" s="132" t="s">
        <v>295</v>
      </c>
      <c r="I21" s="132" t="s">
        <v>3142</v>
      </c>
    </row>
    <row r="22" spans="1:9" ht="42.75">
      <c r="A22" s="132" t="s">
        <v>239</v>
      </c>
      <c r="B22" s="132" t="s">
        <v>240</v>
      </c>
      <c r="C22" s="132" t="s">
        <v>3143</v>
      </c>
      <c r="D22" s="133">
        <v>46085</v>
      </c>
      <c r="E22" s="133">
        <v>46085</v>
      </c>
      <c r="F22" s="130" t="s">
        <v>3277</v>
      </c>
      <c r="G22" s="132" t="s">
        <v>3145</v>
      </c>
      <c r="H22" s="132"/>
      <c r="I22" s="132" t="s">
        <v>3146</v>
      </c>
    </row>
    <row r="23" spans="1:9" ht="28.5">
      <c r="A23" s="132" t="s">
        <v>239</v>
      </c>
      <c r="B23" s="132" t="s">
        <v>240</v>
      </c>
      <c r="C23" s="132" t="s">
        <v>3147</v>
      </c>
      <c r="D23" s="133">
        <v>46085</v>
      </c>
      <c r="E23" s="133">
        <v>46085</v>
      </c>
      <c r="F23" s="134" t="s">
        <v>3436</v>
      </c>
      <c r="G23" s="132" t="s">
        <v>671</v>
      </c>
      <c r="H23" s="132"/>
      <c r="I23" s="132" t="s">
        <v>3149</v>
      </c>
    </row>
    <row r="24" spans="1:9" ht="28.5">
      <c r="A24" s="132" t="s">
        <v>239</v>
      </c>
      <c r="B24" s="132" t="s">
        <v>240</v>
      </c>
      <c r="C24" s="132" t="s">
        <v>3150</v>
      </c>
      <c r="D24" s="133">
        <v>46087</v>
      </c>
      <c r="E24" s="133">
        <v>46087</v>
      </c>
      <c r="F24" s="134" t="s">
        <v>3437</v>
      </c>
      <c r="G24" s="132" t="s">
        <v>1476</v>
      </c>
      <c r="H24" s="132"/>
      <c r="I24" s="132" t="s">
        <v>3152</v>
      </c>
    </row>
    <row r="25" spans="1:9" ht="28.5">
      <c r="A25" s="132" t="s">
        <v>239</v>
      </c>
      <c r="B25" s="132" t="s">
        <v>240</v>
      </c>
      <c r="C25" s="132" t="s">
        <v>3153</v>
      </c>
      <c r="D25" s="133">
        <v>46087</v>
      </c>
      <c r="E25" s="133">
        <v>46087</v>
      </c>
      <c r="F25" s="130" t="s">
        <v>3278</v>
      </c>
      <c r="G25" s="132" t="s">
        <v>3155</v>
      </c>
      <c r="H25" s="132"/>
      <c r="I25" s="132" t="s">
        <v>3156</v>
      </c>
    </row>
    <row r="26" spans="1:9" ht="28.5">
      <c r="A26" s="132" t="s">
        <v>239</v>
      </c>
      <c r="B26" s="132" t="s">
        <v>240</v>
      </c>
      <c r="C26" s="132" t="s">
        <v>3157</v>
      </c>
      <c r="D26" s="133">
        <v>46087</v>
      </c>
      <c r="E26" s="133">
        <v>46087</v>
      </c>
      <c r="F26" s="135" t="s">
        <v>3158</v>
      </c>
      <c r="G26" s="136" t="s">
        <v>833</v>
      </c>
      <c r="H26" s="132"/>
      <c r="I26" s="132" t="s">
        <v>3159</v>
      </c>
    </row>
    <row r="27" spans="1:9" ht="28.5">
      <c r="A27" s="132" t="s">
        <v>239</v>
      </c>
      <c r="B27" s="132" t="s">
        <v>240</v>
      </c>
      <c r="C27" s="132" t="s">
        <v>3160</v>
      </c>
      <c r="D27" s="133">
        <v>46087</v>
      </c>
      <c r="E27" s="133">
        <v>46087</v>
      </c>
      <c r="F27" s="188" t="s">
        <v>4798</v>
      </c>
      <c r="G27" s="132" t="s">
        <v>3162</v>
      </c>
      <c r="H27" s="132"/>
      <c r="I27" s="132" t="s">
        <v>3163</v>
      </c>
    </row>
    <row r="28" spans="1:9" ht="42.75">
      <c r="A28" s="132" t="s">
        <v>239</v>
      </c>
      <c r="B28" s="132" t="s">
        <v>240</v>
      </c>
      <c r="C28" s="132" t="s">
        <v>3164</v>
      </c>
      <c r="D28" s="133">
        <v>46087</v>
      </c>
      <c r="E28" s="133">
        <v>46087</v>
      </c>
      <c r="F28" s="130" t="s">
        <v>3279</v>
      </c>
      <c r="G28" s="132" t="s">
        <v>1557</v>
      </c>
      <c r="H28" s="132"/>
      <c r="I28" s="132" t="s">
        <v>3166</v>
      </c>
    </row>
    <row r="29" spans="1:9" ht="42.75">
      <c r="A29" s="132" t="s">
        <v>239</v>
      </c>
      <c r="B29" s="132" t="s">
        <v>240</v>
      </c>
      <c r="C29" s="132" t="s">
        <v>3167</v>
      </c>
      <c r="D29" s="133">
        <v>46088</v>
      </c>
      <c r="E29" s="133">
        <v>46088</v>
      </c>
      <c r="F29" s="130" t="s">
        <v>3168</v>
      </c>
      <c r="G29" s="132"/>
      <c r="H29" s="132" t="s">
        <v>254</v>
      </c>
      <c r="I29" s="132" t="s">
        <v>3169</v>
      </c>
    </row>
    <row r="30" spans="1:9" ht="42.75">
      <c r="A30" s="132" t="s">
        <v>239</v>
      </c>
      <c r="B30" s="132" t="s">
        <v>240</v>
      </c>
      <c r="C30" s="132" t="s">
        <v>3167</v>
      </c>
      <c r="D30" s="133">
        <v>46088</v>
      </c>
      <c r="E30" s="133">
        <v>46088</v>
      </c>
      <c r="F30" s="130" t="s">
        <v>3170</v>
      </c>
      <c r="G30" s="132"/>
      <c r="H30" s="132" t="s">
        <v>307</v>
      </c>
      <c r="I30" s="132" t="s">
        <v>3171</v>
      </c>
    </row>
    <row r="31" spans="1:9" ht="42.75">
      <c r="A31" s="132" t="s">
        <v>239</v>
      </c>
      <c r="B31" s="132" t="s">
        <v>240</v>
      </c>
      <c r="C31" s="132" t="s">
        <v>3172</v>
      </c>
      <c r="D31" s="133">
        <v>46088</v>
      </c>
      <c r="E31" s="133">
        <v>46088</v>
      </c>
      <c r="F31" s="130" t="s">
        <v>3173</v>
      </c>
      <c r="G31" s="132"/>
      <c r="H31" s="132" t="s">
        <v>261</v>
      </c>
      <c r="I31" s="132" t="s">
        <v>3174</v>
      </c>
    </row>
    <row r="32" spans="1:9" ht="42.75">
      <c r="A32" s="132" t="s">
        <v>239</v>
      </c>
      <c r="B32" s="132" t="s">
        <v>240</v>
      </c>
      <c r="C32" s="132" t="s">
        <v>3172</v>
      </c>
      <c r="D32" s="133">
        <v>46088</v>
      </c>
      <c r="E32" s="133">
        <v>46088</v>
      </c>
      <c r="F32" s="130" t="s">
        <v>3175</v>
      </c>
      <c r="G32" s="132"/>
      <c r="H32" s="132" t="s">
        <v>307</v>
      </c>
      <c r="I32" s="132" t="s">
        <v>3176</v>
      </c>
    </row>
    <row r="33" spans="1:9" ht="28.5">
      <c r="A33" s="132" t="s">
        <v>239</v>
      </c>
      <c r="B33" s="132" t="s">
        <v>240</v>
      </c>
      <c r="C33" s="132" t="s">
        <v>3177</v>
      </c>
      <c r="D33" s="133">
        <v>46088</v>
      </c>
      <c r="E33" s="133">
        <v>46088</v>
      </c>
      <c r="F33" s="183" t="s">
        <v>4776</v>
      </c>
      <c r="G33" s="132" t="s">
        <v>1004</v>
      </c>
      <c r="H33" s="132"/>
      <c r="I33" s="132" t="s">
        <v>3179</v>
      </c>
    </row>
    <row r="34" spans="1:9" ht="28.5">
      <c r="A34" s="132" t="s">
        <v>239</v>
      </c>
      <c r="B34" s="132" t="s">
        <v>240</v>
      </c>
      <c r="C34" s="132" t="s">
        <v>3180</v>
      </c>
      <c r="D34" s="133">
        <v>46090</v>
      </c>
      <c r="E34" s="133">
        <v>46090</v>
      </c>
      <c r="F34" s="183" t="s">
        <v>4777</v>
      </c>
      <c r="G34" s="132" t="s">
        <v>1557</v>
      </c>
      <c r="H34" s="132"/>
      <c r="I34" s="132" t="s">
        <v>3182</v>
      </c>
    </row>
    <row r="35" spans="1:9" ht="28.5">
      <c r="A35" s="132" t="s">
        <v>239</v>
      </c>
      <c r="B35" s="132" t="s">
        <v>240</v>
      </c>
      <c r="C35" s="132" t="s">
        <v>3183</v>
      </c>
      <c r="D35" s="133">
        <v>46090</v>
      </c>
      <c r="E35" s="133">
        <v>46090</v>
      </c>
      <c r="F35" s="130" t="s">
        <v>3184</v>
      </c>
      <c r="G35" s="132"/>
      <c r="H35" s="132" t="s">
        <v>254</v>
      </c>
      <c r="I35" s="132" t="s">
        <v>3185</v>
      </c>
    </row>
    <row r="36" spans="1:9" ht="42.75">
      <c r="A36" s="132" t="s">
        <v>239</v>
      </c>
      <c r="B36" s="132" t="s">
        <v>240</v>
      </c>
      <c r="C36" s="132" t="s">
        <v>3183</v>
      </c>
      <c r="D36" s="133">
        <v>46090</v>
      </c>
      <c r="E36" s="133">
        <v>46090</v>
      </c>
      <c r="F36" s="130" t="s">
        <v>3186</v>
      </c>
      <c r="G36" s="132"/>
      <c r="H36" s="132" t="s">
        <v>295</v>
      </c>
      <c r="I36" s="132" t="s">
        <v>3187</v>
      </c>
    </row>
    <row r="37" spans="1:9" ht="28.5">
      <c r="A37" s="132" t="s">
        <v>540</v>
      </c>
      <c r="B37" s="132" t="s">
        <v>240</v>
      </c>
      <c r="C37" s="132" t="s">
        <v>3188</v>
      </c>
      <c r="D37" s="133">
        <v>46090</v>
      </c>
      <c r="E37" s="133">
        <v>46090</v>
      </c>
      <c r="F37" s="183" t="s">
        <v>1611</v>
      </c>
      <c r="G37" s="132" t="s">
        <v>1557</v>
      </c>
      <c r="H37" s="132"/>
      <c r="I37" s="132" t="s">
        <v>3189</v>
      </c>
    </row>
    <row r="38" spans="1:9" ht="28.5">
      <c r="A38" s="132" t="s">
        <v>239</v>
      </c>
      <c r="B38" s="132" t="s">
        <v>240</v>
      </c>
      <c r="C38" s="132" t="s">
        <v>3190</v>
      </c>
      <c r="D38" s="133">
        <v>46091</v>
      </c>
      <c r="E38" s="133">
        <v>46091</v>
      </c>
      <c r="F38" s="183" t="s">
        <v>4778</v>
      </c>
      <c r="G38" s="132" t="s">
        <v>650</v>
      </c>
      <c r="H38" s="132"/>
      <c r="I38" s="132" t="s">
        <v>3192</v>
      </c>
    </row>
    <row r="39" spans="1:9" ht="28.5">
      <c r="A39" s="132" t="s">
        <v>1539</v>
      </c>
      <c r="B39" s="132" t="s">
        <v>240</v>
      </c>
      <c r="C39" s="132" t="s">
        <v>3193</v>
      </c>
      <c r="D39" s="133">
        <v>46092</v>
      </c>
      <c r="E39" s="133">
        <v>46092</v>
      </c>
      <c r="F39" s="130" t="s">
        <v>3281</v>
      </c>
      <c r="G39" s="132" t="s">
        <v>1545</v>
      </c>
      <c r="H39" s="132"/>
      <c r="I39" s="132" t="s">
        <v>3195</v>
      </c>
    </row>
    <row r="40" spans="1:9" ht="42.75">
      <c r="A40" s="132" t="s">
        <v>239</v>
      </c>
      <c r="B40" s="132" t="s">
        <v>240</v>
      </c>
      <c r="C40" s="132" t="s">
        <v>3196</v>
      </c>
      <c r="D40" s="133">
        <v>46092</v>
      </c>
      <c r="E40" s="133">
        <v>46092</v>
      </c>
      <c r="F40" s="130" t="s">
        <v>3197</v>
      </c>
      <c r="G40" s="132"/>
      <c r="H40" s="132" t="s">
        <v>254</v>
      </c>
      <c r="I40" s="132" t="s">
        <v>3198</v>
      </c>
    </row>
    <row r="41" spans="1:9" ht="42.75">
      <c r="A41" s="132" t="s">
        <v>239</v>
      </c>
      <c r="B41" s="132" t="s">
        <v>240</v>
      </c>
      <c r="C41" s="132" t="s">
        <v>3196</v>
      </c>
      <c r="D41" s="133">
        <v>46092</v>
      </c>
      <c r="E41" s="133">
        <v>46092</v>
      </c>
      <c r="F41" s="130" t="s">
        <v>3199</v>
      </c>
      <c r="G41" s="132"/>
      <c r="H41" s="132" t="s">
        <v>1545</v>
      </c>
      <c r="I41" s="132" t="s">
        <v>3200</v>
      </c>
    </row>
    <row r="42" spans="1:9" ht="28.5">
      <c r="A42" s="132" t="s">
        <v>239</v>
      </c>
      <c r="B42" s="132" t="s">
        <v>240</v>
      </c>
      <c r="C42" s="132" t="s">
        <v>3201</v>
      </c>
      <c r="D42" s="133">
        <v>46092</v>
      </c>
      <c r="E42" s="133">
        <v>46092</v>
      </c>
      <c r="F42" s="130" t="s">
        <v>738</v>
      </c>
      <c r="G42" s="132"/>
      <c r="H42" s="132" t="s">
        <v>254</v>
      </c>
      <c r="I42" s="132" t="s">
        <v>3202</v>
      </c>
    </row>
    <row r="43" spans="1:9" ht="28.5">
      <c r="A43" s="132" t="s">
        <v>239</v>
      </c>
      <c r="B43" s="132" t="s">
        <v>240</v>
      </c>
      <c r="C43" s="132" t="s">
        <v>3201</v>
      </c>
      <c r="D43" s="133">
        <v>46092</v>
      </c>
      <c r="E43" s="133">
        <v>46092</v>
      </c>
      <c r="F43" s="130" t="s">
        <v>740</v>
      </c>
      <c r="G43" s="132"/>
      <c r="H43" s="132" t="s">
        <v>3203</v>
      </c>
      <c r="I43" s="132" t="s">
        <v>3204</v>
      </c>
    </row>
    <row r="44" spans="1:9" ht="28.5">
      <c r="A44" s="132" t="s">
        <v>239</v>
      </c>
      <c r="B44" s="132" t="s">
        <v>240</v>
      </c>
      <c r="C44" s="132" t="s">
        <v>3205</v>
      </c>
      <c r="D44" s="133">
        <v>46092</v>
      </c>
      <c r="E44" s="133">
        <v>46092</v>
      </c>
      <c r="F44" s="130" t="s">
        <v>732</v>
      </c>
      <c r="G44" s="132"/>
      <c r="H44" s="132" t="s">
        <v>254</v>
      </c>
      <c r="I44" s="132" t="s">
        <v>3206</v>
      </c>
    </row>
    <row r="45" spans="1:9" ht="28.5">
      <c r="A45" s="132" t="s">
        <v>239</v>
      </c>
      <c r="B45" s="132" t="s">
        <v>240</v>
      </c>
      <c r="C45" s="132" t="s">
        <v>3205</v>
      </c>
      <c r="D45" s="133">
        <v>46092</v>
      </c>
      <c r="E45" s="133">
        <v>46092</v>
      </c>
      <c r="F45" s="130" t="s">
        <v>734</v>
      </c>
      <c r="G45" s="132"/>
      <c r="H45" s="132" t="s">
        <v>3207</v>
      </c>
      <c r="I45" s="132" t="s">
        <v>3208</v>
      </c>
    </row>
    <row r="46" spans="1:9" ht="28.5">
      <c r="A46" s="132" t="s">
        <v>239</v>
      </c>
      <c r="B46" s="132" t="s">
        <v>240</v>
      </c>
      <c r="C46" s="132" t="s">
        <v>3209</v>
      </c>
      <c r="D46" s="133">
        <v>46094</v>
      </c>
      <c r="E46" s="133">
        <v>46094</v>
      </c>
      <c r="F46" s="130" t="s">
        <v>3282</v>
      </c>
      <c r="G46" s="132" t="s">
        <v>1476</v>
      </c>
      <c r="H46" s="132"/>
      <c r="I46" s="132" t="s">
        <v>3211</v>
      </c>
    </row>
    <row r="47" spans="1:9" ht="42.75">
      <c r="A47" s="132" t="s">
        <v>239</v>
      </c>
      <c r="B47" s="132" t="s">
        <v>240</v>
      </c>
      <c r="C47" s="132" t="s">
        <v>3212</v>
      </c>
      <c r="D47" s="133">
        <v>46095</v>
      </c>
      <c r="E47" s="133">
        <v>46095</v>
      </c>
      <c r="F47" s="183" t="s">
        <v>3213</v>
      </c>
      <c r="G47" s="132" t="s">
        <v>1557</v>
      </c>
      <c r="H47" s="132"/>
      <c r="I47" s="132" t="s">
        <v>3214</v>
      </c>
    </row>
    <row r="48" spans="1:9" ht="42.75">
      <c r="A48" s="132" t="s">
        <v>239</v>
      </c>
      <c r="B48" s="132" t="s">
        <v>240</v>
      </c>
      <c r="C48" s="132" t="s">
        <v>3215</v>
      </c>
      <c r="D48" s="133">
        <v>46096</v>
      </c>
      <c r="E48" s="133">
        <v>46096</v>
      </c>
      <c r="F48" s="130" t="s">
        <v>3216</v>
      </c>
      <c r="G48" s="132"/>
      <c r="H48" s="132" t="s">
        <v>243</v>
      </c>
      <c r="I48" s="132" t="s">
        <v>3217</v>
      </c>
    </row>
    <row r="49" spans="1:9" ht="42.75">
      <c r="A49" s="132" t="s">
        <v>239</v>
      </c>
      <c r="B49" s="132" t="s">
        <v>240</v>
      </c>
      <c r="C49" s="132" t="s">
        <v>3215</v>
      </c>
      <c r="D49" s="133">
        <v>46096</v>
      </c>
      <c r="E49" s="133">
        <v>46096</v>
      </c>
      <c r="F49" s="130" t="s">
        <v>3218</v>
      </c>
      <c r="G49" s="132"/>
      <c r="H49" s="132" t="s">
        <v>580</v>
      </c>
      <c r="I49" s="132" t="s">
        <v>3219</v>
      </c>
    </row>
    <row r="50" spans="1:9" ht="42.75">
      <c r="A50" s="132" t="s">
        <v>239</v>
      </c>
      <c r="B50" s="132" t="s">
        <v>240</v>
      </c>
      <c r="C50" s="132" t="s">
        <v>3220</v>
      </c>
      <c r="D50" s="133">
        <v>46097</v>
      </c>
      <c r="E50" s="133">
        <v>46097</v>
      </c>
      <c r="F50" s="183" t="s">
        <v>3221</v>
      </c>
      <c r="G50" s="132" t="s">
        <v>897</v>
      </c>
      <c r="H50" s="132"/>
      <c r="I50" s="132" t="s">
        <v>3222</v>
      </c>
    </row>
    <row r="51" spans="1:9">
      <c r="A51" s="132"/>
      <c r="B51" s="132" t="s">
        <v>240</v>
      </c>
      <c r="C51" s="132" t="s">
        <v>3223</v>
      </c>
      <c r="D51" s="133">
        <v>46097</v>
      </c>
      <c r="E51" s="133">
        <v>46097</v>
      </c>
      <c r="F51" s="184" t="s">
        <v>3283</v>
      </c>
      <c r="G51" s="132" t="s">
        <v>3225</v>
      </c>
      <c r="H51" s="132"/>
      <c r="I51" s="132" t="s">
        <v>3226</v>
      </c>
    </row>
    <row r="52" spans="1:9" ht="28.5">
      <c r="A52" s="132"/>
      <c r="B52" s="132" t="s">
        <v>240</v>
      </c>
      <c r="C52" s="132" t="s">
        <v>3227</v>
      </c>
      <c r="D52" s="133">
        <v>46097</v>
      </c>
      <c r="E52" s="133" t="s">
        <v>3426</v>
      </c>
      <c r="F52" s="130" t="s">
        <v>3228</v>
      </c>
      <c r="G52" s="132"/>
      <c r="H52" s="132" t="s">
        <v>261</v>
      </c>
      <c r="I52" s="132" t="s">
        <v>3229</v>
      </c>
    </row>
    <row r="53" spans="1:9">
      <c r="A53" s="132"/>
      <c r="B53" s="132" t="s">
        <v>240</v>
      </c>
      <c r="C53" s="132" t="s">
        <v>3227</v>
      </c>
      <c r="D53" s="133">
        <v>46097</v>
      </c>
      <c r="E53" s="133">
        <v>46097</v>
      </c>
      <c r="F53" s="130" t="s">
        <v>3230</v>
      </c>
      <c r="G53" s="132"/>
      <c r="H53" s="132" t="s">
        <v>3231</v>
      </c>
      <c r="I53" s="132" t="s">
        <v>3232</v>
      </c>
    </row>
    <row r="54" spans="1:9" ht="42.75">
      <c r="A54" s="132" t="s">
        <v>239</v>
      </c>
      <c r="B54" s="132" t="s">
        <v>240</v>
      </c>
      <c r="C54" s="132" t="s">
        <v>3233</v>
      </c>
      <c r="D54" s="133">
        <v>46098</v>
      </c>
      <c r="E54" s="133">
        <v>46098</v>
      </c>
      <c r="F54" s="130" t="s">
        <v>3234</v>
      </c>
      <c r="G54" s="132"/>
      <c r="H54" s="132" t="s">
        <v>3235</v>
      </c>
      <c r="I54" s="132" t="s">
        <v>3236</v>
      </c>
    </row>
    <row r="55" spans="1:9" ht="28.5">
      <c r="A55" s="132" t="s">
        <v>239</v>
      </c>
      <c r="B55" s="132" t="s">
        <v>240</v>
      </c>
      <c r="C55" s="132" t="s">
        <v>3237</v>
      </c>
      <c r="D55" s="133">
        <v>46098</v>
      </c>
      <c r="E55" s="133">
        <v>46098</v>
      </c>
      <c r="F55" s="183" t="s">
        <v>4779</v>
      </c>
      <c r="G55" s="132" t="s">
        <v>2030</v>
      </c>
      <c r="H55" s="132"/>
      <c r="I55" s="132" t="s">
        <v>3239</v>
      </c>
    </row>
    <row r="56" spans="1:9" ht="42.75">
      <c r="A56" s="132" t="s">
        <v>239</v>
      </c>
      <c r="B56" s="132" t="s">
        <v>240</v>
      </c>
      <c r="C56" s="132" t="s">
        <v>3240</v>
      </c>
      <c r="D56" s="133">
        <v>46099</v>
      </c>
      <c r="E56" s="133">
        <v>46099</v>
      </c>
      <c r="F56" s="130" t="s">
        <v>3241</v>
      </c>
      <c r="G56" s="132"/>
      <c r="H56" s="132" t="s">
        <v>313</v>
      </c>
      <c r="I56" s="132" t="s">
        <v>3242</v>
      </c>
    </row>
    <row r="57" spans="1:9" ht="42.75">
      <c r="A57" s="132" t="s">
        <v>239</v>
      </c>
      <c r="B57" s="132" t="s">
        <v>240</v>
      </c>
      <c r="C57" s="132" t="s">
        <v>3243</v>
      </c>
      <c r="D57" s="133">
        <v>46099</v>
      </c>
      <c r="E57" s="133">
        <v>46099</v>
      </c>
      <c r="F57" s="130" t="s">
        <v>3244</v>
      </c>
      <c r="G57" s="132"/>
      <c r="H57" s="132" t="s">
        <v>1170</v>
      </c>
      <c r="I57" s="132" t="s">
        <v>3245</v>
      </c>
    </row>
    <row r="58" spans="1:9" ht="42.75">
      <c r="A58" s="132" t="s">
        <v>239</v>
      </c>
      <c r="B58" s="132" t="s">
        <v>240</v>
      </c>
      <c r="C58" s="132" t="s">
        <v>3246</v>
      </c>
      <c r="D58" s="133">
        <v>46099</v>
      </c>
      <c r="E58" s="133">
        <v>46099</v>
      </c>
      <c r="F58" s="130" t="s">
        <v>3425</v>
      </c>
      <c r="G58" s="132" t="s">
        <v>3248</v>
      </c>
      <c r="H58" s="132"/>
      <c r="I58" s="132" t="s">
        <v>3249</v>
      </c>
    </row>
    <row r="59" spans="1:9" ht="28.5">
      <c r="A59" s="132" t="s">
        <v>239</v>
      </c>
      <c r="B59" s="132" t="s">
        <v>240</v>
      </c>
      <c r="C59" s="132" t="s">
        <v>3250</v>
      </c>
      <c r="D59" s="133">
        <v>46099</v>
      </c>
      <c r="E59" s="133">
        <v>46099</v>
      </c>
      <c r="F59" s="130" t="s">
        <v>3251</v>
      </c>
      <c r="G59" s="132"/>
      <c r="H59" s="132" t="s">
        <v>254</v>
      </c>
      <c r="I59" s="132" t="s">
        <v>3252</v>
      </c>
    </row>
    <row r="60" spans="1:9" ht="28.5">
      <c r="A60" s="132" t="s">
        <v>239</v>
      </c>
      <c r="B60" s="132" t="s">
        <v>240</v>
      </c>
      <c r="C60" s="132" t="s">
        <v>3250</v>
      </c>
      <c r="D60" s="133">
        <v>46099</v>
      </c>
      <c r="E60" s="133">
        <v>46099</v>
      </c>
      <c r="F60" s="130" t="s">
        <v>3253</v>
      </c>
      <c r="G60" s="132"/>
      <c r="H60" s="132" t="s">
        <v>1530</v>
      </c>
      <c r="I60" s="132" t="s">
        <v>3254</v>
      </c>
    </row>
    <row r="61" spans="1:9" ht="28.5">
      <c r="A61" s="132" t="s">
        <v>239</v>
      </c>
      <c r="B61" s="132" t="s">
        <v>240</v>
      </c>
      <c r="C61" s="132" t="s">
        <v>3255</v>
      </c>
      <c r="D61" s="133">
        <v>46100</v>
      </c>
      <c r="E61" s="133">
        <v>46100</v>
      </c>
      <c r="F61" s="130" t="s">
        <v>3424</v>
      </c>
      <c r="G61" s="132" t="s">
        <v>1545</v>
      </c>
      <c r="H61" s="132"/>
      <c r="I61" s="132" t="s">
        <v>3257</v>
      </c>
    </row>
    <row r="62" spans="1:9" ht="42.75">
      <c r="A62" s="132" t="s">
        <v>239</v>
      </c>
      <c r="B62" s="132" t="s">
        <v>240</v>
      </c>
      <c r="C62" s="132" t="s">
        <v>3258</v>
      </c>
      <c r="D62" s="133">
        <v>46100</v>
      </c>
      <c r="E62" s="133">
        <v>46100</v>
      </c>
      <c r="F62" s="130" t="s">
        <v>3423</v>
      </c>
      <c r="G62" s="132" t="s">
        <v>1044</v>
      </c>
      <c r="H62" s="132"/>
      <c r="I62" s="132" t="s">
        <v>3260</v>
      </c>
    </row>
    <row r="63" spans="1:9" ht="42.75">
      <c r="A63" s="132" t="s">
        <v>239</v>
      </c>
      <c r="B63" s="132" t="s">
        <v>240</v>
      </c>
      <c r="C63" s="132" t="s">
        <v>3261</v>
      </c>
      <c r="D63" s="133">
        <v>46101</v>
      </c>
      <c r="E63" s="133">
        <v>46101</v>
      </c>
      <c r="F63" s="130" t="s">
        <v>3262</v>
      </c>
      <c r="G63" s="132"/>
      <c r="H63" s="132" t="s">
        <v>261</v>
      </c>
      <c r="I63" s="132" t="s">
        <v>3263</v>
      </c>
    </row>
    <row r="64" spans="1:9" ht="42.75">
      <c r="A64" s="132" t="s">
        <v>239</v>
      </c>
      <c r="B64" s="132" t="s">
        <v>240</v>
      </c>
      <c r="C64" s="132" t="s">
        <v>3261</v>
      </c>
      <c r="D64" s="133">
        <v>46101</v>
      </c>
      <c r="E64" s="133">
        <v>46101</v>
      </c>
      <c r="F64" s="130" t="s">
        <v>3264</v>
      </c>
      <c r="G64" s="132"/>
      <c r="H64" s="132" t="s">
        <v>940</v>
      </c>
      <c r="I64" s="132" t="s">
        <v>3265</v>
      </c>
    </row>
    <row r="65" spans="1:9" ht="42.75">
      <c r="A65" s="132" t="s">
        <v>239</v>
      </c>
      <c r="B65" s="132" t="s">
        <v>240</v>
      </c>
      <c r="C65" s="132" t="s">
        <v>3266</v>
      </c>
      <c r="D65" s="133">
        <v>46102</v>
      </c>
      <c r="E65" s="133">
        <v>46102</v>
      </c>
      <c r="F65" s="130" t="s">
        <v>3284</v>
      </c>
      <c r="G65" s="132"/>
      <c r="H65" s="132" t="s">
        <v>243</v>
      </c>
      <c r="I65" s="132" t="s">
        <v>3268</v>
      </c>
    </row>
    <row r="66" spans="1:9" ht="42.75">
      <c r="A66" s="132" t="s">
        <v>239</v>
      </c>
      <c r="B66" s="132" t="s">
        <v>240</v>
      </c>
      <c r="C66" s="132" t="s">
        <v>3266</v>
      </c>
      <c r="D66" s="133">
        <v>46102</v>
      </c>
      <c r="E66" s="133">
        <v>46102</v>
      </c>
      <c r="F66" s="130" t="s">
        <v>3269</v>
      </c>
      <c r="G66" s="132"/>
      <c r="H66" s="132" t="s">
        <v>447</v>
      </c>
      <c r="I66" s="132" t="s">
        <v>3270</v>
      </c>
    </row>
    <row r="67" spans="1:9" ht="42.75">
      <c r="A67" s="132" t="s">
        <v>239</v>
      </c>
      <c r="B67" s="132" t="s">
        <v>240</v>
      </c>
      <c r="C67" s="132" t="s">
        <v>3271</v>
      </c>
      <c r="D67" s="133">
        <v>46102</v>
      </c>
      <c r="E67" s="133">
        <v>46102</v>
      </c>
      <c r="F67" s="130" t="s">
        <v>3272</v>
      </c>
      <c r="G67" s="132"/>
      <c r="H67" s="132" t="s">
        <v>254</v>
      </c>
      <c r="I67" s="132" t="s">
        <v>3273</v>
      </c>
    </row>
    <row r="68" spans="1:9" ht="42.75">
      <c r="A68" s="132" t="s">
        <v>239</v>
      </c>
      <c r="B68" s="132" t="s">
        <v>240</v>
      </c>
      <c r="C68" s="132" t="s">
        <v>3271</v>
      </c>
      <c r="D68" s="133">
        <v>46102</v>
      </c>
      <c r="E68" s="133">
        <v>46102</v>
      </c>
      <c r="F68" s="130" t="s">
        <v>3274</v>
      </c>
      <c r="G68" s="132"/>
      <c r="H68" s="132" t="s">
        <v>1032</v>
      </c>
      <c r="I68" s="132" t="s">
        <v>3275</v>
      </c>
    </row>
    <row r="69" spans="1:9" ht="28.5">
      <c r="A69" s="132" t="s">
        <v>239</v>
      </c>
      <c r="B69" s="132" t="s">
        <v>240</v>
      </c>
      <c r="C69" s="132" t="s">
        <v>3285</v>
      </c>
      <c r="D69" s="133">
        <v>46104</v>
      </c>
      <c r="E69" s="133">
        <v>46104</v>
      </c>
      <c r="F69" s="130" t="s">
        <v>3427</v>
      </c>
      <c r="G69" s="132" t="s">
        <v>3286</v>
      </c>
      <c r="H69" s="132"/>
      <c r="I69" s="132" t="s">
        <v>3287</v>
      </c>
    </row>
    <row r="70" spans="1:9" ht="42.75">
      <c r="A70" s="132" t="s">
        <v>239</v>
      </c>
      <c r="B70" s="132" t="s">
        <v>240</v>
      </c>
      <c r="C70" s="132" t="s">
        <v>3288</v>
      </c>
      <c r="D70" s="133">
        <v>46104</v>
      </c>
      <c r="E70" s="133">
        <v>46104</v>
      </c>
      <c r="F70" s="130" t="s">
        <v>3289</v>
      </c>
      <c r="G70" s="132"/>
      <c r="H70" s="132" t="s">
        <v>254</v>
      </c>
      <c r="I70" s="132" t="s">
        <v>3290</v>
      </c>
    </row>
    <row r="71" spans="1:9" ht="42.75">
      <c r="A71" s="132" t="s">
        <v>239</v>
      </c>
      <c r="B71" s="132" t="s">
        <v>240</v>
      </c>
      <c r="C71" s="132" t="s">
        <v>3288</v>
      </c>
      <c r="D71" s="133">
        <v>46104</v>
      </c>
      <c r="E71" s="133">
        <v>46104</v>
      </c>
      <c r="F71" s="130" t="s">
        <v>3291</v>
      </c>
      <c r="G71" s="132"/>
      <c r="H71" s="132" t="s">
        <v>295</v>
      </c>
      <c r="I71" s="132" t="s">
        <v>3292</v>
      </c>
    </row>
    <row r="72" spans="1:9" ht="42.75">
      <c r="A72" s="132" t="s">
        <v>239</v>
      </c>
      <c r="B72" s="132" t="s">
        <v>240</v>
      </c>
      <c r="C72" s="132" t="s">
        <v>3293</v>
      </c>
      <c r="D72" s="133">
        <v>46104</v>
      </c>
      <c r="E72" s="133">
        <v>46104</v>
      </c>
      <c r="F72" s="130" t="s">
        <v>3294</v>
      </c>
      <c r="G72" s="132"/>
      <c r="H72" s="132" t="s">
        <v>243</v>
      </c>
      <c r="I72" s="132" t="s">
        <v>3295</v>
      </c>
    </row>
    <row r="73" spans="1:9" ht="42.75">
      <c r="A73" s="132" t="s">
        <v>239</v>
      </c>
      <c r="B73" s="132" t="s">
        <v>240</v>
      </c>
      <c r="C73" s="132" t="s">
        <v>3293</v>
      </c>
      <c r="D73" s="133">
        <v>46104</v>
      </c>
      <c r="E73" s="133">
        <v>46104</v>
      </c>
      <c r="F73" s="130" t="s">
        <v>3296</v>
      </c>
      <c r="G73" s="132"/>
      <c r="H73" s="132" t="s">
        <v>3297</v>
      </c>
      <c r="I73" s="132" t="s">
        <v>3298</v>
      </c>
    </row>
    <row r="74" spans="1:9" ht="42.75">
      <c r="A74" s="132" t="s">
        <v>239</v>
      </c>
      <c r="B74" s="132" t="s">
        <v>240</v>
      </c>
      <c r="C74" s="132" t="s">
        <v>3299</v>
      </c>
      <c r="D74" s="133">
        <v>46104</v>
      </c>
      <c r="E74" s="133">
        <v>46104</v>
      </c>
      <c r="F74" s="130" t="s">
        <v>3422</v>
      </c>
      <c r="G74" s="132" t="s">
        <v>1476</v>
      </c>
      <c r="H74" s="132"/>
      <c r="I74" s="132" t="s">
        <v>3300</v>
      </c>
    </row>
    <row r="75" spans="1:9" ht="42.75">
      <c r="A75" s="132" t="s">
        <v>239</v>
      </c>
      <c r="B75" s="132" t="s">
        <v>240</v>
      </c>
      <c r="C75" s="132" t="s">
        <v>3301</v>
      </c>
      <c r="D75" s="133">
        <v>46104</v>
      </c>
      <c r="E75" s="133">
        <v>46104</v>
      </c>
      <c r="F75" s="130" t="s">
        <v>3302</v>
      </c>
      <c r="G75" s="132"/>
      <c r="H75" s="132" t="s">
        <v>254</v>
      </c>
      <c r="I75" s="132" t="s">
        <v>3303</v>
      </c>
    </row>
    <row r="76" spans="1:9" ht="42.75">
      <c r="A76" s="132" t="s">
        <v>239</v>
      </c>
      <c r="B76" s="132" t="s">
        <v>240</v>
      </c>
      <c r="C76" s="132" t="s">
        <v>3301</v>
      </c>
      <c r="D76" s="133">
        <v>46104</v>
      </c>
      <c r="E76" s="133">
        <v>46104</v>
      </c>
      <c r="F76" s="130" t="s">
        <v>3304</v>
      </c>
      <c r="G76" s="132"/>
      <c r="H76" s="132" t="s">
        <v>984</v>
      </c>
      <c r="I76" s="132" t="s">
        <v>3305</v>
      </c>
    </row>
    <row r="77" spans="1:9" ht="42.75">
      <c r="A77" s="132" t="s">
        <v>239</v>
      </c>
      <c r="B77" s="132" t="s">
        <v>240</v>
      </c>
      <c r="C77" s="132" t="s">
        <v>3306</v>
      </c>
      <c r="D77" s="133">
        <v>46104</v>
      </c>
      <c r="E77" s="133">
        <v>46104</v>
      </c>
      <c r="F77" s="130" t="s">
        <v>3307</v>
      </c>
      <c r="G77" s="132"/>
      <c r="H77" s="132" t="s">
        <v>254</v>
      </c>
      <c r="I77" s="132" t="s">
        <v>3308</v>
      </c>
    </row>
    <row r="78" spans="1:9" ht="42.75">
      <c r="A78" s="132" t="s">
        <v>239</v>
      </c>
      <c r="B78" s="132" t="s">
        <v>240</v>
      </c>
      <c r="C78" s="132" t="s">
        <v>3306</v>
      </c>
      <c r="D78" s="133">
        <v>46104</v>
      </c>
      <c r="E78" s="133">
        <v>46104</v>
      </c>
      <c r="F78" s="130" t="s">
        <v>3309</v>
      </c>
      <c r="G78" s="132"/>
      <c r="H78" s="132" t="s">
        <v>3310</v>
      </c>
      <c r="I78" s="132" t="s">
        <v>3311</v>
      </c>
    </row>
    <row r="79" spans="1:9" ht="42.75">
      <c r="A79" s="132" t="s">
        <v>239</v>
      </c>
      <c r="B79" s="132" t="s">
        <v>240</v>
      </c>
      <c r="C79" s="132" t="s">
        <v>3312</v>
      </c>
      <c r="D79" s="133">
        <v>46104</v>
      </c>
      <c r="E79" s="133">
        <v>46104</v>
      </c>
      <c r="F79" s="130" t="s">
        <v>3313</v>
      </c>
      <c r="G79" s="132"/>
      <c r="H79" s="132" t="s">
        <v>480</v>
      </c>
      <c r="I79" s="132" t="s">
        <v>3314</v>
      </c>
    </row>
    <row r="80" spans="1:9" ht="28.5">
      <c r="A80" s="132" t="s">
        <v>239</v>
      </c>
      <c r="B80" s="132" t="s">
        <v>240</v>
      </c>
      <c r="C80" s="132" t="s">
        <v>3315</v>
      </c>
      <c r="D80" s="133">
        <v>46105</v>
      </c>
      <c r="E80" s="133">
        <v>46105</v>
      </c>
      <c r="F80" s="130" t="s">
        <v>3428</v>
      </c>
      <c r="G80" s="132" t="s">
        <v>2899</v>
      </c>
      <c r="H80" s="132"/>
      <c r="I80" s="132" t="s">
        <v>3316</v>
      </c>
    </row>
    <row r="81" spans="1:9" ht="42.75">
      <c r="A81" s="132" t="s">
        <v>239</v>
      </c>
      <c r="B81" s="132" t="s">
        <v>240</v>
      </c>
      <c r="C81" s="132" t="s">
        <v>3317</v>
      </c>
      <c r="D81" s="133">
        <v>46105</v>
      </c>
      <c r="E81" s="133">
        <v>46105</v>
      </c>
      <c r="F81" s="130" t="s">
        <v>3318</v>
      </c>
      <c r="G81" s="132"/>
      <c r="H81" s="132" t="s">
        <v>3319</v>
      </c>
      <c r="I81" s="132" t="s">
        <v>3320</v>
      </c>
    </row>
    <row r="82" spans="1:9" ht="28.5">
      <c r="A82" s="132" t="s">
        <v>239</v>
      </c>
      <c r="B82" s="132" t="s">
        <v>240</v>
      </c>
      <c r="C82" s="132" t="s">
        <v>3321</v>
      </c>
      <c r="D82" s="133">
        <v>46105</v>
      </c>
      <c r="E82" s="133">
        <v>46105</v>
      </c>
      <c r="F82" s="130" t="s">
        <v>3322</v>
      </c>
      <c r="G82" s="132"/>
      <c r="H82" s="132" t="s">
        <v>1839</v>
      </c>
      <c r="I82" s="132" t="s">
        <v>3323</v>
      </c>
    </row>
    <row r="83" spans="1:9" ht="28.5">
      <c r="A83" s="132" t="s">
        <v>239</v>
      </c>
      <c r="B83" s="132" t="s">
        <v>240</v>
      </c>
      <c r="C83" s="132" t="s">
        <v>3324</v>
      </c>
      <c r="D83" s="133">
        <v>46105</v>
      </c>
      <c r="E83" s="133">
        <v>46105</v>
      </c>
      <c r="F83" s="130" t="s">
        <v>3325</v>
      </c>
      <c r="G83" s="132"/>
      <c r="H83" s="132" t="s">
        <v>2813</v>
      </c>
      <c r="I83" s="132" t="s">
        <v>3326</v>
      </c>
    </row>
    <row r="84" spans="1:9" ht="42.75">
      <c r="A84" s="132" t="s">
        <v>239</v>
      </c>
      <c r="B84" s="132" t="s">
        <v>240</v>
      </c>
      <c r="C84" s="132" t="s">
        <v>3327</v>
      </c>
      <c r="D84" s="133">
        <v>46106</v>
      </c>
      <c r="E84" s="133">
        <v>46106</v>
      </c>
      <c r="F84" s="130" t="s">
        <v>3328</v>
      </c>
      <c r="G84" s="132"/>
      <c r="H84" s="132" t="s">
        <v>243</v>
      </c>
      <c r="I84" s="132" t="s">
        <v>3329</v>
      </c>
    </row>
    <row r="85" spans="1:9" ht="42.75">
      <c r="A85" s="132" t="s">
        <v>239</v>
      </c>
      <c r="B85" s="132" t="s">
        <v>240</v>
      </c>
      <c r="C85" s="132" t="s">
        <v>3327</v>
      </c>
      <c r="D85" s="133">
        <v>46106</v>
      </c>
      <c r="E85" s="133">
        <v>46106</v>
      </c>
      <c r="F85" s="130" t="s">
        <v>3330</v>
      </c>
      <c r="G85" s="132"/>
      <c r="H85" s="132" t="s">
        <v>3331</v>
      </c>
      <c r="I85" s="132" t="s">
        <v>3332</v>
      </c>
    </row>
    <row r="86" spans="1:9" ht="28.5">
      <c r="A86" s="132" t="s">
        <v>239</v>
      </c>
      <c r="B86" s="132" t="s">
        <v>240</v>
      </c>
      <c r="C86" s="132" t="s">
        <v>3333</v>
      </c>
      <c r="D86" s="133">
        <v>46106</v>
      </c>
      <c r="E86" s="133">
        <v>46106</v>
      </c>
      <c r="F86" s="130" t="s">
        <v>3334</v>
      </c>
      <c r="G86" s="132"/>
      <c r="H86" s="132" t="s">
        <v>3335</v>
      </c>
      <c r="I86" s="132" t="s">
        <v>3336</v>
      </c>
    </row>
    <row r="87" spans="1:9" ht="28.5">
      <c r="A87" s="132" t="s">
        <v>239</v>
      </c>
      <c r="B87" s="132" t="s">
        <v>240</v>
      </c>
      <c r="C87" s="132" t="s">
        <v>3337</v>
      </c>
      <c r="D87" s="133">
        <v>46107</v>
      </c>
      <c r="E87" s="133">
        <v>46107</v>
      </c>
      <c r="F87" s="130" t="s">
        <v>732</v>
      </c>
      <c r="G87" s="132"/>
      <c r="H87" s="132" t="s">
        <v>254</v>
      </c>
      <c r="I87" s="132" t="s">
        <v>3338</v>
      </c>
    </row>
    <row r="88" spans="1:9" ht="28.5">
      <c r="A88" s="132" t="s">
        <v>239</v>
      </c>
      <c r="B88" s="132" t="s">
        <v>240</v>
      </c>
      <c r="C88" s="132" t="s">
        <v>3337</v>
      </c>
      <c r="D88" s="133">
        <v>46107</v>
      </c>
      <c r="E88" s="133">
        <v>46107</v>
      </c>
      <c r="F88" s="130" t="s">
        <v>734</v>
      </c>
      <c r="G88" s="132"/>
      <c r="H88" s="132" t="s">
        <v>3339</v>
      </c>
      <c r="I88" s="132" t="s">
        <v>3340</v>
      </c>
    </row>
    <row r="89" spans="1:9" ht="42.75">
      <c r="A89" s="132" t="s">
        <v>239</v>
      </c>
      <c r="B89" s="132" t="s">
        <v>240</v>
      </c>
      <c r="C89" s="132" t="s">
        <v>3341</v>
      </c>
      <c r="D89" s="133">
        <v>46107</v>
      </c>
      <c r="E89" s="133">
        <v>46107</v>
      </c>
      <c r="F89" s="130" t="s">
        <v>3342</v>
      </c>
      <c r="G89" s="132"/>
      <c r="H89" s="132" t="s">
        <v>261</v>
      </c>
      <c r="I89" s="132" t="s">
        <v>3343</v>
      </c>
    </row>
    <row r="90" spans="1:9" ht="42.75">
      <c r="A90" s="132" t="s">
        <v>239</v>
      </c>
      <c r="B90" s="132" t="s">
        <v>240</v>
      </c>
      <c r="C90" s="132" t="s">
        <v>3341</v>
      </c>
      <c r="D90" s="133">
        <v>46107</v>
      </c>
      <c r="E90" s="133">
        <v>46107</v>
      </c>
      <c r="F90" s="130" t="s">
        <v>3344</v>
      </c>
      <c r="G90" s="132"/>
      <c r="H90" s="132" t="s">
        <v>467</v>
      </c>
      <c r="I90" s="132" t="s">
        <v>3345</v>
      </c>
    </row>
    <row r="91" spans="1:9" ht="28.5">
      <c r="A91" s="132" t="s">
        <v>239</v>
      </c>
      <c r="B91" s="132" t="s">
        <v>240</v>
      </c>
      <c r="C91" s="132" t="s">
        <v>3346</v>
      </c>
      <c r="D91" s="133">
        <v>46109</v>
      </c>
      <c r="E91" s="133">
        <v>46109</v>
      </c>
      <c r="F91" s="130" t="s">
        <v>3429</v>
      </c>
      <c r="G91" s="132" t="s">
        <v>1557</v>
      </c>
      <c r="H91" s="132"/>
      <c r="I91" s="132" t="s">
        <v>3347</v>
      </c>
    </row>
    <row r="92" spans="1:9" ht="28.5">
      <c r="A92" s="132" t="s">
        <v>239</v>
      </c>
      <c r="B92" s="132" t="s">
        <v>240</v>
      </c>
      <c r="C92" s="132" t="s">
        <v>3348</v>
      </c>
      <c r="D92" s="133">
        <v>46110</v>
      </c>
      <c r="E92" s="133">
        <v>46110</v>
      </c>
      <c r="F92" s="130" t="s">
        <v>3349</v>
      </c>
      <c r="G92" s="132"/>
      <c r="H92" s="132" t="s">
        <v>261</v>
      </c>
      <c r="I92" s="132" t="s">
        <v>3350</v>
      </c>
    </row>
    <row r="93" spans="1:9" ht="28.5">
      <c r="A93" s="132" t="s">
        <v>239</v>
      </c>
      <c r="B93" s="132" t="s">
        <v>240</v>
      </c>
      <c r="C93" s="132" t="s">
        <v>3348</v>
      </c>
      <c r="D93" s="133">
        <v>46110</v>
      </c>
      <c r="E93" s="133">
        <v>46110</v>
      </c>
      <c r="F93" s="130" t="s">
        <v>3351</v>
      </c>
      <c r="G93" s="132"/>
      <c r="H93" s="132" t="s">
        <v>630</v>
      </c>
      <c r="I93" s="132" t="s">
        <v>3352</v>
      </c>
    </row>
    <row r="94" spans="1:9" ht="42.75">
      <c r="A94" s="132" t="s">
        <v>239</v>
      </c>
      <c r="B94" s="132" t="s">
        <v>240</v>
      </c>
      <c r="C94" s="132" t="s">
        <v>3353</v>
      </c>
      <c r="D94" s="133">
        <v>46111</v>
      </c>
      <c r="E94" s="133">
        <v>46111</v>
      </c>
      <c r="F94" s="130" t="s">
        <v>3354</v>
      </c>
      <c r="G94" s="132"/>
      <c r="H94" s="132" t="s">
        <v>2335</v>
      </c>
      <c r="I94" s="132" t="s">
        <v>3355</v>
      </c>
    </row>
    <row r="95" spans="1:9" ht="42.75">
      <c r="A95" s="132" t="s">
        <v>239</v>
      </c>
      <c r="B95" s="132" t="s">
        <v>240</v>
      </c>
      <c r="C95" s="132" t="s">
        <v>3353</v>
      </c>
      <c r="D95" s="133">
        <v>46111</v>
      </c>
      <c r="E95" s="133">
        <v>46111</v>
      </c>
      <c r="F95" s="130" t="s">
        <v>3356</v>
      </c>
      <c r="G95" s="132"/>
      <c r="H95" s="132" t="s">
        <v>3357</v>
      </c>
      <c r="I95" s="132" t="s">
        <v>3358</v>
      </c>
    </row>
    <row r="96" spans="1:9" ht="28.5">
      <c r="A96" s="132" t="s">
        <v>239</v>
      </c>
      <c r="B96" s="132" t="s">
        <v>240</v>
      </c>
      <c r="C96" s="132" t="s">
        <v>3359</v>
      </c>
      <c r="D96" s="133">
        <v>46111</v>
      </c>
      <c r="E96" s="133">
        <v>46111</v>
      </c>
      <c r="F96" s="130" t="s">
        <v>3360</v>
      </c>
      <c r="G96" s="132"/>
      <c r="H96" s="132" t="s">
        <v>254</v>
      </c>
      <c r="I96" s="132" t="s">
        <v>3361</v>
      </c>
    </row>
    <row r="97" spans="1:9" ht="42.75">
      <c r="A97" s="132" t="s">
        <v>239</v>
      </c>
      <c r="B97" s="132" t="s">
        <v>240</v>
      </c>
      <c r="C97" s="132" t="s">
        <v>3359</v>
      </c>
      <c r="D97" s="133">
        <v>46111</v>
      </c>
      <c r="E97" s="133">
        <v>46111</v>
      </c>
      <c r="F97" s="130" t="s">
        <v>3362</v>
      </c>
      <c r="G97" s="132"/>
      <c r="H97" s="132" t="s">
        <v>1595</v>
      </c>
      <c r="I97" s="132" t="s">
        <v>3363</v>
      </c>
    </row>
    <row r="98" spans="1:9" ht="42.75">
      <c r="A98" s="132" t="s">
        <v>239</v>
      </c>
      <c r="B98" s="132" t="s">
        <v>240</v>
      </c>
      <c r="C98" s="132" t="s">
        <v>3364</v>
      </c>
      <c r="D98" s="133">
        <v>46111</v>
      </c>
      <c r="E98" s="133">
        <v>46111</v>
      </c>
      <c r="F98" s="130" t="s">
        <v>3365</v>
      </c>
      <c r="G98" s="132"/>
      <c r="H98" s="218" t="s">
        <v>4887</v>
      </c>
      <c r="I98" s="132" t="s">
        <v>3366</v>
      </c>
    </row>
    <row r="99" spans="1:9" ht="42.75">
      <c r="A99" s="132" t="s">
        <v>239</v>
      </c>
      <c r="B99" s="132" t="s">
        <v>240</v>
      </c>
      <c r="C99" s="132" t="s">
        <v>3364</v>
      </c>
      <c r="D99" s="133">
        <v>46111</v>
      </c>
      <c r="E99" s="133">
        <v>46111</v>
      </c>
      <c r="F99" s="130" t="s">
        <v>3367</v>
      </c>
      <c r="G99" s="132"/>
      <c r="H99" s="132" t="s">
        <v>264</v>
      </c>
      <c r="I99" s="132" t="s">
        <v>3368</v>
      </c>
    </row>
    <row r="100" spans="1:9" ht="42.75">
      <c r="A100" s="132" t="s">
        <v>239</v>
      </c>
      <c r="B100" s="132" t="s">
        <v>240</v>
      </c>
      <c r="C100" s="132" t="s">
        <v>3369</v>
      </c>
      <c r="D100" s="133">
        <v>46111</v>
      </c>
      <c r="E100" s="133">
        <v>46111</v>
      </c>
      <c r="F100" s="130" t="s">
        <v>3370</v>
      </c>
      <c r="G100" s="132"/>
      <c r="H100" s="132" t="s">
        <v>374</v>
      </c>
      <c r="I100" s="132" t="s">
        <v>3371</v>
      </c>
    </row>
    <row r="101" spans="1:9" ht="28.5">
      <c r="A101" s="132" t="s">
        <v>239</v>
      </c>
      <c r="B101" s="132" t="s">
        <v>240</v>
      </c>
      <c r="C101" s="132" t="s">
        <v>3372</v>
      </c>
      <c r="D101" s="133">
        <v>46111</v>
      </c>
      <c r="E101" s="133">
        <v>46111</v>
      </c>
      <c r="F101" s="130" t="s">
        <v>3373</v>
      </c>
      <c r="G101" s="132" t="s">
        <v>3374</v>
      </c>
      <c r="H101" s="132"/>
      <c r="I101" s="132" t="s">
        <v>3375</v>
      </c>
    </row>
    <row r="102" spans="1:9">
      <c r="A102" s="132" t="s">
        <v>239</v>
      </c>
      <c r="B102" s="132" t="s">
        <v>240</v>
      </c>
      <c r="C102" s="132" t="s">
        <v>3376</v>
      </c>
      <c r="D102" s="133">
        <v>46112</v>
      </c>
      <c r="E102" s="133">
        <v>46112</v>
      </c>
      <c r="F102" s="130" t="s">
        <v>948</v>
      </c>
      <c r="G102" s="132"/>
      <c r="H102" s="132" t="s">
        <v>3377</v>
      </c>
      <c r="I102" s="132" t="s">
        <v>3378</v>
      </c>
    </row>
    <row r="103" spans="1:9" ht="42.75">
      <c r="A103" s="132" t="s">
        <v>239</v>
      </c>
      <c r="B103" s="132" t="s">
        <v>240</v>
      </c>
      <c r="C103" s="132" t="s">
        <v>3379</v>
      </c>
      <c r="D103" s="133">
        <v>46112</v>
      </c>
      <c r="E103" s="133">
        <v>46112</v>
      </c>
      <c r="F103" s="130" t="s">
        <v>3380</v>
      </c>
      <c r="G103" s="132"/>
      <c r="H103" s="132" t="s">
        <v>243</v>
      </c>
      <c r="I103" s="132" t="s">
        <v>3381</v>
      </c>
    </row>
    <row r="104" spans="1:9" ht="42.75">
      <c r="A104" s="132" t="s">
        <v>239</v>
      </c>
      <c r="B104" s="132" t="s">
        <v>240</v>
      </c>
      <c r="C104" s="132" t="s">
        <v>3379</v>
      </c>
      <c r="D104" s="133">
        <v>46112</v>
      </c>
      <c r="E104" s="133">
        <v>46112</v>
      </c>
      <c r="F104" s="130" t="s">
        <v>3382</v>
      </c>
      <c r="G104" s="132"/>
      <c r="H104" s="132" t="s">
        <v>2799</v>
      </c>
      <c r="I104" s="132" t="s">
        <v>3383</v>
      </c>
    </row>
    <row r="105" spans="1:9" ht="28.5">
      <c r="A105" s="132" t="s">
        <v>239</v>
      </c>
      <c r="B105" s="132" t="s">
        <v>240</v>
      </c>
      <c r="C105" s="132" t="s">
        <v>3384</v>
      </c>
      <c r="D105" s="133">
        <v>46112</v>
      </c>
      <c r="E105" s="133">
        <v>46112</v>
      </c>
      <c r="F105" s="130" t="s">
        <v>3385</v>
      </c>
      <c r="G105" s="132"/>
      <c r="H105" s="132" t="s">
        <v>254</v>
      </c>
      <c r="I105" s="132" t="s">
        <v>3386</v>
      </c>
    </row>
    <row r="106" spans="1:9" ht="42.75">
      <c r="A106" s="132" t="s">
        <v>239</v>
      </c>
      <c r="B106" s="132" t="s">
        <v>240</v>
      </c>
      <c r="C106" s="132" t="s">
        <v>3384</v>
      </c>
      <c r="D106" s="133">
        <v>46112</v>
      </c>
      <c r="E106" s="133">
        <v>46112</v>
      </c>
      <c r="F106" s="130" t="s">
        <v>3387</v>
      </c>
      <c r="G106" s="132"/>
      <c r="H106" s="132" t="s">
        <v>295</v>
      </c>
      <c r="I106" s="132" t="s">
        <v>3388</v>
      </c>
    </row>
    <row r="107" spans="1:9" ht="28.5">
      <c r="A107" s="132"/>
      <c r="B107" s="132" t="s">
        <v>240</v>
      </c>
      <c r="C107" s="132" t="s">
        <v>3389</v>
      </c>
      <c r="D107" s="133">
        <v>46113</v>
      </c>
      <c r="E107" s="133">
        <v>46113</v>
      </c>
      <c r="F107" s="130" t="s">
        <v>3390</v>
      </c>
      <c r="G107" s="132"/>
      <c r="H107" s="132" t="s">
        <v>261</v>
      </c>
      <c r="I107" s="132" t="s">
        <v>3391</v>
      </c>
    </row>
    <row r="108" spans="1:9" ht="28.5">
      <c r="A108" s="132"/>
      <c r="B108" s="132" t="s">
        <v>240</v>
      </c>
      <c r="C108" s="132" t="s">
        <v>3389</v>
      </c>
      <c r="D108" s="133">
        <v>46113</v>
      </c>
      <c r="E108" s="133">
        <v>46113</v>
      </c>
      <c r="F108" s="130" t="s">
        <v>3392</v>
      </c>
      <c r="G108" s="132"/>
      <c r="H108" s="132" t="s">
        <v>3393</v>
      </c>
      <c r="I108" s="132" t="s">
        <v>3394</v>
      </c>
    </row>
    <row r="109" spans="1:9" ht="28.5">
      <c r="A109" s="132"/>
      <c r="B109" s="132" t="s">
        <v>240</v>
      </c>
      <c r="C109" s="132" t="s">
        <v>3395</v>
      </c>
      <c r="D109" s="133">
        <v>46113</v>
      </c>
      <c r="E109" s="133">
        <v>46113</v>
      </c>
      <c r="F109" s="130" t="s">
        <v>2682</v>
      </c>
      <c r="G109" s="132"/>
      <c r="H109" s="132" t="s">
        <v>254</v>
      </c>
      <c r="I109" s="132" t="s">
        <v>3396</v>
      </c>
    </row>
    <row r="110" spans="1:9">
      <c r="A110" s="132"/>
      <c r="B110" s="132" t="s">
        <v>240</v>
      </c>
      <c r="C110" s="132" t="s">
        <v>3395</v>
      </c>
      <c r="D110" s="133">
        <v>46113</v>
      </c>
      <c r="E110" s="133">
        <v>46113</v>
      </c>
      <c r="F110" s="130" t="s">
        <v>2684</v>
      </c>
      <c r="G110" s="132"/>
      <c r="H110" s="132" t="s">
        <v>533</v>
      </c>
      <c r="I110" s="132" t="s">
        <v>3397</v>
      </c>
    </row>
    <row r="111" spans="1:9" ht="28.5">
      <c r="A111" s="132"/>
      <c r="B111" s="132" t="s">
        <v>240</v>
      </c>
      <c r="C111" s="132" t="s">
        <v>3398</v>
      </c>
      <c r="D111" s="133">
        <v>46113</v>
      </c>
      <c r="E111" s="133">
        <v>46113</v>
      </c>
      <c r="F111" s="130" t="s">
        <v>3399</v>
      </c>
      <c r="G111" s="132"/>
      <c r="H111" s="132" t="s">
        <v>261</v>
      </c>
      <c r="I111" s="132" t="s">
        <v>3400</v>
      </c>
    </row>
    <row r="112" spans="1:9">
      <c r="A112" s="132"/>
      <c r="B112" s="132" t="s">
        <v>240</v>
      </c>
      <c r="C112" s="132" t="s">
        <v>3398</v>
      </c>
      <c r="D112" s="133">
        <v>46113</v>
      </c>
      <c r="E112" s="133">
        <v>46113</v>
      </c>
      <c r="F112" s="130" t="s">
        <v>3401</v>
      </c>
      <c r="G112" s="132"/>
      <c r="H112" s="132" t="s">
        <v>374</v>
      </c>
      <c r="I112" s="132" t="s">
        <v>3402</v>
      </c>
    </row>
    <row r="113" spans="1:9" ht="42.75">
      <c r="A113" s="132" t="s">
        <v>239</v>
      </c>
      <c r="B113" s="132" t="s">
        <v>240</v>
      </c>
      <c r="C113" s="132" t="s">
        <v>3403</v>
      </c>
      <c r="D113" s="133">
        <v>46113</v>
      </c>
      <c r="E113" s="133">
        <v>46113</v>
      </c>
      <c r="F113" s="130" t="s">
        <v>3404</v>
      </c>
      <c r="G113" s="132"/>
      <c r="H113" s="132" t="s">
        <v>261</v>
      </c>
      <c r="I113" s="132" t="s">
        <v>3405</v>
      </c>
    </row>
    <row r="114" spans="1:9" ht="42.75">
      <c r="A114" s="132" t="s">
        <v>239</v>
      </c>
      <c r="B114" s="132" t="s">
        <v>240</v>
      </c>
      <c r="C114" s="132" t="s">
        <v>3403</v>
      </c>
      <c r="D114" s="133">
        <v>46113</v>
      </c>
      <c r="E114" s="133">
        <v>46113</v>
      </c>
      <c r="F114" s="130" t="s">
        <v>3406</v>
      </c>
      <c r="G114" s="132"/>
      <c r="H114" s="132" t="s">
        <v>3407</v>
      </c>
      <c r="I114" s="132" t="s">
        <v>3408</v>
      </c>
    </row>
    <row r="115" spans="1:9" ht="28.5">
      <c r="A115" s="132" t="s">
        <v>239</v>
      </c>
      <c r="B115" s="132" t="s">
        <v>240</v>
      </c>
      <c r="C115" s="132" t="s">
        <v>3409</v>
      </c>
      <c r="D115" s="133">
        <v>46113</v>
      </c>
      <c r="E115" s="133">
        <v>46113</v>
      </c>
      <c r="F115" s="134" t="s">
        <v>3438</v>
      </c>
      <c r="G115" s="132" t="s">
        <v>1557</v>
      </c>
      <c r="H115" s="132"/>
      <c r="I115" s="132" t="s">
        <v>3410</v>
      </c>
    </row>
    <row r="116" spans="1:9" ht="42.75">
      <c r="A116" s="132" t="s">
        <v>239</v>
      </c>
      <c r="B116" s="132" t="s">
        <v>240</v>
      </c>
      <c r="C116" s="132" t="s">
        <v>3411</v>
      </c>
      <c r="D116" s="133">
        <v>46113</v>
      </c>
      <c r="E116" s="133">
        <v>46113</v>
      </c>
      <c r="F116" s="130" t="s">
        <v>2802</v>
      </c>
      <c r="G116" s="132"/>
      <c r="H116" s="132" t="s">
        <v>374</v>
      </c>
      <c r="I116" s="132" t="s">
        <v>3412</v>
      </c>
    </row>
    <row r="117" spans="1:9" ht="42.75">
      <c r="A117" s="132" t="s">
        <v>239</v>
      </c>
      <c r="B117" s="132" t="s">
        <v>240</v>
      </c>
      <c r="C117" s="132" t="s">
        <v>3413</v>
      </c>
      <c r="D117" s="133">
        <v>46113</v>
      </c>
      <c r="E117" s="133">
        <v>46113</v>
      </c>
      <c r="F117" s="134" t="s">
        <v>3439</v>
      </c>
      <c r="G117" s="132" t="s">
        <v>2030</v>
      </c>
      <c r="H117" s="132"/>
      <c r="I117" s="132" t="s">
        <v>3414</v>
      </c>
    </row>
    <row r="118" spans="1:9" ht="28.5">
      <c r="A118" s="132" t="s">
        <v>239</v>
      </c>
      <c r="B118" s="132" t="s">
        <v>240</v>
      </c>
      <c r="C118" s="132" t="s">
        <v>3415</v>
      </c>
      <c r="D118" s="133">
        <v>46114</v>
      </c>
      <c r="E118" s="133">
        <v>46114</v>
      </c>
      <c r="F118" s="130" t="s">
        <v>3416</v>
      </c>
      <c r="G118" s="132"/>
      <c r="H118" s="132" t="s">
        <v>243</v>
      </c>
      <c r="I118" s="132" t="s">
        <v>3417</v>
      </c>
    </row>
    <row r="119" spans="1:9" ht="28.5">
      <c r="A119" s="132" t="s">
        <v>239</v>
      </c>
      <c r="B119" s="132" t="s">
        <v>240</v>
      </c>
      <c r="C119" s="132" t="s">
        <v>3415</v>
      </c>
      <c r="D119" s="133">
        <v>46114</v>
      </c>
      <c r="E119" s="133">
        <v>46114</v>
      </c>
      <c r="F119" s="130" t="s">
        <v>3418</v>
      </c>
      <c r="G119" s="132"/>
      <c r="H119" s="132" t="s">
        <v>1472</v>
      </c>
      <c r="I119" s="132" t="s">
        <v>3419</v>
      </c>
    </row>
    <row r="120" spans="1:9" ht="28.5">
      <c r="A120" s="132" t="s">
        <v>239</v>
      </c>
      <c r="B120" s="132" t="s">
        <v>240</v>
      </c>
      <c r="C120" s="132" t="s">
        <v>3420</v>
      </c>
      <c r="D120" s="133">
        <v>46114</v>
      </c>
      <c r="E120" s="133">
        <v>46114</v>
      </c>
      <c r="F120" s="134" t="s">
        <v>3440</v>
      </c>
      <c r="G120" s="132" t="s">
        <v>1557</v>
      </c>
      <c r="H120" s="132"/>
      <c r="I120" s="132">
        <v>7697738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5"/>
  <sheetViews>
    <sheetView topLeftCell="E52" zoomScale="85" zoomScaleNormal="85" workbookViewId="0">
      <selection activeCell="H15" sqref="H15"/>
    </sheetView>
  </sheetViews>
  <sheetFormatPr defaultColWidth="21.625" defaultRowHeight="14.25"/>
  <cols>
    <col min="1" max="1" width="13.125" customWidth="1"/>
    <col min="2" max="2" width="3.5" customWidth="1"/>
    <col min="4" max="4" width="10.625" customWidth="1"/>
    <col min="5" max="5" width="10.375" customWidth="1"/>
    <col min="6" max="6" width="53.125" style="122" customWidth="1"/>
    <col min="7" max="7" width="20" style="78" customWidth="1"/>
    <col min="8" max="8" width="32.5" style="78" customWidth="1"/>
    <col min="9" max="9" width="14.5" customWidth="1"/>
    <col min="10" max="10" width="11.5" style="78" customWidth="1"/>
    <col min="11" max="11" width="13.25" style="78" customWidth="1"/>
    <col min="12" max="12" width="12.875" style="78" customWidth="1"/>
    <col min="15" max="15" width="13.75" customWidth="1"/>
    <col min="16" max="16" width="15.875" customWidth="1"/>
    <col min="17" max="17" width="14.625" customWidth="1"/>
    <col min="18" max="18" width="14" customWidth="1"/>
    <col min="19" max="19" width="16" customWidth="1"/>
    <col min="20" max="21" width="12.625" customWidth="1"/>
    <col min="22" max="22" width="19.625" customWidth="1"/>
  </cols>
  <sheetData>
    <row r="1" spans="1:22" ht="30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20" t="s">
        <v>228</v>
      </c>
      <c r="G1" s="80" t="s">
        <v>229</v>
      </c>
      <c r="H1" s="80" t="s">
        <v>230</v>
      </c>
      <c r="I1" s="1" t="s">
        <v>231</v>
      </c>
      <c r="J1" s="138" t="s">
        <v>3444</v>
      </c>
      <c r="K1" s="139" t="s">
        <v>3445</v>
      </c>
      <c r="L1" s="140" t="s">
        <v>3446</v>
      </c>
      <c r="M1" s="1" t="s">
        <v>4027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4025</v>
      </c>
      <c r="U1" s="1" t="s">
        <v>4026</v>
      </c>
      <c r="V1" s="1" t="s">
        <v>3453</v>
      </c>
    </row>
    <row r="2" spans="1:22" ht="28.5">
      <c r="A2" s="1"/>
      <c r="B2" s="1" t="s">
        <v>240</v>
      </c>
      <c r="C2" s="1" t="s">
        <v>3389</v>
      </c>
      <c r="D2" s="5">
        <v>46113</v>
      </c>
      <c r="E2" s="5">
        <v>46113</v>
      </c>
      <c r="F2" s="120" t="s">
        <v>3390</v>
      </c>
      <c r="G2" s="155">
        <v>7697738</v>
      </c>
      <c r="H2" s="80">
        <v>200</v>
      </c>
      <c r="I2" s="1" t="s">
        <v>3391</v>
      </c>
      <c r="J2" s="80"/>
      <c r="K2" s="80"/>
      <c r="L2" s="80"/>
      <c r="M2" s="1"/>
      <c r="N2" s="80">
        <v>200</v>
      </c>
      <c r="O2" s="1"/>
      <c r="P2" s="1"/>
      <c r="Q2" s="1"/>
      <c r="R2" s="1"/>
      <c r="S2" s="1"/>
      <c r="T2" s="1"/>
      <c r="U2" s="1"/>
      <c r="V2" s="1"/>
    </row>
    <row r="3" spans="1:22">
      <c r="A3" s="1"/>
      <c r="B3" s="1" t="s">
        <v>240</v>
      </c>
      <c r="C3" s="1" t="s">
        <v>3389</v>
      </c>
      <c r="D3" s="5">
        <v>46113</v>
      </c>
      <c r="E3" s="5">
        <v>46113</v>
      </c>
      <c r="F3" s="120" t="s">
        <v>3392</v>
      </c>
      <c r="G3" s="80"/>
      <c r="H3" s="80">
        <v>90000</v>
      </c>
      <c r="I3" s="1" t="s">
        <v>3394</v>
      </c>
      <c r="J3" s="80"/>
      <c r="K3" s="80"/>
      <c r="L3" s="80"/>
      <c r="M3" s="1"/>
      <c r="N3" s="80">
        <v>90000</v>
      </c>
      <c r="O3" s="1"/>
      <c r="P3" s="1"/>
      <c r="Q3" s="1"/>
      <c r="R3" s="1"/>
      <c r="S3" s="1"/>
      <c r="T3" s="1"/>
      <c r="U3" s="1"/>
      <c r="V3" s="1"/>
    </row>
    <row r="4" spans="1:22" ht="28.5">
      <c r="A4" s="1"/>
      <c r="B4" s="1" t="s">
        <v>240</v>
      </c>
      <c r="C4" s="1" t="s">
        <v>3395</v>
      </c>
      <c r="D4" s="5">
        <v>46113</v>
      </c>
      <c r="E4" s="5">
        <v>46113</v>
      </c>
      <c r="F4" s="120" t="s">
        <v>2682</v>
      </c>
      <c r="G4" s="80"/>
      <c r="H4" s="80">
        <v>100</v>
      </c>
      <c r="I4" s="1" t="s">
        <v>3396</v>
      </c>
      <c r="J4" s="80"/>
      <c r="K4" s="80"/>
      <c r="L4" s="80"/>
      <c r="M4" s="1"/>
      <c r="N4" s="80">
        <v>100</v>
      </c>
      <c r="O4" s="1"/>
      <c r="P4" s="1"/>
      <c r="Q4" s="1"/>
      <c r="R4" s="1"/>
      <c r="S4" s="1"/>
      <c r="T4" s="1"/>
      <c r="U4" s="1"/>
      <c r="V4" s="1"/>
    </row>
    <row r="5" spans="1:22">
      <c r="A5" s="1"/>
      <c r="B5" s="1" t="s">
        <v>240</v>
      </c>
      <c r="C5" s="1" t="s">
        <v>3395</v>
      </c>
      <c r="D5" s="5">
        <v>46113</v>
      </c>
      <c r="E5" s="5">
        <v>46113</v>
      </c>
      <c r="F5" s="120" t="s">
        <v>2684</v>
      </c>
      <c r="G5" s="80"/>
      <c r="H5" s="80">
        <v>80000</v>
      </c>
      <c r="I5" s="1" t="s">
        <v>3397</v>
      </c>
      <c r="J5" s="80"/>
      <c r="K5" s="80"/>
      <c r="L5" s="80"/>
      <c r="M5" s="1"/>
      <c r="N5" s="80">
        <v>80000</v>
      </c>
      <c r="O5" s="1"/>
      <c r="P5" s="1"/>
      <c r="Q5" s="1"/>
      <c r="R5" s="1"/>
      <c r="S5" s="1"/>
      <c r="T5" s="1"/>
      <c r="U5" s="1"/>
      <c r="V5" s="1"/>
    </row>
    <row r="6" spans="1:22" ht="28.5">
      <c r="A6" s="1"/>
      <c r="B6" s="1" t="s">
        <v>240</v>
      </c>
      <c r="C6" s="1" t="s">
        <v>3398</v>
      </c>
      <c r="D6" s="5">
        <v>46113</v>
      </c>
      <c r="E6" s="5">
        <v>46113</v>
      </c>
      <c r="F6" s="120" t="s">
        <v>3399</v>
      </c>
      <c r="G6" s="80"/>
      <c r="H6" s="142">
        <v>200</v>
      </c>
      <c r="I6" s="1" t="s">
        <v>3400</v>
      </c>
      <c r="J6" s="80"/>
      <c r="K6" s="80"/>
      <c r="L6" s="80"/>
      <c r="M6" s="1"/>
      <c r="N6" s="142">
        <v>200</v>
      </c>
      <c r="O6" s="1"/>
      <c r="P6" s="1"/>
      <c r="Q6" s="1"/>
      <c r="R6" s="1"/>
      <c r="S6" s="1"/>
      <c r="T6" s="1"/>
      <c r="U6" s="1"/>
      <c r="V6" s="1"/>
    </row>
    <row r="7" spans="1:22">
      <c r="A7" s="1"/>
      <c r="B7" s="1" t="s">
        <v>240</v>
      </c>
      <c r="C7" s="1" t="s">
        <v>3398</v>
      </c>
      <c r="D7" s="5">
        <v>46113</v>
      </c>
      <c r="E7" s="5">
        <v>46113</v>
      </c>
      <c r="F7" s="120" t="s">
        <v>3401</v>
      </c>
      <c r="G7" s="80"/>
      <c r="H7" s="80">
        <v>60000</v>
      </c>
      <c r="I7" s="1" t="s">
        <v>3402</v>
      </c>
      <c r="J7" s="80"/>
      <c r="K7" s="80"/>
      <c r="L7" s="80"/>
      <c r="M7" s="1"/>
      <c r="N7" s="80">
        <v>60000</v>
      </c>
      <c r="O7" s="1"/>
      <c r="P7" s="1"/>
      <c r="Q7" s="1"/>
      <c r="R7" s="1"/>
      <c r="S7" s="1"/>
      <c r="T7" s="1"/>
      <c r="U7" s="1"/>
      <c r="V7" s="1"/>
    </row>
    <row r="8" spans="1:22" ht="42.75">
      <c r="A8" s="1" t="s">
        <v>239</v>
      </c>
      <c r="B8" s="1" t="s">
        <v>240</v>
      </c>
      <c r="C8" s="1" t="s">
        <v>3403</v>
      </c>
      <c r="D8" s="5">
        <v>46113</v>
      </c>
      <c r="E8" s="5">
        <v>46113</v>
      </c>
      <c r="F8" s="120" t="s">
        <v>3404</v>
      </c>
      <c r="G8" s="80"/>
      <c r="H8" s="80">
        <v>200</v>
      </c>
      <c r="I8" s="1" t="s">
        <v>3405</v>
      </c>
      <c r="J8" s="80"/>
      <c r="K8" s="80"/>
      <c r="L8" s="80"/>
      <c r="M8" s="1"/>
      <c r="N8" s="1"/>
      <c r="O8" s="1"/>
      <c r="P8" s="1"/>
      <c r="Q8" s="1"/>
      <c r="R8" s="1"/>
      <c r="S8" s="1"/>
      <c r="T8" s="1"/>
      <c r="U8" s="1"/>
      <c r="V8" s="80">
        <v>200</v>
      </c>
    </row>
    <row r="9" spans="1:22" ht="42.75">
      <c r="A9" s="1" t="s">
        <v>239</v>
      </c>
      <c r="B9" s="1" t="s">
        <v>240</v>
      </c>
      <c r="C9" s="1" t="s">
        <v>3403</v>
      </c>
      <c r="D9" s="5">
        <v>46113</v>
      </c>
      <c r="E9" s="5">
        <v>46113</v>
      </c>
      <c r="F9" s="120" t="s">
        <v>3406</v>
      </c>
      <c r="G9" s="80"/>
      <c r="H9" s="80">
        <v>61000</v>
      </c>
      <c r="I9" s="1" t="s">
        <v>3408</v>
      </c>
      <c r="J9" s="80"/>
      <c r="K9" s="80"/>
      <c r="L9" s="80"/>
      <c r="M9" s="1"/>
      <c r="N9" s="1"/>
      <c r="O9" s="1"/>
      <c r="P9" s="1"/>
      <c r="Q9" s="1"/>
      <c r="R9" s="1"/>
      <c r="S9" s="1"/>
      <c r="T9" s="1"/>
      <c r="U9" s="1"/>
      <c r="V9" s="80">
        <v>61000</v>
      </c>
    </row>
    <row r="10" spans="1:22" ht="28.5">
      <c r="A10" s="1" t="s">
        <v>239</v>
      </c>
      <c r="B10" s="1" t="s">
        <v>240</v>
      </c>
      <c r="C10" s="1" t="s">
        <v>3409</v>
      </c>
      <c r="D10" s="5">
        <v>46113</v>
      </c>
      <c r="E10" s="5">
        <v>46113</v>
      </c>
      <c r="F10" s="120" t="s">
        <v>3454</v>
      </c>
      <c r="G10" s="80">
        <v>330000</v>
      </c>
      <c r="H10" s="80"/>
      <c r="I10" s="1" t="s">
        <v>3410</v>
      </c>
      <c r="J10" s="80">
        <v>330000</v>
      </c>
      <c r="K10" s="80"/>
      <c r="L10" s="80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42.75">
      <c r="A11" s="1" t="s">
        <v>239</v>
      </c>
      <c r="B11" s="1" t="s">
        <v>240</v>
      </c>
      <c r="C11" s="1" t="s">
        <v>3411</v>
      </c>
      <c r="D11" s="5">
        <v>46113</v>
      </c>
      <c r="E11" s="5">
        <v>46113</v>
      </c>
      <c r="F11" s="120" t="s">
        <v>2802</v>
      </c>
      <c r="G11" s="80"/>
      <c r="H11" s="80">
        <v>60000</v>
      </c>
      <c r="I11" s="1" t="s">
        <v>3412</v>
      </c>
      <c r="J11" s="80"/>
      <c r="K11" s="80"/>
      <c r="L11" s="80"/>
      <c r="M11" s="80">
        <v>60000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ht="28.5">
      <c r="A12" s="1" t="s">
        <v>239</v>
      </c>
      <c r="B12" s="1" t="s">
        <v>240</v>
      </c>
      <c r="C12" s="1" t="s">
        <v>3413</v>
      </c>
      <c r="D12" s="5">
        <v>46113</v>
      </c>
      <c r="E12" s="5">
        <v>46113</v>
      </c>
      <c r="F12" s="120" t="s">
        <v>3455</v>
      </c>
      <c r="G12" s="80">
        <v>470000</v>
      </c>
      <c r="H12" s="80"/>
      <c r="I12" s="1" t="s">
        <v>3414</v>
      </c>
      <c r="J12" s="80">
        <v>470000</v>
      </c>
      <c r="K12" s="80"/>
      <c r="L12" s="80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8.5">
      <c r="A13" s="1" t="s">
        <v>239</v>
      </c>
      <c r="B13" s="1" t="s">
        <v>240</v>
      </c>
      <c r="C13" s="1" t="s">
        <v>3415</v>
      </c>
      <c r="D13" s="5">
        <v>46114</v>
      </c>
      <c r="E13" s="5">
        <v>46114</v>
      </c>
      <c r="F13" s="120" t="s">
        <v>3416</v>
      </c>
      <c r="G13" s="80"/>
      <c r="H13" s="80">
        <v>1350</v>
      </c>
      <c r="I13" s="1" t="s">
        <v>3417</v>
      </c>
      <c r="J13" s="80"/>
      <c r="K13" s="80"/>
      <c r="L13" s="80"/>
      <c r="M13" s="1"/>
      <c r="N13" s="1"/>
      <c r="O13" s="80">
        <v>1350</v>
      </c>
      <c r="P13" s="1"/>
      <c r="Q13" s="1"/>
      <c r="R13" s="1"/>
      <c r="S13" s="1"/>
      <c r="T13" s="1"/>
      <c r="U13" s="1"/>
      <c r="V13" s="1"/>
    </row>
    <row r="14" spans="1:22" ht="28.5">
      <c r="A14" s="1" t="s">
        <v>239</v>
      </c>
      <c r="B14" s="1" t="s">
        <v>240</v>
      </c>
      <c r="C14" s="1" t="s">
        <v>3415</v>
      </c>
      <c r="D14" s="5">
        <v>46114</v>
      </c>
      <c r="E14" s="5">
        <v>46114</v>
      </c>
      <c r="F14" s="120" t="s">
        <v>3418</v>
      </c>
      <c r="G14" s="80"/>
      <c r="H14" s="80">
        <v>486000</v>
      </c>
      <c r="I14" s="1" t="s">
        <v>3419</v>
      </c>
      <c r="J14" s="80"/>
      <c r="K14" s="80"/>
      <c r="L14" s="80"/>
      <c r="M14" s="1"/>
      <c r="N14" s="1"/>
      <c r="O14" s="80">
        <v>486000</v>
      </c>
      <c r="P14" s="1"/>
      <c r="Q14" s="1"/>
      <c r="R14" s="1"/>
      <c r="S14" s="1"/>
      <c r="T14" s="1"/>
      <c r="U14" s="1"/>
      <c r="V14" s="1"/>
    </row>
    <row r="15" spans="1:22" ht="28.5">
      <c r="A15" s="1" t="s">
        <v>239</v>
      </c>
      <c r="B15" s="1" t="s">
        <v>240</v>
      </c>
      <c r="C15" s="1" t="s">
        <v>3420</v>
      </c>
      <c r="D15" s="5">
        <v>46114</v>
      </c>
      <c r="E15" s="5">
        <v>46114</v>
      </c>
      <c r="F15" s="120" t="s">
        <v>3456</v>
      </c>
      <c r="G15" s="80">
        <v>330000</v>
      </c>
      <c r="H15" s="80"/>
      <c r="I15" s="1" t="s">
        <v>3421</v>
      </c>
      <c r="J15" s="80">
        <v>330000</v>
      </c>
      <c r="K15" s="80"/>
      <c r="L15" s="80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2.75">
      <c r="A16" s="1" t="s">
        <v>239</v>
      </c>
      <c r="B16" s="1" t="s">
        <v>240</v>
      </c>
      <c r="C16" s="1" t="s">
        <v>3457</v>
      </c>
      <c r="D16" s="5">
        <v>46114</v>
      </c>
      <c r="E16" s="5">
        <v>46114</v>
      </c>
      <c r="F16" s="120" t="s">
        <v>3458</v>
      </c>
      <c r="G16" s="80">
        <v>400000</v>
      </c>
      <c r="H16" s="80"/>
      <c r="I16" s="1" t="s">
        <v>3459</v>
      </c>
      <c r="J16" s="80">
        <v>400000</v>
      </c>
      <c r="K16" s="80"/>
      <c r="L16" s="80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42.75">
      <c r="A17" s="1" t="s">
        <v>239</v>
      </c>
      <c r="B17" s="1" t="s">
        <v>240</v>
      </c>
      <c r="C17" s="1" t="s">
        <v>3460</v>
      </c>
      <c r="D17" s="5">
        <v>46114</v>
      </c>
      <c r="E17" s="5">
        <v>46114</v>
      </c>
      <c r="F17" s="120" t="s">
        <v>3461</v>
      </c>
      <c r="G17" s="80">
        <v>360000</v>
      </c>
      <c r="H17" s="80"/>
      <c r="I17" s="1" t="s">
        <v>3462</v>
      </c>
      <c r="J17" s="80">
        <v>360000</v>
      </c>
      <c r="K17" s="80"/>
      <c r="L17" s="80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42.75">
      <c r="A18" s="1" t="s">
        <v>239</v>
      </c>
      <c r="B18" s="1" t="s">
        <v>240</v>
      </c>
      <c r="C18" s="1" t="s">
        <v>3463</v>
      </c>
      <c r="D18" s="5">
        <v>46115</v>
      </c>
      <c r="E18" s="5">
        <v>46115</v>
      </c>
      <c r="F18" s="120" t="s">
        <v>3464</v>
      </c>
      <c r="G18" s="80"/>
      <c r="H18" s="80">
        <v>1350</v>
      </c>
      <c r="I18" s="1" t="s">
        <v>3465</v>
      </c>
      <c r="J18" s="80"/>
      <c r="K18" s="80"/>
      <c r="L18" s="80"/>
      <c r="M18" s="1"/>
      <c r="N18" s="1"/>
      <c r="O18" s="1"/>
      <c r="P18" s="1"/>
      <c r="Q18" s="1"/>
      <c r="R18" s="1"/>
      <c r="S18" s="1"/>
      <c r="T18" s="80">
        <v>1350</v>
      </c>
      <c r="U18" s="80"/>
      <c r="V18" s="80"/>
    </row>
    <row r="19" spans="1:22" ht="42.75">
      <c r="A19" s="1" t="s">
        <v>239</v>
      </c>
      <c r="B19" s="1" t="s">
        <v>240</v>
      </c>
      <c r="C19" s="1" t="s">
        <v>3463</v>
      </c>
      <c r="D19" s="5">
        <v>46115</v>
      </c>
      <c r="E19" s="5">
        <v>46115</v>
      </c>
      <c r="F19" s="120" t="s">
        <v>3466</v>
      </c>
      <c r="G19" s="80"/>
      <c r="H19" s="80">
        <v>153230</v>
      </c>
      <c r="I19" s="1" t="s">
        <v>3467</v>
      </c>
      <c r="J19" s="80"/>
      <c r="K19" s="80"/>
      <c r="L19" s="80"/>
      <c r="M19" s="1"/>
      <c r="N19" s="1"/>
      <c r="O19" s="1"/>
      <c r="P19" s="1"/>
      <c r="Q19" s="1"/>
      <c r="R19" s="1"/>
      <c r="S19" s="1"/>
      <c r="T19" s="80">
        <v>153230</v>
      </c>
      <c r="U19" s="80"/>
      <c r="V19" s="80"/>
    </row>
    <row r="20" spans="1:22" ht="28.5">
      <c r="A20" s="1" t="s">
        <v>239</v>
      </c>
      <c r="B20" s="1" t="s">
        <v>240</v>
      </c>
      <c r="C20" s="1" t="s">
        <v>3468</v>
      </c>
      <c r="D20" s="5">
        <v>46115</v>
      </c>
      <c r="E20" s="5">
        <v>46115</v>
      </c>
      <c r="F20" s="120" t="s">
        <v>3469</v>
      </c>
      <c r="G20" s="80"/>
      <c r="H20" s="80">
        <v>100</v>
      </c>
      <c r="I20" s="1" t="s">
        <v>3470</v>
      </c>
      <c r="J20" s="80"/>
      <c r="K20" s="80"/>
      <c r="L20" s="80"/>
      <c r="M20" s="1"/>
      <c r="N20" s="1"/>
      <c r="O20" s="1"/>
      <c r="P20" s="1"/>
      <c r="Q20" s="1"/>
      <c r="R20" s="1"/>
      <c r="S20" s="1"/>
      <c r="T20" s="1"/>
      <c r="U20" s="80">
        <v>100</v>
      </c>
      <c r="V20" s="1"/>
    </row>
    <row r="21" spans="1:22" ht="42.75">
      <c r="A21" s="1" t="s">
        <v>239</v>
      </c>
      <c r="B21" s="1" t="s">
        <v>240</v>
      </c>
      <c r="C21" s="1" t="s">
        <v>3468</v>
      </c>
      <c r="D21" s="5">
        <v>46115</v>
      </c>
      <c r="E21" s="5">
        <v>46115</v>
      </c>
      <c r="F21" s="120" t="s">
        <v>3471</v>
      </c>
      <c r="G21" s="80"/>
      <c r="H21" s="80">
        <v>10000</v>
      </c>
      <c r="I21" s="1" t="s">
        <v>3472</v>
      </c>
      <c r="J21" s="80"/>
      <c r="K21" s="80"/>
      <c r="L21" s="80"/>
      <c r="M21" s="1"/>
      <c r="N21" s="1"/>
      <c r="O21" s="1"/>
      <c r="P21" s="1"/>
      <c r="Q21" s="1"/>
      <c r="R21" s="1"/>
      <c r="S21" s="1"/>
      <c r="T21" s="1"/>
      <c r="U21" s="80">
        <v>10000</v>
      </c>
      <c r="V21" s="1"/>
    </row>
    <row r="22" spans="1:22" ht="28.5">
      <c r="A22" s="1" t="s">
        <v>239</v>
      </c>
      <c r="B22" s="1" t="s">
        <v>240</v>
      </c>
      <c r="C22" s="1" t="s">
        <v>3473</v>
      </c>
      <c r="D22" s="5">
        <v>46115</v>
      </c>
      <c r="E22" s="5">
        <v>46115</v>
      </c>
      <c r="F22" s="120" t="s">
        <v>3474</v>
      </c>
      <c r="G22" s="80">
        <v>330000</v>
      </c>
      <c r="H22" s="80"/>
      <c r="I22" s="1" t="s">
        <v>3475</v>
      </c>
      <c r="J22" s="80">
        <v>330000</v>
      </c>
      <c r="K22" s="80"/>
      <c r="L22" s="80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8.5">
      <c r="A23" s="1" t="s">
        <v>239</v>
      </c>
      <c r="B23" s="1" t="s">
        <v>240</v>
      </c>
      <c r="C23" s="1" t="s">
        <v>3476</v>
      </c>
      <c r="D23" s="5">
        <v>46115</v>
      </c>
      <c r="E23" s="5">
        <v>46115</v>
      </c>
      <c r="F23" s="120" t="s">
        <v>3477</v>
      </c>
      <c r="G23" s="80">
        <v>320000</v>
      </c>
      <c r="H23" s="80"/>
      <c r="I23" s="1" t="s">
        <v>3478</v>
      </c>
      <c r="J23" s="80">
        <v>320000</v>
      </c>
      <c r="K23" s="80"/>
      <c r="L23" s="80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8.5">
      <c r="A24" s="1" t="s">
        <v>239</v>
      </c>
      <c r="B24" s="1" t="s">
        <v>240</v>
      </c>
      <c r="C24" s="1" t="s">
        <v>3479</v>
      </c>
      <c r="D24" s="5">
        <v>46115</v>
      </c>
      <c r="E24" s="5">
        <v>46115</v>
      </c>
      <c r="F24" s="120" t="s">
        <v>3480</v>
      </c>
      <c r="G24" s="80"/>
      <c r="H24" s="80">
        <v>100</v>
      </c>
      <c r="I24" s="1" t="s">
        <v>3481</v>
      </c>
      <c r="J24" s="80"/>
      <c r="K24" s="80"/>
      <c r="L24" s="80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8.5">
      <c r="A25" s="1" t="s">
        <v>239</v>
      </c>
      <c r="B25" s="1" t="s">
        <v>240</v>
      </c>
      <c r="C25" s="1" t="s">
        <v>3479</v>
      </c>
      <c r="D25" s="5">
        <v>46115</v>
      </c>
      <c r="E25" s="5">
        <v>46115</v>
      </c>
      <c r="F25" s="120" t="s">
        <v>3482</v>
      </c>
      <c r="G25" s="80"/>
      <c r="H25" s="80">
        <v>10000</v>
      </c>
      <c r="I25" s="1" t="s">
        <v>3483</v>
      </c>
      <c r="J25" s="80"/>
      <c r="K25" s="80"/>
      <c r="L25" s="80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42.75">
      <c r="A26" s="1" t="s">
        <v>239</v>
      </c>
      <c r="B26" s="1" t="s">
        <v>240</v>
      </c>
      <c r="C26" s="1" t="s">
        <v>3484</v>
      </c>
      <c r="D26" s="5">
        <v>46115</v>
      </c>
      <c r="E26" s="5">
        <v>46115</v>
      </c>
      <c r="F26" s="120" t="s">
        <v>3485</v>
      </c>
      <c r="G26" s="80"/>
      <c r="H26" s="80">
        <v>100</v>
      </c>
      <c r="I26" s="1" t="s">
        <v>3486</v>
      </c>
      <c r="J26" s="80"/>
      <c r="K26" s="80"/>
      <c r="L26" s="80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42.75">
      <c r="A27" s="1" t="s">
        <v>239</v>
      </c>
      <c r="B27" s="1" t="s">
        <v>240</v>
      </c>
      <c r="C27" s="1" t="s">
        <v>3484</v>
      </c>
      <c r="D27" s="5">
        <v>46115</v>
      </c>
      <c r="E27" s="5">
        <v>46115</v>
      </c>
      <c r="F27" s="120" t="s">
        <v>3487</v>
      </c>
      <c r="G27" s="80"/>
      <c r="H27" s="80">
        <v>500000</v>
      </c>
      <c r="I27" s="1" t="s">
        <v>3488</v>
      </c>
      <c r="J27" s="80"/>
      <c r="K27" s="80"/>
      <c r="L27" s="80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8.5">
      <c r="A28" s="1" t="s">
        <v>239</v>
      </c>
      <c r="B28" s="1" t="s">
        <v>240</v>
      </c>
      <c r="C28" s="1" t="s">
        <v>3489</v>
      </c>
      <c r="D28" s="5">
        <v>46115</v>
      </c>
      <c r="E28" s="5">
        <v>46115</v>
      </c>
      <c r="F28" s="120" t="s">
        <v>3490</v>
      </c>
      <c r="G28" s="80"/>
      <c r="H28" s="80">
        <v>100</v>
      </c>
      <c r="I28" s="1" t="s">
        <v>3491</v>
      </c>
      <c r="J28" s="80"/>
      <c r="K28" s="80"/>
      <c r="L28" s="80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42.75">
      <c r="A29" s="1" t="s">
        <v>239</v>
      </c>
      <c r="B29" s="1" t="s">
        <v>240</v>
      </c>
      <c r="C29" s="1" t="s">
        <v>3489</v>
      </c>
      <c r="D29" s="5">
        <v>46115</v>
      </c>
      <c r="E29" s="5">
        <v>46115</v>
      </c>
      <c r="F29" s="120" t="s">
        <v>3492</v>
      </c>
      <c r="G29" s="80"/>
      <c r="H29" s="80">
        <v>10000</v>
      </c>
      <c r="I29" s="1" t="s">
        <v>3493</v>
      </c>
      <c r="J29" s="80"/>
      <c r="K29" s="80"/>
      <c r="L29" s="80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42.75">
      <c r="A30" s="1" t="s">
        <v>239</v>
      </c>
      <c r="B30" s="1" t="s">
        <v>240</v>
      </c>
      <c r="C30" s="1" t="s">
        <v>3494</v>
      </c>
      <c r="D30" s="5">
        <v>46116</v>
      </c>
      <c r="E30" s="5">
        <v>46116</v>
      </c>
      <c r="F30" s="120" t="s">
        <v>3495</v>
      </c>
      <c r="G30" s="80"/>
      <c r="H30" s="80">
        <v>100</v>
      </c>
      <c r="I30" s="1" t="s">
        <v>3496</v>
      </c>
      <c r="J30" s="80"/>
      <c r="K30" s="80"/>
      <c r="L30" s="80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42.75">
      <c r="A31" s="1" t="s">
        <v>239</v>
      </c>
      <c r="B31" s="1" t="s">
        <v>240</v>
      </c>
      <c r="C31" s="1" t="s">
        <v>3494</v>
      </c>
      <c r="D31" s="5">
        <v>46116</v>
      </c>
      <c r="E31" s="5">
        <v>46116</v>
      </c>
      <c r="F31" s="120" t="s">
        <v>3497</v>
      </c>
      <c r="G31" s="80"/>
      <c r="H31" s="142">
        <v>10000</v>
      </c>
      <c r="I31" s="1" t="s">
        <v>3498</v>
      </c>
      <c r="J31" s="80"/>
      <c r="K31" s="80"/>
      <c r="L31" s="80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 t="s">
        <v>240</v>
      </c>
      <c r="C32" s="1" t="s">
        <v>3499</v>
      </c>
      <c r="D32" s="5">
        <v>46116</v>
      </c>
      <c r="E32" s="5">
        <v>46116</v>
      </c>
      <c r="F32" s="120" t="s">
        <v>3500</v>
      </c>
      <c r="G32" s="80">
        <v>370000</v>
      </c>
      <c r="H32" s="80"/>
      <c r="I32" s="1" t="s">
        <v>3501</v>
      </c>
      <c r="J32" s="80">
        <v>370000</v>
      </c>
      <c r="K32" s="80"/>
      <c r="L32" s="80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8.5">
      <c r="A33" s="1"/>
      <c r="B33" s="1" t="s">
        <v>240</v>
      </c>
      <c r="C33" s="1" t="s">
        <v>3502</v>
      </c>
      <c r="D33" s="5">
        <v>46117</v>
      </c>
      <c r="E33" s="5">
        <v>46117</v>
      </c>
      <c r="F33" s="120" t="s">
        <v>3503</v>
      </c>
      <c r="G33" s="142">
        <v>330000</v>
      </c>
      <c r="H33" s="80"/>
      <c r="I33" s="1" t="s">
        <v>3504</v>
      </c>
      <c r="J33" s="80">
        <v>330000</v>
      </c>
      <c r="K33" s="80"/>
      <c r="L33" s="80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 t="s">
        <v>240</v>
      </c>
      <c r="C34" s="1" t="s">
        <v>3505</v>
      </c>
      <c r="D34" s="5">
        <v>46118</v>
      </c>
      <c r="E34" s="5">
        <v>46118</v>
      </c>
      <c r="F34" s="120" t="s">
        <v>4808</v>
      </c>
      <c r="G34" s="141">
        <v>370000</v>
      </c>
      <c r="H34" s="80"/>
      <c r="I34" s="1" t="s">
        <v>3506</v>
      </c>
      <c r="J34" s="141">
        <v>370000</v>
      </c>
      <c r="K34" s="80"/>
      <c r="L34" s="80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42.75">
      <c r="A35" s="1" t="s">
        <v>239</v>
      </c>
      <c r="B35" s="1" t="s">
        <v>240</v>
      </c>
      <c r="C35" s="1" t="s">
        <v>3507</v>
      </c>
      <c r="D35" s="5">
        <v>46120</v>
      </c>
      <c r="E35" s="5">
        <v>46120</v>
      </c>
      <c r="F35" s="120" t="s">
        <v>3508</v>
      </c>
      <c r="G35" s="80"/>
      <c r="H35" s="80">
        <v>200</v>
      </c>
      <c r="I35" s="1" t="s">
        <v>3509</v>
      </c>
      <c r="J35" s="80"/>
      <c r="K35" s="80"/>
      <c r="L35" s="80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42.75">
      <c r="A36" s="1" t="s">
        <v>239</v>
      </c>
      <c r="B36" s="1" t="s">
        <v>240</v>
      </c>
      <c r="C36" s="1" t="s">
        <v>3507</v>
      </c>
      <c r="D36" s="5">
        <v>46120</v>
      </c>
      <c r="E36" s="5">
        <v>46120</v>
      </c>
      <c r="F36" s="120" t="s">
        <v>3510</v>
      </c>
      <c r="G36" s="80"/>
      <c r="H36" s="142">
        <v>35000</v>
      </c>
      <c r="I36" s="1" t="s">
        <v>3511</v>
      </c>
      <c r="J36" s="80"/>
      <c r="K36" s="80"/>
      <c r="L36" s="80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8.5">
      <c r="A37" s="1" t="s">
        <v>239</v>
      </c>
      <c r="B37" s="1" t="s">
        <v>240</v>
      </c>
      <c r="C37" s="1" t="s">
        <v>3512</v>
      </c>
      <c r="D37" s="5">
        <v>46121</v>
      </c>
      <c r="E37" s="5">
        <v>46121</v>
      </c>
      <c r="F37" s="120" t="s">
        <v>3513</v>
      </c>
      <c r="G37" s="80">
        <v>1000000</v>
      </c>
      <c r="H37" s="80"/>
      <c r="I37" s="1" t="s">
        <v>3514</v>
      </c>
      <c r="J37" s="80">
        <v>1000000</v>
      </c>
      <c r="K37" s="80"/>
      <c r="L37" s="80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8.5">
      <c r="A38" s="1" t="s">
        <v>540</v>
      </c>
      <c r="B38" s="1" t="s">
        <v>240</v>
      </c>
      <c r="C38" s="1" t="s">
        <v>3515</v>
      </c>
      <c r="D38" s="5">
        <v>46121</v>
      </c>
      <c r="E38" s="5">
        <v>46121</v>
      </c>
      <c r="F38" s="120" t="s">
        <v>3280</v>
      </c>
      <c r="G38" s="80">
        <v>330000</v>
      </c>
      <c r="H38" s="80"/>
      <c r="I38" s="1" t="s">
        <v>3516</v>
      </c>
      <c r="J38" s="80">
        <v>330000</v>
      </c>
      <c r="K38" s="80"/>
      <c r="L38" s="80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42.75">
      <c r="A39" s="1" t="s">
        <v>239</v>
      </c>
      <c r="B39" s="1" t="s">
        <v>240</v>
      </c>
      <c r="C39" s="1" t="s">
        <v>3517</v>
      </c>
      <c r="D39" s="5">
        <v>46121</v>
      </c>
      <c r="E39" s="5">
        <v>46121</v>
      </c>
      <c r="F39" s="120" t="s">
        <v>3518</v>
      </c>
      <c r="G39" s="80"/>
      <c r="H39" s="80">
        <v>223500</v>
      </c>
      <c r="I39" s="1" t="s">
        <v>3519</v>
      </c>
      <c r="J39" s="80"/>
      <c r="K39" s="80"/>
      <c r="L39" s="80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42.75">
      <c r="A40" s="1" t="s">
        <v>239</v>
      </c>
      <c r="B40" s="1" t="s">
        <v>240</v>
      </c>
      <c r="C40" s="1" t="s">
        <v>3520</v>
      </c>
      <c r="D40" s="5">
        <v>46121</v>
      </c>
      <c r="E40" s="5">
        <v>46121</v>
      </c>
      <c r="F40" s="120" t="s">
        <v>3521</v>
      </c>
      <c r="G40" s="80"/>
      <c r="H40" s="80">
        <v>100</v>
      </c>
      <c r="I40" s="1" t="s">
        <v>3522</v>
      </c>
      <c r="J40" s="80"/>
      <c r="K40" s="80"/>
      <c r="L40" s="80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42.75">
      <c r="A41" s="1" t="s">
        <v>239</v>
      </c>
      <c r="B41" s="1" t="s">
        <v>240</v>
      </c>
      <c r="C41" s="1" t="s">
        <v>3520</v>
      </c>
      <c r="D41" s="5">
        <v>46121</v>
      </c>
      <c r="E41" s="5">
        <v>46121</v>
      </c>
      <c r="F41" s="120" t="s">
        <v>3523</v>
      </c>
      <c r="G41" s="80"/>
      <c r="H41" s="80">
        <v>6500</v>
      </c>
      <c r="I41" s="1" t="s">
        <v>3524</v>
      </c>
      <c r="J41" s="80"/>
      <c r="K41" s="80"/>
      <c r="L41" s="80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42.75">
      <c r="A42" s="1" t="s">
        <v>239</v>
      </c>
      <c r="B42" s="1" t="s">
        <v>240</v>
      </c>
      <c r="C42" s="1" t="s">
        <v>3525</v>
      </c>
      <c r="D42" s="5">
        <v>46121</v>
      </c>
      <c r="E42" s="5">
        <v>46121</v>
      </c>
      <c r="F42" s="120" t="s">
        <v>3526</v>
      </c>
      <c r="G42" s="80"/>
      <c r="H42" s="80">
        <v>4000</v>
      </c>
      <c r="I42" s="1" t="s">
        <v>3527</v>
      </c>
      <c r="J42" s="80"/>
      <c r="K42" s="80"/>
      <c r="L42" s="80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8.5">
      <c r="A43" s="1" t="s">
        <v>239</v>
      </c>
      <c r="B43" s="1" t="s">
        <v>240</v>
      </c>
      <c r="C43" s="1" t="s">
        <v>3528</v>
      </c>
      <c r="D43" s="5">
        <v>46121</v>
      </c>
      <c r="E43" s="5">
        <v>46121</v>
      </c>
      <c r="F43" s="120" t="s">
        <v>3529</v>
      </c>
      <c r="G43" s="80"/>
      <c r="H43" s="80">
        <v>100</v>
      </c>
      <c r="I43" s="1" t="s">
        <v>3530</v>
      </c>
      <c r="J43" s="80"/>
      <c r="K43" s="80"/>
      <c r="L43" s="80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42.75">
      <c r="A44" s="1" t="s">
        <v>239</v>
      </c>
      <c r="B44" s="1" t="s">
        <v>240</v>
      </c>
      <c r="C44" s="1" t="s">
        <v>3528</v>
      </c>
      <c r="D44" s="5">
        <v>46121</v>
      </c>
      <c r="E44" s="5">
        <v>46121</v>
      </c>
      <c r="F44" s="120" t="s">
        <v>3531</v>
      </c>
      <c r="G44" s="80"/>
      <c r="H44" s="80">
        <v>7000</v>
      </c>
      <c r="I44" s="1" t="s">
        <v>3532</v>
      </c>
      <c r="J44" s="80"/>
      <c r="K44" s="80"/>
      <c r="L44" s="80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8.5">
      <c r="A45" s="1" t="s">
        <v>239</v>
      </c>
      <c r="B45" s="1" t="s">
        <v>240</v>
      </c>
      <c r="C45" s="1" t="s">
        <v>3533</v>
      </c>
      <c r="D45" s="5">
        <v>46122</v>
      </c>
      <c r="E45" s="5">
        <v>46122</v>
      </c>
      <c r="F45" s="120" t="s">
        <v>3534</v>
      </c>
      <c r="G45" s="80">
        <v>180000</v>
      </c>
      <c r="H45" s="80"/>
      <c r="I45" s="1" t="s">
        <v>3535</v>
      </c>
      <c r="J45" s="80">
        <v>180000</v>
      </c>
      <c r="K45" s="80"/>
      <c r="L45" s="80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8.5">
      <c r="A46" s="1" t="s">
        <v>239</v>
      </c>
      <c r="B46" s="1" t="s">
        <v>240</v>
      </c>
      <c r="C46" s="1" t="s">
        <v>3536</v>
      </c>
      <c r="D46" s="5">
        <v>46122</v>
      </c>
      <c r="E46" s="5">
        <v>46122</v>
      </c>
      <c r="F46" s="120" t="s">
        <v>3537</v>
      </c>
      <c r="G46" s="80"/>
      <c r="H46" s="80">
        <v>200</v>
      </c>
      <c r="I46" s="1" t="s">
        <v>3538</v>
      </c>
      <c r="J46" s="80"/>
      <c r="K46" s="80"/>
      <c r="L46" s="80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42.75">
      <c r="A47" s="1" t="s">
        <v>239</v>
      </c>
      <c r="B47" s="1" t="s">
        <v>240</v>
      </c>
      <c r="C47" s="1" t="s">
        <v>3536</v>
      </c>
      <c r="D47" s="5">
        <v>46122</v>
      </c>
      <c r="E47" s="5">
        <v>46122</v>
      </c>
      <c r="F47" s="120" t="s">
        <v>3539</v>
      </c>
      <c r="G47" s="80"/>
      <c r="H47" s="80">
        <v>15000</v>
      </c>
      <c r="I47" s="1" t="s">
        <v>3540</v>
      </c>
      <c r="J47" s="80"/>
      <c r="K47" s="80"/>
      <c r="L47" s="80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42.75">
      <c r="A48" s="1" t="s">
        <v>239</v>
      </c>
      <c r="B48" s="1" t="s">
        <v>240</v>
      </c>
      <c r="C48" s="1" t="s">
        <v>3541</v>
      </c>
      <c r="D48" s="5">
        <v>46122</v>
      </c>
      <c r="E48" s="5">
        <v>46122</v>
      </c>
      <c r="F48" s="120" t="s">
        <v>3542</v>
      </c>
      <c r="G48" s="80"/>
      <c r="H48" s="80">
        <v>80000</v>
      </c>
      <c r="I48" s="1" t="s">
        <v>3543</v>
      </c>
      <c r="J48" s="80"/>
      <c r="K48" s="80"/>
      <c r="L48" s="80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42.75">
      <c r="A49" s="1" t="s">
        <v>239</v>
      </c>
      <c r="B49" s="1" t="s">
        <v>240</v>
      </c>
      <c r="C49" s="1" t="s">
        <v>3544</v>
      </c>
      <c r="D49" s="5">
        <v>46122</v>
      </c>
      <c r="E49" s="5">
        <v>46122</v>
      </c>
      <c r="F49" s="120" t="s">
        <v>3545</v>
      </c>
      <c r="G49" s="80"/>
      <c r="H49" s="80">
        <v>200</v>
      </c>
      <c r="I49" s="1" t="s">
        <v>3546</v>
      </c>
      <c r="J49" s="80"/>
      <c r="K49" s="80"/>
      <c r="L49" s="80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42.75">
      <c r="A50" s="1" t="s">
        <v>239</v>
      </c>
      <c r="B50" s="1" t="s">
        <v>240</v>
      </c>
      <c r="C50" s="1" t="s">
        <v>3544</v>
      </c>
      <c r="D50" s="5">
        <v>46122</v>
      </c>
      <c r="E50" s="5">
        <v>46122</v>
      </c>
      <c r="F50" s="120" t="s">
        <v>3547</v>
      </c>
      <c r="G50" s="80"/>
      <c r="H50" s="80">
        <v>11000</v>
      </c>
      <c r="I50" s="1" t="s">
        <v>3548</v>
      </c>
      <c r="J50" s="80"/>
      <c r="K50" s="80"/>
      <c r="L50" s="80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42.75">
      <c r="A51" s="1" t="s">
        <v>239</v>
      </c>
      <c r="B51" s="1" t="s">
        <v>240</v>
      </c>
      <c r="C51" s="1" t="s">
        <v>3549</v>
      </c>
      <c r="D51" s="5">
        <v>46123</v>
      </c>
      <c r="E51" s="5">
        <v>46123</v>
      </c>
      <c r="F51" s="120" t="s">
        <v>3550</v>
      </c>
      <c r="G51" s="80"/>
      <c r="H51" s="80">
        <v>100</v>
      </c>
      <c r="I51" s="1" t="s">
        <v>3551</v>
      </c>
      <c r="J51" s="80"/>
      <c r="K51" s="80"/>
      <c r="L51" s="80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42.75">
      <c r="A52" s="1" t="s">
        <v>239</v>
      </c>
      <c r="B52" s="1" t="s">
        <v>240</v>
      </c>
      <c r="C52" s="1" t="s">
        <v>3549</v>
      </c>
      <c r="D52" s="5">
        <v>46123</v>
      </c>
      <c r="E52" s="5">
        <v>46123</v>
      </c>
      <c r="F52" s="120" t="s">
        <v>3552</v>
      </c>
      <c r="G52" s="80"/>
      <c r="H52" s="80">
        <v>200000</v>
      </c>
      <c r="I52" s="1" t="s">
        <v>3553</v>
      </c>
      <c r="J52" s="80"/>
      <c r="K52" s="80"/>
      <c r="L52" s="80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42.75">
      <c r="A53" s="1" t="s">
        <v>239</v>
      </c>
      <c r="B53" s="1" t="s">
        <v>240</v>
      </c>
      <c r="C53" s="1" t="s">
        <v>3554</v>
      </c>
      <c r="D53" s="5">
        <v>46123</v>
      </c>
      <c r="E53" s="5">
        <v>46123</v>
      </c>
      <c r="F53" s="120" t="s">
        <v>3555</v>
      </c>
      <c r="G53" s="80"/>
      <c r="H53" s="80">
        <v>28000</v>
      </c>
      <c r="I53" s="1" t="s">
        <v>3556</v>
      </c>
      <c r="J53" s="80"/>
      <c r="K53" s="80"/>
      <c r="L53" s="80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42.75">
      <c r="A54" s="1" t="s">
        <v>239</v>
      </c>
      <c r="B54" s="1" t="s">
        <v>240</v>
      </c>
      <c r="C54" s="1" t="s">
        <v>3557</v>
      </c>
      <c r="D54" s="5">
        <v>46125</v>
      </c>
      <c r="E54" s="5">
        <v>46125</v>
      </c>
      <c r="F54" s="120" t="s">
        <v>3558</v>
      </c>
      <c r="G54" s="80"/>
      <c r="H54" s="80">
        <v>1350</v>
      </c>
      <c r="I54" s="1" t="s">
        <v>3559</v>
      </c>
      <c r="J54" s="80"/>
      <c r="K54" s="80"/>
      <c r="L54" s="80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42.75">
      <c r="A55" s="1" t="s">
        <v>239</v>
      </c>
      <c r="B55" s="1" t="s">
        <v>240</v>
      </c>
      <c r="C55" s="1" t="s">
        <v>3557</v>
      </c>
      <c r="D55" s="5">
        <v>46125</v>
      </c>
      <c r="E55" s="5">
        <v>46125</v>
      </c>
      <c r="F55" s="120" t="s">
        <v>3560</v>
      </c>
      <c r="G55" s="80"/>
      <c r="H55" s="142">
        <v>180000</v>
      </c>
      <c r="I55" s="1" t="s">
        <v>3561</v>
      </c>
      <c r="J55" s="80"/>
      <c r="K55" s="80"/>
      <c r="L55" s="80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42.75">
      <c r="A56" s="1" t="s">
        <v>239</v>
      </c>
      <c r="B56" s="1" t="s">
        <v>240</v>
      </c>
      <c r="C56" s="1" t="s">
        <v>3562</v>
      </c>
      <c r="D56" s="5">
        <v>46125</v>
      </c>
      <c r="E56" s="5">
        <v>46125</v>
      </c>
      <c r="F56" s="120" t="s">
        <v>3563</v>
      </c>
      <c r="G56" s="80"/>
      <c r="H56" s="142">
        <v>1350</v>
      </c>
      <c r="I56" s="1" t="s">
        <v>3564</v>
      </c>
      <c r="J56" s="80"/>
      <c r="K56" s="80"/>
      <c r="L56" s="80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42.75">
      <c r="A57" s="1" t="s">
        <v>239</v>
      </c>
      <c r="B57" s="1" t="s">
        <v>240</v>
      </c>
      <c r="C57" s="1" t="s">
        <v>3562</v>
      </c>
      <c r="D57" s="5">
        <v>46125</v>
      </c>
      <c r="E57" s="5">
        <v>46125</v>
      </c>
      <c r="F57" s="120" t="s">
        <v>3565</v>
      </c>
      <c r="G57" s="80"/>
      <c r="H57" s="80">
        <v>200000</v>
      </c>
      <c r="I57" s="1" t="s">
        <v>3566</v>
      </c>
      <c r="J57" s="80"/>
      <c r="K57" s="80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42.75">
      <c r="A58" s="1" t="s">
        <v>239</v>
      </c>
      <c r="B58" s="1" t="s">
        <v>240</v>
      </c>
      <c r="C58" s="1" t="s">
        <v>3567</v>
      </c>
      <c r="D58" s="5">
        <v>46125</v>
      </c>
      <c r="E58" s="5">
        <v>46125</v>
      </c>
      <c r="F58" s="120" t="s">
        <v>3568</v>
      </c>
      <c r="G58" s="80"/>
      <c r="H58" s="142">
        <v>200</v>
      </c>
      <c r="I58" s="1" t="s">
        <v>3569</v>
      </c>
      <c r="J58" s="80"/>
      <c r="K58" s="80"/>
      <c r="L58" s="80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42.75">
      <c r="A59" s="1" t="s">
        <v>239</v>
      </c>
      <c r="B59" s="1" t="s">
        <v>240</v>
      </c>
      <c r="C59" s="1" t="s">
        <v>3567</v>
      </c>
      <c r="D59" s="5">
        <v>46125</v>
      </c>
      <c r="E59" s="5">
        <v>46125</v>
      </c>
      <c r="F59" s="120" t="s">
        <v>3570</v>
      </c>
      <c r="G59" s="80"/>
      <c r="H59" s="80">
        <v>20000</v>
      </c>
      <c r="I59" s="1" t="s">
        <v>3571</v>
      </c>
      <c r="J59" s="80"/>
      <c r="K59" s="80"/>
      <c r="L59" s="80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42.75">
      <c r="A60" s="1" t="s">
        <v>239</v>
      </c>
      <c r="B60" s="1" t="s">
        <v>240</v>
      </c>
      <c r="C60" s="1" t="s">
        <v>3572</v>
      </c>
      <c r="D60" s="5">
        <v>46126</v>
      </c>
      <c r="E60" s="5">
        <v>46126</v>
      </c>
      <c r="F60" s="120" t="s">
        <v>1064</v>
      </c>
      <c r="G60" s="80"/>
      <c r="H60" s="80">
        <v>152608</v>
      </c>
      <c r="I60" s="1" t="s">
        <v>3573</v>
      </c>
      <c r="J60" s="80"/>
      <c r="K60" s="80"/>
      <c r="L60" s="80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42.75">
      <c r="A61" s="1" t="s">
        <v>239</v>
      </c>
      <c r="B61" s="1" t="s">
        <v>240</v>
      </c>
      <c r="C61" s="1" t="s">
        <v>3574</v>
      </c>
      <c r="D61" s="5">
        <v>46126</v>
      </c>
      <c r="E61" s="5">
        <v>46126</v>
      </c>
      <c r="F61" s="120" t="s">
        <v>3575</v>
      </c>
      <c r="G61" s="80"/>
      <c r="H61" s="80">
        <v>100</v>
      </c>
      <c r="I61" s="1" t="s">
        <v>3576</v>
      </c>
      <c r="J61" s="80"/>
      <c r="K61" s="80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42.75">
      <c r="A62" s="1" t="s">
        <v>239</v>
      </c>
      <c r="B62" s="1" t="s">
        <v>240</v>
      </c>
      <c r="C62" s="1" t="s">
        <v>3574</v>
      </c>
      <c r="D62" s="5">
        <v>46126</v>
      </c>
      <c r="E62" s="5">
        <v>46126</v>
      </c>
      <c r="F62" s="120" t="s">
        <v>3577</v>
      </c>
      <c r="G62" s="80"/>
      <c r="H62" s="80">
        <v>10000</v>
      </c>
      <c r="I62" s="1" t="s">
        <v>3578</v>
      </c>
      <c r="J62" s="80"/>
      <c r="K62" s="80"/>
      <c r="L62" s="80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8.5">
      <c r="A63" s="1" t="s">
        <v>239</v>
      </c>
      <c r="B63" s="1" t="s">
        <v>240</v>
      </c>
      <c r="C63" s="1" t="s">
        <v>3579</v>
      </c>
      <c r="D63" s="5">
        <v>46126</v>
      </c>
      <c r="E63" s="5">
        <v>46126</v>
      </c>
      <c r="F63" s="120" t="s">
        <v>3580</v>
      </c>
      <c r="G63" s="80"/>
      <c r="H63" s="80">
        <v>107702</v>
      </c>
      <c r="I63" s="1" t="s">
        <v>3581</v>
      </c>
      <c r="J63" s="80"/>
      <c r="K63" s="80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42.75">
      <c r="A64" s="1" t="s">
        <v>239</v>
      </c>
      <c r="B64" s="1" t="s">
        <v>240</v>
      </c>
      <c r="C64" s="1" t="s">
        <v>3582</v>
      </c>
      <c r="D64" s="5">
        <v>46126</v>
      </c>
      <c r="E64" s="5">
        <v>46126</v>
      </c>
      <c r="F64" s="120" t="s">
        <v>3583</v>
      </c>
      <c r="G64" s="80"/>
      <c r="H64" s="142">
        <v>20000</v>
      </c>
      <c r="I64" s="1" t="s">
        <v>3584</v>
      </c>
      <c r="J64" s="80"/>
      <c r="K64" s="80"/>
      <c r="L64" s="80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42.75">
      <c r="A65" s="1" t="s">
        <v>239</v>
      </c>
      <c r="B65" s="1" t="s">
        <v>240</v>
      </c>
      <c r="C65" s="1" t="s">
        <v>3585</v>
      </c>
      <c r="D65" s="5">
        <v>46126</v>
      </c>
      <c r="E65" s="5">
        <v>46126</v>
      </c>
      <c r="F65" s="120" t="s">
        <v>3586</v>
      </c>
      <c r="G65" s="80"/>
      <c r="H65" s="80">
        <v>100</v>
      </c>
      <c r="I65" s="1" t="s">
        <v>3587</v>
      </c>
      <c r="J65" s="80"/>
      <c r="K65" s="80"/>
      <c r="L65" s="80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42.75">
      <c r="A66" s="1" t="s">
        <v>239</v>
      </c>
      <c r="B66" s="1" t="s">
        <v>240</v>
      </c>
      <c r="C66" s="1" t="s">
        <v>3585</v>
      </c>
      <c r="D66" s="5">
        <v>46126</v>
      </c>
      <c r="E66" s="5">
        <v>46126</v>
      </c>
      <c r="F66" s="120" t="s">
        <v>3588</v>
      </c>
      <c r="G66" s="80"/>
      <c r="H66" s="80">
        <v>9000</v>
      </c>
      <c r="I66" s="1" t="s">
        <v>3589</v>
      </c>
      <c r="J66" s="80"/>
      <c r="K66" s="80"/>
      <c r="L66" s="80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42.75">
      <c r="A67" s="1" t="s">
        <v>239</v>
      </c>
      <c r="B67" s="1" t="s">
        <v>240</v>
      </c>
      <c r="C67" s="1" t="s">
        <v>3590</v>
      </c>
      <c r="D67" s="5">
        <v>46126</v>
      </c>
      <c r="E67" s="5">
        <v>46126</v>
      </c>
      <c r="F67" s="120" t="s">
        <v>3591</v>
      </c>
      <c r="G67" s="80">
        <v>150000</v>
      </c>
      <c r="H67" s="80"/>
      <c r="I67" s="1" t="s">
        <v>3592</v>
      </c>
      <c r="J67" s="80">
        <v>150000</v>
      </c>
      <c r="K67" s="80"/>
      <c r="L67" s="80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8.5">
      <c r="A68" s="1" t="s">
        <v>239</v>
      </c>
      <c r="B68" s="1" t="s">
        <v>240</v>
      </c>
      <c r="C68" s="1" t="s">
        <v>3593</v>
      </c>
      <c r="D68" s="5">
        <v>46126</v>
      </c>
      <c r="E68" s="5">
        <v>46126</v>
      </c>
      <c r="F68" s="120" t="s">
        <v>3594</v>
      </c>
      <c r="G68" s="80"/>
      <c r="H68" s="80">
        <v>200</v>
      </c>
      <c r="I68" s="1" t="s">
        <v>3595</v>
      </c>
      <c r="J68" s="80"/>
      <c r="K68" s="80"/>
      <c r="L68" s="80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8.5">
      <c r="A69" s="1" t="s">
        <v>239</v>
      </c>
      <c r="B69" s="1" t="s">
        <v>240</v>
      </c>
      <c r="C69" s="1" t="s">
        <v>3593</v>
      </c>
      <c r="D69" s="5">
        <v>46126</v>
      </c>
      <c r="E69" s="5">
        <v>46126</v>
      </c>
      <c r="F69" s="120" t="s">
        <v>3596</v>
      </c>
      <c r="G69" s="80"/>
      <c r="H69" s="80">
        <v>30000</v>
      </c>
      <c r="I69" s="1" t="s">
        <v>3597</v>
      </c>
      <c r="J69" s="80"/>
      <c r="K69" s="80"/>
      <c r="L69" s="80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42.75">
      <c r="A70" s="1" t="s">
        <v>239</v>
      </c>
      <c r="B70" s="1" t="s">
        <v>240</v>
      </c>
      <c r="C70" s="1" t="s">
        <v>3598</v>
      </c>
      <c r="D70" s="5">
        <v>46127</v>
      </c>
      <c r="E70" s="5">
        <v>46127</v>
      </c>
      <c r="F70" s="120" t="s">
        <v>3599</v>
      </c>
      <c r="G70" s="80">
        <v>600000</v>
      </c>
      <c r="H70" s="80"/>
      <c r="I70" s="1" t="s">
        <v>3600</v>
      </c>
      <c r="J70" s="80">
        <v>600000</v>
      </c>
      <c r="K70" s="80"/>
      <c r="L70" s="80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42.75">
      <c r="A71" s="1" t="s">
        <v>239</v>
      </c>
      <c r="B71" s="1" t="s">
        <v>240</v>
      </c>
      <c r="C71" s="1" t="s">
        <v>3601</v>
      </c>
      <c r="D71" s="5">
        <v>46127</v>
      </c>
      <c r="E71" s="5">
        <v>46127</v>
      </c>
      <c r="F71" s="120" t="s">
        <v>3602</v>
      </c>
      <c r="G71" s="80"/>
      <c r="H71" s="80">
        <v>200</v>
      </c>
      <c r="I71" s="1" t="s">
        <v>3603</v>
      </c>
      <c r="J71" s="80"/>
      <c r="K71" s="80"/>
      <c r="L71" s="80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42.75">
      <c r="A72" s="1" t="s">
        <v>239</v>
      </c>
      <c r="B72" s="1" t="s">
        <v>240</v>
      </c>
      <c r="C72" s="1" t="s">
        <v>3601</v>
      </c>
      <c r="D72" s="5">
        <v>46127</v>
      </c>
      <c r="E72" s="5">
        <v>46127</v>
      </c>
      <c r="F72" s="120" t="s">
        <v>3604</v>
      </c>
      <c r="G72" s="80"/>
      <c r="H72" s="80">
        <v>25000</v>
      </c>
      <c r="I72" s="1" t="s">
        <v>3605</v>
      </c>
      <c r="J72" s="80"/>
      <c r="K72" s="80"/>
      <c r="L72" s="80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42.75">
      <c r="A73" s="1" t="s">
        <v>239</v>
      </c>
      <c r="B73" s="1" t="s">
        <v>240</v>
      </c>
      <c r="C73" s="1" t="s">
        <v>3606</v>
      </c>
      <c r="D73" s="5">
        <v>46127</v>
      </c>
      <c r="E73" s="5">
        <v>46127</v>
      </c>
      <c r="F73" s="120" t="s">
        <v>3607</v>
      </c>
      <c r="G73" s="80"/>
      <c r="H73" s="80">
        <v>200</v>
      </c>
      <c r="I73" s="1" t="s">
        <v>3608</v>
      </c>
      <c r="J73" s="80"/>
      <c r="K73" s="80"/>
      <c r="L73" s="80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42.75">
      <c r="A74" s="1" t="s">
        <v>239</v>
      </c>
      <c r="B74" s="1" t="s">
        <v>240</v>
      </c>
      <c r="C74" s="1" t="s">
        <v>3606</v>
      </c>
      <c r="D74" s="5">
        <v>46127</v>
      </c>
      <c r="E74" s="5">
        <v>46127</v>
      </c>
      <c r="F74" s="120" t="s">
        <v>3609</v>
      </c>
      <c r="G74" s="80"/>
      <c r="H74" s="80">
        <v>135000</v>
      </c>
      <c r="I74" s="1" t="s">
        <v>3610</v>
      </c>
      <c r="J74" s="80"/>
      <c r="K74" s="80"/>
      <c r="L74" s="80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42.75">
      <c r="A75" s="1" t="s">
        <v>239</v>
      </c>
      <c r="B75" s="1" t="s">
        <v>240</v>
      </c>
      <c r="C75" s="1" t="s">
        <v>3611</v>
      </c>
      <c r="D75" s="5">
        <v>46127</v>
      </c>
      <c r="E75" s="5">
        <v>46127</v>
      </c>
      <c r="F75" s="120" t="s">
        <v>3612</v>
      </c>
      <c r="G75" s="80"/>
      <c r="H75" s="80">
        <v>200</v>
      </c>
      <c r="I75" s="1" t="s">
        <v>3613</v>
      </c>
      <c r="J75" s="80"/>
      <c r="K75" s="80"/>
      <c r="L75" s="80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42.75">
      <c r="A76" s="1" t="s">
        <v>239</v>
      </c>
      <c r="B76" s="1" t="s">
        <v>240</v>
      </c>
      <c r="C76" s="1" t="s">
        <v>3611</v>
      </c>
      <c r="D76" s="5">
        <v>46127</v>
      </c>
      <c r="E76" s="5">
        <v>46127</v>
      </c>
      <c r="F76" s="120" t="s">
        <v>3614</v>
      </c>
      <c r="G76" s="80"/>
      <c r="H76" s="80">
        <v>21300</v>
      </c>
      <c r="I76" s="1" t="s">
        <v>3615</v>
      </c>
      <c r="J76" s="80"/>
      <c r="K76" s="80"/>
      <c r="L76" s="80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8.5">
      <c r="A77" s="1" t="s">
        <v>239</v>
      </c>
      <c r="B77" s="1" t="s">
        <v>240</v>
      </c>
      <c r="C77" s="1" t="s">
        <v>3616</v>
      </c>
      <c r="D77" s="5">
        <v>46127</v>
      </c>
      <c r="E77" s="5">
        <v>46127</v>
      </c>
      <c r="F77" s="120" t="s">
        <v>3617</v>
      </c>
      <c r="G77" s="80"/>
      <c r="H77" s="80">
        <v>200</v>
      </c>
      <c r="I77" s="1" t="s">
        <v>3618</v>
      </c>
      <c r="J77" s="80"/>
      <c r="K77" s="80"/>
      <c r="L77" s="80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42.75">
      <c r="A78" s="1" t="s">
        <v>239</v>
      </c>
      <c r="B78" s="1" t="s">
        <v>240</v>
      </c>
      <c r="C78" s="1" t="s">
        <v>3616</v>
      </c>
      <c r="D78" s="5">
        <v>46127</v>
      </c>
      <c r="E78" s="5">
        <v>46127</v>
      </c>
      <c r="F78" s="120" t="s">
        <v>3619</v>
      </c>
      <c r="G78" s="80"/>
      <c r="H78" s="80">
        <v>80000</v>
      </c>
      <c r="I78" s="1" t="s">
        <v>3620</v>
      </c>
      <c r="J78" s="80"/>
      <c r="K78" s="80"/>
      <c r="L78" s="80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8.5">
      <c r="A79" s="1" t="s">
        <v>239</v>
      </c>
      <c r="B79" s="1" t="s">
        <v>240</v>
      </c>
      <c r="C79" s="1" t="s">
        <v>3621</v>
      </c>
      <c r="D79" s="5">
        <v>46127</v>
      </c>
      <c r="E79" s="5">
        <v>46127</v>
      </c>
      <c r="F79" s="120" t="s">
        <v>3622</v>
      </c>
      <c r="G79" s="80"/>
      <c r="H79" s="80">
        <v>200</v>
      </c>
      <c r="I79" s="1" t="s">
        <v>3623</v>
      </c>
      <c r="J79" s="80"/>
      <c r="K79" s="80"/>
      <c r="L79" s="80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42.75">
      <c r="A80" s="1" t="s">
        <v>239</v>
      </c>
      <c r="B80" s="1" t="s">
        <v>240</v>
      </c>
      <c r="C80" s="1" t="s">
        <v>3621</v>
      </c>
      <c r="D80" s="5">
        <v>46127</v>
      </c>
      <c r="E80" s="5">
        <v>46127</v>
      </c>
      <c r="F80" s="120" t="s">
        <v>3624</v>
      </c>
      <c r="G80" s="80"/>
      <c r="H80" s="80">
        <v>15000</v>
      </c>
      <c r="I80" s="1" t="s">
        <v>3625</v>
      </c>
      <c r="J80" s="80"/>
      <c r="K80" s="80"/>
      <c r="L80" s="80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42.75">
      <c r="A81" s="1" t="s">
        <v>239</v>
      </c>
      <c r="B81" s="1" t="s">
        <v>240</v>
      </c>
      <c r="C81" s="1" t="s">
        <v>3626</v>
      </c>
      <c r="D81" s="5">
        <v>46128</v>
      </c>
      <c r="E81" s="5">
        <v>46128</v>
      </c>
      <c r="F81" s="120" t="s">
        <v>3627</v>
      </c>
      <c r="G81" s="80"/>
      <c r="H81" s="80">
        <v>200</v>
      </c>
      <c r="I81" s="1" t="s">
        <v>3628</v>
      </c>
      <c r="J81" s="80"/>
      <c r="K81" s="80"/>
      <c r="L81" s="80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42.75">
      <c r="A82" s="1" t="s">
        <v>239</v>
      </c>
      <c r="B82" s="1" t="s">
        <v>240</v>
      </c>
      <c r="C82" s="1" t="s">
        <v>3626</v>
      </c>
      <c r="D82" s="5">
        <v>46128</v>
      </c>
      <c r="E82" s="5">
        <v>46128</v>
      </c>
      <c r="F82" s="120" t="s">
        <v>3629</v>
      </c>
      <c r="G82" s="80"/>
      <c r="H82" s="80">
        <v>75000</v>
      </c>
      <c r="I82" s="1" t="s">
        <v>3630</v>
      </c>
      <c r="J82" s="80"/>
      <c r="K82" s="80"/>
      <c r="L82" s="80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8.5">
      <c r="A83" s="1" t="s">
        <v>239</v>
      </c>
      <c r="B83" s="1" t="s">
        <v>240</v>
      </c>
      <c r="C83" s="1" t="s">
        <v>3631</v>
      </c>
      <c r="D83" s="5">
        <v>46128</v>
      </c>
      <c r="E83" s="5">
        <v>46128</v>
      </c>
      <c r="F83" s="120" t="s">
        <v>3632</v>
      </c>
      <c r="G83" s="80">
        <v>5000000</v>
      </c>
      <c r="H83" s="80"/>
      <c r="I83" s="1" t="s">
        <v>3633</v>
      </c>
      <c r="J83" s="80"/>
      <c r="K83" s="80">
        <v>5000000</v>
      </c>
      <c r="L83" s="80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8.5">
      <c r="A84" s="1" t="s">
        <v>239</v>
      </c>
      <c r="B84" s="1" t="s">
        <v>240</v>
      </c>
      <c r="C84" s="1" t="s">
        <v>3634</v>
      </c>
      <c r="D84" s="5">
        <v>46128</v>
      </c>
      <c r="E84" s="5">
        <v>46128</v>
      </c>
      <c r="F84" s="120" t="s">
        <v>3632</v>
      </c>
      <c r="G84" s="80">
        <v>5000000</v>
      </c>
      <c r="H84" s="80"/>
      <c r="I84" s="1" t="s">
        <v>3635</v>
      </c>
      <c r="J84" s="80"/>
      <c r="K84" s="80">
        <v>5000000</v>
      </c>
      <c r="L84" s="80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8.5">
      <c r="A85" s="1" t="s">
        <v>239</v>
      </c>
      <c r="B85" s="1" t="s">
        <v>240</v>
      </c>
      <c r="C85" s="1" t="s">
        <v>3636</v>
      </c>
      <c r="D85" s="5">
        <v>46128</v>
      </c>
      <c r="E85" s="5">
        <v>46128</v>
      </c>
      <c r="F85" s="120" t="s">
        <v>3637</v>
      </c>
      <c r="G85" s="80">
        <v>2040000</v>
      </c>
      <c r="H85" s="80"/>
      <c r="I85" s="1" t="s">
        <v>3638</v>
      </c>
      <c r="J85" s="80"/>
      <c r="K85" s="80">
        <v>2040000</v>
      </c>
      <c r="L85" s="80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42.75">
      <c r="A86" s="1" t="s">
        <v>239</v>
      </c>
      <c r="B86" s="1" t="s">
        <v>240</v>
      </c>
      <c r="C86" s="1" t="s">
        <v>3639</v>
      </c>
      <c r="D86" s="5">
        <v>46128</v>
      </c>
      <c r="E86" s="5">
        <v>46128</v>
      </c>
      <c r="F86" s="120" t="s">
        <v>3640</v>
      </c>
      <c r="G86" s="80"/>
      <c r="H86" s="80">
        <v>200</v>
      </c>
      <c r="I86" s="1" t="s">
        <v>3641</v>
      </c>
      <c r="J86" s="80"/>
      <c r="K86" s="80"/>
      <c r="L86" s="80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42.75">
      <c r="A87" s="1" t="s">
        <v>239</v>
      </c>
      <c r="B87" s="1" t="s">
        <v>240</v>
      </c>
      <c r="C87" s="1" t="s">
        <v>3639</v>
      </c>
      <c r="D87" s="5">
        <v>46128</v>
      </c>
      <c r="E87" s="5">
        <v>46128</v>
      </c>
      <c r="F87" s="120" t="s">
        <v>3642</v>
      </c>
      <c r="G87" s="80"/>
      <c r="H87" s="80">
        <v>33500</v>
      </c>
      <c r="I87" s="1" t="s">
        <v>3643</v>
      </c>
      <c r="J87" s="80"/>
      <c r="K87" s="80"/>
      <c r="L87" s="80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42.75">
      <c r="A88" s="1" t="s">
        <v>239</v>
      </c>
      <c r="B88" s="1" t="s">
        <v>240</v>
      </c>
      <c r="C88" s="1" t="s">
        <v>3644</v>
      </c>
      <c r="D88" s="5">
        <v>46128</v>
      </c>
      <c r="E88" s="5">
        <v>46128</v>
      </c>
      <c r="F88" s="120" t="s">
        <v>3645</v>
      </c>
      <c r="G88" s="80"/>
      <c r="H88" s="80">
        <v>200</v>
      </c>
      <c r="I88" s="1" t="s">
        <v>3646</v>
      </c>
      <c r="J88" s="80"/>
      <c r="K88" s="80"/>
      <c r="L88" s="80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42.75">
      <c r="A89" s="1" t="s">
        <v>239</v>
      </c>
      <c r="B89" s="1" t="s">
        <v>240</v>
      </c>
      <c r="C89" s="1" t="s">
        <v>3644</v>
      </c>
      <c r="D89" s="5">
        <v>46128</v>
      </c>
      <c r="E89" s="5">
        <v>46128</v>
      </c>
      <c r="F89" s="120" t="s">
        <v>3647</v>
      </c>
      <c r="G89" s="80"/>
      <c r="H89" s="80">
        <v>250000</v>
      </c>
      <c r="I89" s="1" t="s">
        <v>3648</v>
      </c>
      <c r="J89" s="80"/>
      <c r="K89" s="80"/>
      <c r="L89" s="80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42.75">
      <c r="A90" s="1" t="s">
        <v>239</v>
      </c>
      <c r="B90" s="1" t="s">
        <v>240</v>
      </c>
      <c r="C90" s="1" t="s">
        <v>3649</v>
      </c>
      <c r="D90" s="5">
        <v>46128</v>
      </c>
      <c r="E90" s="5">
        <v>46128</v>
      </c>
      <c r="F90" s="120" t="s">
        <v>3650</v>
      </c>
      <c r="G90" s="80"/>
      <c r="H90" s="80">
        <v>200</v>
      </c>
      <c r="I90" s="1" t="s">
        <v>3651</v>
      </c>
      <c r="J90" s="80"/>
      <c r="K90" s="80"/>
      <c r="L90" s="80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42.75">
      <c r="A91" s="1" t="s">
        <v>239</v>
      </c>
      <c r="B91" s="1" t="s">
        <v>240</v>
      </c>
      <c r="C91" s="1" t="s">
        <v>3649</v>
      </c>
      <c r="D91" s="5">
        <v>46128</v>
      </c>
      <c r="E91" s="5">
        <v>46128</v>
      </c>
      <c r="F91" s="120" t="s">
        <v>3652</v>
      </c>
      <c r="G91" s="80"/>
      <c r="H91" s="80">
        <v>28500</v>
      </c>
      <c r="I91" s="1" t="s">
        <v>3653</v>
      </c>
      <c r="J91" s="80"/>
      <c r="K91" s="80"/>
      <c r="L91" s="80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8.5">
      <c r="A92" s="1" t="s">
        <v>239</v>
      </c>
      <c r="B92" s="1" t="s">
        <v>240</v>
      </c>
      <c r="C92" s="1" t="s">
        <v>3654</v>
      </c>
      <c r="D92" s="5">
        <v>46128</v>
      </c>
      <c r="E92" s="5">
        <v>46128</v>
      </c>
      <c r="F92" s="120" t="s">
        <v>3655</v>
      </c>
      <c r="G92" s="80"/>
      <c r="H92" s="80">
        <v>200</v>
      </c>
      <c r="I92" s="1" t="s">
        <v>3656</v>
      </c>
      <c r="J92" s="80"/>
      <c r="K92" s="80"/>
      <c r="L92" s="80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42.75">
      <c r="A93" s="1" t="s">
        <v>239</v>
      </c>
      <c r="B93" s="1" t="s">
        <v>240</v>
      </c>
      <c r="C93" s="1" t="s">
        <v>3654</v>
      </c>
      <c r="D93" s="5">
        <v>46128</v>
      </c>
      <c r="E93" s="5">
        <v>46128</v>
      </c>
      <c r="F93" s="120" t="s">
        <v>3657</v>
      </c>
      <c r="G93" s="80"/>
      <c r="H93" s="80">
        <v>27000</v>
      </c>
      <c r="I93" s="1" t="s">
        <v>3658</v>
      </c>
      <c r="J93" s="80"/>
      <c r="K93" s="80"/>
      <c r="L93" s="80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42.75">
      <c r="A94" s="1" t="s">
        <v>239</v>
      </c>
      <c r="B94" s="1" t="s">
        <v>240</v>
      </c>
      <c r="C94" s="1" t="s">
        <v>3659</v>
      </c>
      <c r="D94" s="5">
        <v>46129</v>
      </c>
      <c r="E94" s="5">
        <v>46129</v>
      </c>
      <c r="F94" s="120" t="s">
        <v>3660</v>
      </c>
      <c r="G94" s="80">
        <v>185000</v>
      </c>
      <c r="H94" s="80"/>
      <c r="I94" s="1" t="s">
        <v>3661</v>
      </c>
      <c r="J94" s="142">
        <v>185000</v>
      </c>
      <c r="K94" s="80"/>
      <c r="L94" s="80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42.75">
      <c r="A95" s="1" t="s">
        <v>239</v>
      </c>
      <c r="B95" s="1" t="s">
        <v>240</v>
      </c>
      <c r="C95" s="1" t="s">
        <v>3662</v>
      </c>
      <c r="D95" s="5">
        <v>46129</v>
      </c>
      <c r="E95" s="5">
        <v>46129</v>
      </c>
      <c r="F95" s="120" t="s">
        <v>3663</v>
      </c>
      <c r="G95" s="80"/>
      <c r="H95" s="80">
        <v>100</v>
      </c>
      <c r="I95" s="1" t="s">
        <v>3664</v>
      </c>
      <c r="J95" s="80"/>
      <c r="K95" s="80"/>
      <c r="L95" s="80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42.75">
      <c r="A96" s="1" t="s">
        <v>239</v>
      </c>
      <c r="B96" s="1" t="s">
        <v>240</v>
      </c>
      <c r="C96" s="1" t="s">
        <v>3662</v>
      </c>
      <c r="D96" s="5">
        <v>46129</v>
      </c>
      <c r="E96" s="5">
        <v>46129</v>
      </c>
      <c r="F96" s="120" t="s">
        <v>3665</v>
      </c>
      <c r="G96" s="80"/>
      <c r="H96" s="80">
        <v>8000</v>
      </c>
      <c r="I96" s="1" t="s">
        <v>3666</v>
      </c>
      <c r="J96" s="80"/>
      <c r="K96" s="80"/>
      <c r="L96" s="80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8.5">
      <c r="A97" s="1" t="s">
        <v>239</v>
      </c>
      <c r="B97" s="1" t="s">
        <v>240</v>
      </c>
      <c r="C97" s="1" t="s">
        <v>3667</v>
      </c>
      <c r="D97" s="5">
        <v>46129</v>
      </c>
      <c r="E97" s="5">
        <v>46129</v>
      </c>
      <c r="F97" s="120" t="s">
        <v>3668</v>
      </c>
      <c r="G97" s="80"/>
      <c r="H97" s="80">
        <v>200</v>
      </c>
      <c r="I97" s="1" t="s">
        <v>3669</v>
      </c>
      <c r="J97" s="80"/>
      <c r="K97" s="80"/>
      <c r="L97" s="80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42.75">
      <c r="A98" s="1" t="s">
        <v>239</v>
      </c>
      <c r="B98" s="1" t="s">
        <v>240</v>
      </c>
      <c r="C98" s="1" t="s">
        <v>3667</v>
      </c>
      <c r="D98" s="5">
        <v>46129</v>
      </c>
      <c r="E98" s="5">
        <v>46129</v>
      </c>
      <c r="F98" s="120" t="s">
        <v>3670</v>
      </c>
      <c r="G98" s="80"/>
      <c r="H98" s="80">
        <v>20000</v>
      </c>
      <c r="I98" s="1" t="s">
        <v>3671</v>
      </c>
      <c r="J98" s="80"/>
      <c r="K98" s="80"/>
      <c r="L98" s="80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8.5">
      <c r="A99" s="1" t="s">
        <v>239</v>
      </c>
      <c r="B99" s="1" t="s">
        <v>240</v>
      </c>
      <c r="C99" s="1" t="s">
        <v>3672</v>
      </c>
      <c r="D99" s="5">
        <v>46129</v>
      </c>
      <c r="E99" s="5">
        <v>46129</v>
      </c>
      <c r="F99" s="120" t="s">
        <v>3673</v>
      </c>
      <c r="G99" s="80"/>
      <c r="H99" s="80">
        <v>100</v>
      </c>
      <c r="I99" s="1" t="s">
        <v>3674</v>
      </c>
      <c r="J99" s="80"/>
      <c r="K99" s="80"/>
      <c r="L99" s="80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42.75">
      <c r="A100" s="1" t="s">
        <v>239</v>
      </c>
      <c r="B100" s="1" t="s">
        <v>240</v>
      </c>
      <c r="C100" s="1" t="s">
        <v>3672</v>
      </c>
      <c r="D100" s="5">
        <v>46129</v>
      </c>
      <c r="E100" s="5">
        <v>46129</v>
      </c>
      <c r="F100" s="120" t="s">
        <v>3675</v>
      </c>
      <c r="G100" s="80"/>
      <c r="H100" s="80">
        <v>1500</v>
      </c>
      <c r="I100" s="1" t="s">
        <v>3676</v>
      </c>
      <c r="J100" s="80"/>
      <c r="K100" s="80"/>
      <c r="L100" s="80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8.5">
      <c r="A101" s="1" t="s">
        <v>239</v>
      </c>
      <c r="B101" s="1" t="s">
        <v>240</v>
      </c>
      <c r="C101" s="1" t="s">
        <v>3677</v>
      </c>
      <c r="D101" s="5">
        <v>46129</v>
      </c>
      <c r="E101" s="5">
        <v>46129</v>
      </c>
      <c r="F101" s="120" t="s">
        <v>3678</v>
      </c>
      <c r="G101" s="80"/>
      <c r="H101" s="80">
        <v>200</v>
      </c>
      <c r="I101" s="1" t="s">
        <v>3679</v>
      </c>
      <c r="J101" s="80"/>
      <c r="K101" s="80"/>
      <c r="L101" s="80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42.75">
      <c r="A102" s="1" t="s">
        <v>239</v>
      </c>
      <c r="B102" s="1" t="s">
        <v>240</v>
      </c>
      <c r="C102" s="1" t="s">
        <v>3677</v>
      </c>
      <c r="D102" s="5">
        <v>46129</v>
      </c>
      <c r="E102" s="5">
        <v>46129</v>
      </c>
      <c r="F102" s="120" t="s">
        <v>3680</v>
      </c>
      <c r="G102" s="80"/>
      <c r="H102" s="80">
        <v>17500</v>
      </c>
      <c r="I102" s="1" t="s">
        <v>3681</v>
      </c>
      <c r="J102" s="80"/>
      <c r="K102" s="80"/>
      <c r="L102" s="80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8.5">
      <c r="A103" s="1" t="s">
        <v>239</v>
      </c>
      <c r="B103" s="1" t="s">
        <v>240</v>
      </c>
      <c r="C103" s="1" t="s">
        <v>3682</v>
      </c>
      <c r="D103" s="5">
        <v>46129</v>
      </c>
      <c r="E103" s="5">
        <v>46129</v>
      </c>
      <c r="F103" s="120" t="s">
        <v>3683</v>
      </c>
      <c r="G103" s="80"/>
      <c r="H103" s="80">
        <v>200</v>
      </c>
      <c r="I103" s="1" t="s">
        <v>3684</v>
      </c>
      <c r="J103" s="80"/>
      <c r="K103" s="80"/>
      <c r="L103" s="80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42.75">
      <c r="A104" s="1" t="s">
        <v>239</v>
      </c>
      <c r="B104" s="1" t="s">
        <v>240</v>
      </c>
      <c r="C104" s="1" t="s">
        <v>3682</v>
      </c>
      <c r="D104" s="5">
        <v>46129</v>
      </c>
      <c r="E104" s="5">
        <v>46129</v>
      </c>
      <c r="F104" s="120" t="s">
        <v>3685</v>
      </c>
      <c r="G104" s="80"/>
      <c r="H104" s="80">
        <v>25000</v>
      </c>
      <c r="I104" s="1" t="s">
        <v>3686</v>
      </c>
      <c r="J104" s="80"/>
      <c r="K104" s="80"/>
      <c r="L104" s="80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42.75">
      <c r="A105" s="1" t="s">
        <v>239</v>
      </c>
      <c r="B105" s="1" t="s">
        <v>240</v>
      </c>
      <c r="C105" s="1" t="s">
        <v>3687</v>
      </c>
      <c r="D105" s="5">
        <v>46130</v>
      </c>
      <c r="E105" s="5">
        <v>46130</v>
      </c>
      <c r="F105" s="120" t="s">
        <v>3688</v>
      </c>
      <c r="G105" s="80"/>
      <c r="H105" s="80">
        <v>100</v>
      </c>
      <c r="I105" s="1" t="s">
        <v>3689</v>
      </c>
      <c r="J105" s="80"/>
      <c r="K105" s="80"/>
      <c r="L105" s="80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42.75">
      <c r="A106" s="1" t="s">
        <v>239</v>
      </c>
      <c r="B106" s="1" t="s">
        <v>240</v>
      </c>
      <c r="C106" s="1" t="s">
        <v>3687</v>
      </c>
      <c r="D106" s="5">
        <v>46130</v>
      </c>
      <c r="E106" s="5">
        <v>46130</v>
      </c>
      <c r="F106" s="120" t="s">
        <v>3690</v>
      </c>
      <c r="G106" s="80"/>
      <c r="H106" s="80">
        <v>10000</v>
      </c>
      <c r="I106" s="1" t="s">
        <v>3691</v>
      </c>
      <c r="J106" s="80"/>
      <c r="K106" s="80"/>
      <c r="L106" s="80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42.75">
      <c r="A107" s="1" t="s">
        <v>239</v>
      </c>
      <c r="B107" s="1" t="s">
        <v>240</v>
      </c>
      <c r="C107" s="1" t="s">
        <v>3692</v>
      </c>
      <c r="D107" s="5">
        <v>46131</v>
      </c>
      <c r="E107" s="5">
        <v>46131</v>
      </c>
      <c r="F107" s="120" t="s">
        <v>3693</v>
      </c>
      <c r="G107" s="80"/>
      <c r="H107" s="80">
        <v>200</v>
      </c>
      <c r="I107" s="1" t="s">
        <v>3694</v>
      </c>
      <c r="J107" s="80"/>
      <c r="K107" s="80"/>
      <c r="L107" s="80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42.75">
      <c r="A108" s="1" t="s">
        <v>239</v>
      </c>
      <c r="B108" s="1" t="s">
        <v>240</v>
      </c>
      <c r="C108" s="1" t="s">
        <v>3692</v>
      </c>
      <c r="D108" s="5">
        <v>46131</v>
      </c>
      <c r="E108" s="5">
        <v>46131</v>
      </c>
      <c r="F108" s="120" t="s">
        <v>3695</v>
      </c>
      <c r="G108" s="80"/>
      <c r="H108" s="80">
        <v>20000</v>
      </c>
      <c r="I108" s="1" t="s">
        <v>3696</v>
      </c>
      <c r="J108" s="80"/>
      <c r="K108" s="80"/>
      <c r="L108" s="80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8.5">
      <c r="A109" s="1" t="s">
        <v>239</v>
      </c>
      <c r="B109" s="1" t="s">
        <v>240</v>
      </c>
      <c r="C109" s="1" t="s">
        <v>3697</v>
      </c>
      <c r="D109" s="5">
        <v>46131</v>
      </c>
      <c r="E109" s="5">
        <v>46131</v>
      </c>
      <c r="F109" s="120" t="s">
        <v>738</v>
      </c>
      <c r="G109" s="80"/>
      <c r="H109" s="80">
        <v>100</v>
      </c>
      <c r="I109" s="1" t="s">
        <v>3698</v>
      </c>
      <c r="J109" s="80"/>
      <c r="K109" s="80"/>
      <c r="L109" s="80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8.5">
      <c r="A110" s="1" t="s">
        <v>239</v>
      </c>
      <c r="B110" s="1" t="s">
        <v>240</v>
      </c>
      <c r="C110" s="1" t="s">
        <v>3697</v>
      </c>
      <c r="D110" s="5">
        <v>46131</v>
      </c>
      <c r="E110" s="5">
        <v>46131</v>
      </c>
      <c r="F110" s="120" t="s">
        <v>740</v>
      </c>
      <c r="G110" s="80"/>
      <c r="H110" s="80">
        <v>167036</v>
      </c>
      <c r="I110" s="1" t="s">
        <v>3699</v>
      </c>
      <c r="J110" s="80"/>
      <c r="K110" s="80"/>
      <c r="L110" s="80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8.5">
      <c r="A111" s="1" t="s">
        <v>239</v>
      </c>
      <c r="B111" s="1" t="s">
        <v>240</v>
      </c>
      <c r="C111" s="1" t="s">
        <v>3700</v>
      </c>
      <c r="D111" s="5">
        <v>46131</v>
      </c>
      <c r="E111" s="5">
        <v>46131</v>
      </c>
      <c r="F111" s="120" t="s">
        <v>3701</v>
      </c>
      <c r="G111" s="80"/>
      <c r="H111" s="80">
        <v>25000</v>
      </c>
      <c r="I111" s="1" t="s">
        <v>3702</v>
      </c>
      <c r="J111" s="80"/>
      <c r="K111" s="80"/>
      <c r="L111" s="80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42.75">
      <c r="A112" s="1" t="s">
        <v>239</v>
      </c>
      <c r="B112" s="1" t="s">
        <v>240</v>
      </c>
      <c r="C112" s="1" t="s">
        <v>3703</v>
      </c>
      <c r="D112" s="5">
        <v>46133</v>
      </c>
      <c r="E112" s="5">
        <v>46133</v>
      </c>
      <c r="F112" s="120" t="s">
        <v>3704</v>
      </c>
      <c r="G112" s="80">
        <v>630000</v>
      </c>
      <c r="H112" s="80"/>
      <c r="I112" s="1" t="s">
        <v>3705</v>
      </c>
      <c r="J112" s="80">
        <v>630000</v>
      </c>
      <c r="K112" s="80"/>
      <c r="L112" s="80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42.75">
      <c r="A113" s="1" t="s">
        <v>239</v>
      </c>
      <c r="B113" s="1" t="s">
        <v>240</v>
      </c>
      <c r="C113" s="1" t="s">
        <v>3706</v>
      </c>
      <c r="D113" s="5">
        <v>46133</v>
      </c>
      <c r="E113" s="5">
        <v>46133</v>
      </c>
      <c r="F113" s="120" t="s">
        <v>3707</v>
      </c>
      <c r="G113" s="80"/>
      <c r="H113" s="80">
        <v>200</v>
      </c>
      <c r="I113" s="1" t="s">
        <v>3708</v>
      </c>
      <c r="J113" s="80"/>
      <c r="K113" s="80"/>
      <c r="L113" s="80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42.75">
      <c r="A114" s="1" t="s">
        <v>239</v>
      </c>
      <c r="B114" s="1" t="s">
        <v>240</v>
      </c>
      <c r="C114" s="1" t="s">
        <v>3706</v>
      </c>
      <c r="D114" s="5">
        <v>46133</v>
      </c>
      <c r="E114" s="5">
        <v>46133</v>
      </c>
      <c r="F114" s="120" t="s">
        <v>3709</v>
      </c>
      <c r="G114" s="80"/>
      <c r="H114" s="80">
        <v>64000</v>
      </c>
      <c r="I114" s="1" t="s">
        <v>3710</v>
      </c>
      <c r="J114" s="80"/>
      <c r="K114" s="80"/>
      <c r="L114" s="80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8.5">
      <c r="A115" s="1" t="s">
        <v>239</v>
      </c>
      <c r="B115" s="1" t="s">
        <v>240</v>
      </c>
      <c r="C115" s="1" t="s">
        <v>3711</v>
      </c>
      <c r="D115" s="5">
        <v>46133</v>
      </c>
      <c r="E115" s="5">
        <v>46133</v>
      </c>
      <c r="F115" s="120" t="s">
        <v>3712</v>
      </c>
      <c r="G115" s="80"/>
      <c r="H115" s="80">
        <v>200</v>
      </c>
      <c r="I115" s="1" t="s">
        <v>3713</v>
      </c>
      <c r="J115" s="80"/>
      <c r="K115" s="80"/>
      <c r="L115" s="80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8.5">
      <c r="A116" s="1" t="s">
        <v>239</v>
      </c>
      <c r="B116" s="1" t="s">
        <v>240</v>
      </c>
      <c r="C116" s="1" t="s">
        <v>3711</v>
      </c>
      <c r="D116" s="5">
        <v>46133</v>
      </c>
      <c r="E116" s="5">
        <v>46133</v>
      </c>
      <c r="F116" s="120" t="s">
        <v>3714</v>
      </c>
      <c r="G116" s="80"/>
      <c r="H116" s="80">
        <v>33000</v>
      </c>
      <c r="I116" s="1" t="s">
        <v>3715</v>
      </c>
      <c r="J116" s="80"/>
      <c r="K116" s="80"/>
      <c r="L116" s="80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8.5">
      <c r="A117" s="1" t="s">
        <v>239</v>
      </c>
      <c r="B117" s="1" t="s">
        <v>240</v>
      </c>
      <c r="C117" s="1" t="s">
        <v>3716</v>
      </c>
      <c r="D117" s="5">
        <v>46133</v>
      </c>
      <c r="E117" s="5">
        <v>46133</v>
      </c>
      <c r="F117" s="120" t="s">
        <v>3717</v>
      </c>
      <c r="G117" s="80"/>
      <c r="H117" s="80">
        <v>1350</v>
      </c>
      <c r="I117" s="1" t="s">
        <v>3718</v>
      </c>
      <c r="J117" s="80"/>
      <c r="K117" s="80"/>
      <c r="L117" s="80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42.75">
      <c r="A118" s="1" t="s">
        <v>239</v>
      </c>
      <c r="B118" s="1" t="s">
        <v>240</v>
      </c>
      <c r="C118" s="1" t="s">
        <v>3716</v>
      </c>
      <c r="D118" s="5">
        <v>46133</v>
      </c>
      <c r="E118" s="5">
        <v>46133</v>
      </c>
      <c r="F118" s="120" t="s">
        <v>3719</v>
      </c>
      <c r="G118" s="80"/>
      <c r="H118" s="80">
        <v>164600</v>
      </c>
      <c r="I118" s="1" t="s">
        <v>3720</v>
      </c>
      <c r="J118" s="80"/>
      <c r="K118" s="80"/>
      <c r="L118" s="80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42.75">
      <c r="A119" s="1" t="s">
        <v>239</v>
      </c>
      <c r="B119" s="1" t="s">
        <v>240</v>
      </c>
      <c r="C119" s="1" t="s">
        <v>3721</v>
      </c>
      <c r="D119" s="5">
        <v>46133</v>
      </c>
      <c r="E119" s="5">
        <v>46133</v>
      </c>
      <c r="F119" s="120" t="s">
        <v>3722</v>
      </c>
      <c r="G119" s="80"/>
      <c r="H119" s="80">
        <v>88000</v>
      </c>
      <c r="I119" s="1" t="s">
        <v>3723</v>
      </c>
      <c r="J119" s="80"/>
      <c r="K119" s="80"/>
      <c r="L119" s="80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42.75">
      <c r="A120" s="1" t="s">
        <v>239</v>
      </c>
      <c r="B120" s="1" t="s">
        <v>240</v>
      </c>
      <c r="C120" s="1" t="s">
        <v>3724</v>
      </c>
      <c r="D120" s="5">
        <v>46133</v>
      </c>
      <c r="E120" s="5">
        <v>46133</v>
      </c>
      <c r="F120" s="120" t="s">
        <v>3725</v>
      </c>
      <c r="G120" s="80"/>
      <c r="H120" s="80">
        <v>200</v>
      </c>
      <c r="I120" s="1" t="s">
        <v>3726</v>
      </c>
      <c r="J120" s="80"/>
      <c r="K120" s="80"/>
      <c r="L120" s="80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42.75">
      <c r="A121" s="1" t="s">
        <v>239</v>
      </c>
      <c r="B121" s="1" t="s">
        <v>240</v>
      </c>
      <c r="C121" s="1" t="s">
        <v>3724</v>
      </c>
      <c r="D121" s="5">
        <v>46133</v>
      </c>
      <c r="E121" s="5">
        <v>46133</v>
      </c>
      <c r="F121" s="120" t="s">
        <v>3727</v>
      </c>
      <c r="G121" s="80"/>
      <c r="H121" s="80">
        <v>12000</v>
      </c>
      <c r="I121" s="1" t="s">
        <v>3728</v>
      </c>
      <c r="J121" s="80"/>
      <c r="K121" s="80"/>
      <c r="L121" s="80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8.5">
      <c r="A122" s="1" t="s">
        <v>239</v>
      </c>
      <c r="B122" s="1" t="s">
        <v>240</v>
      </c>
      <c r="C122" s="1" t="s">
        <v>3729</v>
      </c>
      <c r="D122" s="5">
        <v>46133</v>
      </c>
      <c r="E122" s="5">
        <v>46133</v>
      </c>
      <c r="F122" s="120" t="s">
        <v>691</v>
      </c>
      <c r="G122" s="80"/>
      <c r="H122" s="80">
        <v>200</v>
      </c>
      <c r="I122" s="1" t="s">
        <v>3730</v>
      </c>
      <c r="J122" s="80"/>
      <c r="K122" s="80"/>
      <c r="L122" s="80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8.5">
      <c r="A123" s="1" t="s">
        <v>239</v>
      </c>
      <c r="B123" s="1" t="s">
        <v>240</v>
      </c>
      <c r="C123" s="1" t="s">
        <v>3729</v>
      </c>
      <c r="D123" s="5">
        <v>46133</v>
      </c>
      <c r="E123" s="5">
        <v>46133</v>
      </c>
      <c r="F123" s="120" t="s">
        <v>693</v>
      </c>
      <c r="G123" s="80"/>
      <c r="H123" s="80">
        <v>100000</v>
      </c>
      <c r="I123" s="1" t="s">
        <v>3731</v>
      </c>
      <c r="J123" s="80"/>
      <c r="K123" s="80"/>
      <c r="L123" s="80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42.75">
      <c r="A124" s="1" t="s">
        <v>239</v>
      </c>
      <c r="B124" s="1" t="s">
        <v>240</v>
      </c>
      <c r="C124" s="1" t="s">
        <v>3732</v>
      </c>
      <c r="D124" s="5">
        <v>46133</v>
      </c>
      <c r="E124" s="5">
        <v>46133</v>
      </c>
      <c r="F124" s="120" t="s">
        <v>3733</v>
      </c>
      <c r="G124" s="80"/>
      <c r="H124" s="80">
        <v>200000</v>
      </c>
      <c r="I124" s="1" t="s">
        <v>3734</v>
      </c>
      <c r="J124" s="80"/>
      <c r="K124" s="80"/>
      <c r="L124" s="80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8.5">
      <c r="A125" s="1" t="s">
        <v>239</v>
      </c>
      <c r="B125" s="1" t="s">
        <v>240</v>
      </c>
      <c r="C125" s="1" t="s">
        <v>3735</v>
      </c>
      <c r="D125" s="5">
        <v>46134</v>
      </c>
      <c r="E125" s="5">
        <v>46134</v>
      </c>
      <c r="F125" s="120" t="s">
        <v>3736</v>
      </c>
      <c r="G125" s="80">
        <v>220000</v>
      </c>
      <c r="H125" s="80"/>
      <c r="I125" s="1" t="s">
        <v>3737</v>
      </c>
      <c r="J125" s="80">
        <v>220000</v>
      </c>
      <c r="K125" s="80"/>
      <c r="L125" s="80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42.75">
      <c r="A126" s="1" t="s">
        <v>239</v>
      </c>
      <c r="B126" s="1" t="s">
        <v>240</v>
      </c>
      <c r="C126" s="1" t="s">
        <v>3738</v>
      </c>
      <c r="D126" s="5">
        <v>46134</v>
      </c>
      <c r="E126" s="5">
        <v>46134</v>
      </c>
      <c r="F126" s="120" t="s">
        <v>4230</v>
      </c>
      <c r="G126" s="171">
        <v>55000</v>
      </c>
      <c r="H126" s="80"/>
      <c r="I126" s="1" t="s">
        <v>3739</v>
      </c>
      <c r="J126" s="171">
        <v>55000</v>
      </c>
      <c r="K126" s="80"/>
      <c r="L126" s="80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8.5">
      <c r="A127" s="1" t="s">
        <v>239</v>
      </c>
      <c r="B127" s="1" t="s">
        <v>240</v>
      </c>
      <c r="C127" s="1" t="s">
        <v>3740</v>
      </c>
      <c r="D127" s="5">
        <v>46134</v>
      </c>
      <c r="E127" s="5">
        <v>46134</v>
      </c>
      <c r="F127" s="120" t="s">
        <v>4229</v>
      </c>
      <c r="G127" s="171">
        <v>575000</v>
      </c>
      <c r="H127" s="80"/>
      <c r="I127" s="1" t="s">
        <v>3741</v>
      </c>
      <c r="J127" s="171">
        <v>575000</v>
      </c>
      <c r="K127" s="80"/>
      <c r="L127" s="80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8.5">
      <c r="A128" s="1" t="s">
        <v>239</v>
      </c>
      <c r="B128" s="1" t="s">
        <v>240</v>
      </c>
      <c r="C128" s="1" t="s">
        <v>3742</v>
      </c>
      <c r="D128" s="5">
        <v>46134</v>
      </c>
      <c r="E128" s="5">
        <v>46134</v>
      </c>
      <c r="F128" s="120" t="s">
        <v>3743</v>
      </c>
      <c r="G128" s="80"/>
      <c r="H128" s="80">
        <v>100</v>
      </c>
      <c r="I128" s="1" t="s">
        <v>3744</v>
      </c>
      <c r="J128" s="171"/>
      <c r="K128" s="80"/>
      <c r="L128" s="80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42.75">
      <c r="A129" s="1" t="s">
        <v>239</v>
      </c>
      <c r="B129" s="1" t="s">
        <v>240</v>
      </c>
      <c r="C129" s="1" t="s">
        <v>3742</v>
      </c>
      <c r="D129" s="5">
        <v>46134</v>
      </c>
      <c r="E129" s="5">
        <v>46134</v>
      </c>
      <c r="F129" s="120" t="s">
        <v>3745</v>
      </c>
      <c r="G129" s="80"/>
      <c r="H129" s="80">
        <v>4000</v>
      </c>
      <c r="I129" s="1" t="s">
        <v>3746</v>
      </c>
      <c r="J129" s="80"/>
      <c r="K129" s="80"/>
      <c r="L129" s="80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8.5">
      <c r="A130" s="1" t="s">
        <v>239</v>
      </c>
      <c r="B130" s="1" t="s">
        <v>240</v>
      </c>
      <c r="C130" s="1" t="s">
        <v>3747</v>
      </c>
      <c r="D130" s="5">
        <v>46135</v>
      </c>
      <c r="E130" s="5">
        <v>46135</v>
      </c>
      <c r="F130" s="120" t="s">
        <v>3748</v>
      </c>
      <c r="G130" s="80">
        <v>1459500</v>
      </c>
      <c r="H130" s="80"/>
      <c r="I130" s="1" t="s">
        <v>3749</v>
      </c>
      <c r="J130" s="80"/>
      <c r="K130" s="80"/>
      <c r="L130" s="80">
        <v>1459500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8.5">
      <c r="A131" s="1" t="s">
        <v>239</v>
      </c>
      <c r="B131" s="1" t="s">
        <v>240</v>
      </c>
      <c r="C131" s="1" t="s">
        <v>3750</v>
      </c>
      <c r="D131" s="5">
        <v>46135</v>
      </c>
      <c r="E131" s="5">
        <v>46135</v>
      </c>
      <c r="F131" s="120" t="s">
        <v>3751</v>
      </c>
      <c r="G131" s="80"/>
      <c r="H131" s="80">
        <v>200</v>
      </c>
      <c r="I131" s="1" t="s">
        <v>3752</v>
      </c>
      <c r="J131" s="80"/>
      <c r="K131" s="80"/>
      <c r="L131" s="80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8.5">
      <c r="A132" s="1" t="s">
        <v>239</v>
      </c>
      <c r="B132" s="1" t="s">
        <v>240</v>
      </c>
      <c r="C132" s="1" t="s">
        <v>3750</v>
      </c>
      <c r="D132" s="5">
        <v>46135</v>
      </c>
      <c r="E132" s="5">
        <v>46135</v>
      </c>
      <c r="F132" s="120" t="s">
        <v>3753</v>
      </c>
      <c r="G132" s="80"/>
      <c r="H132" s="80">
        <v>15000</v>
      </c>
      <c r="I132" s="1" t="s">
        <v>3754</v>
      </c>
      <c r="J132" s="80"/>
      <c r="K132" s="80"/>
      <c r="L132" s="80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42.75">
      <c r="A133" s="1" t="s">
        <v>239</v>
      </c>
      <c r="B133" s="1" t="s">
        <v>240</v>
      </c>
      <c r="C133" s="1" t="s">
        <v>3755</v>
      </c>
      <c r="D133" s="5">
        <v>46135</v>
      </c>
      <c r="E133" s="5">
        <v>46135</v>
      </c>
      <c r="F133" s="120" t="s">
        <v>3756</v>
      </c>
      <c r="G133" s="80"/>
      <c r="H133" s="80">
        <v>200</v>
      </c>
      <c r="I133" s="1" t="s">
        <v>3757</v>
      </c>
      <c r="J133" s="80"/>
      <c r="K133" s="80"/>
      <c r="L133" s="80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42.75">
      <c r="A134" s="1" t="s">
        <v>239</v>
      </c>
      <c r="B134" s="1" t="s">
        <v>240</v>
      </c>
      <c r="C134" s="1" t="s">
        <v>3755</v>
      </c>
      <c r="D134" s="5">
        <v>46135</v>
      </c>
      <c r="E134" s="5">
        <v>46135</v>
      </c>
      <c r="F134" s="120" t="s">
        <v>3758</v>
      </c>
      <c r="G134" s="80"/>
      <c r="H134" s="80">
        <v>49000</v>
      </c>
      <c r="I134" s="1" t="s">
        <v>3759</v>
      </c>
      <c r="J134" s="80"/>
      <c r="K134" s="80"/>
      <c r="L134" s="80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42.75">
      <c r="A135" s="1" t="s">
        <v>239</v>
      </c>
      <c r="B135" s="1" t="s">
        <v>240</v>
      </c>
      <c r="C135" s="1" t="s">
        <v>3760</v>
      </c>
      <c r="D135" s="5">
        <v>46135</v>
      </c>
      <c r="E135" s="5">
        <v>46135</v>
      </c>
      <c r="F135" s="120" t="s">
        <v>3761</v>
      </c>
      <c r="G135" s="80"/>
      <c r="H135" s="80">
        <v>200</v>
      </c>
      <c r="I135" s="1" t="s">
        <v>3762</v>
      </c>
      <c r="J135" s="80"/>
      <c r="K135" s="80"/>
      <c r="L135" s="80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42.75">
      <c r="A136" s="1" t="s">
        <v>239</v>
      </c>
      <c r="B136" s="1" t="s">
        <v>240</v>
      </c>
      <c r="C136" s="1" t="s">
        <v>3760</v>
      </c>
      <c r="D136" s="5">
        <v>46135</v>
      </c>
      <c r="E136" s="5">
        <v>46135</v>
      </c>
      <c r="F136" s="120" t="s">
        <v>3763</v>
      </c>
      <c r="G136" s="80"/>
      <c r="H136" s="80">
        <v>58000</v>
      </c>
      <c r="I136" s="1" t="s">
        <v>3764</v>
      </c>
      <c r="J136" s="80"/>
      <c r="K136" s="80"/>
      <c r="L136" s="80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8.5">
      <c r="A137" s="1" t="s">
        <v>239</v>
      </c>
      <c r="B137" s="1" t="s">
        <v>240</v>
      </c>
      <c r="C137" s="1" t="s">
        <v>3765</v>
      </c>
      <c r="D137" s="5">
        <v>46135</v>
      </c>
      <c r="E137" s="5">
        <v>46135</v>
      </c>
      <c r="F137" s="120" t="s">
        <v>3766</v>
      </c>
      <c r="G137" s="80">
        <v>400000</v>
      </c>
      <c r="H137" s="80"/>
      <c r="I137" s="1" t="s">
        <v>3767</v>
      </c>
      <c r="J137" s="80">
        <v>400000</v>
      </c>
      <c r="K137" s="80"/>
      <c r="L137" s="80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8.5">
      <c r="A138" s="1" t="s">
        <v>239</v>
      </c>
      <c r="B138" s="1" t="s">
        <v>240</v>
      </c>
      <c r="C138" s="1" t="s">
        <v>3768</v>
      </c>
      <c r="D138" s="5">
        <v>46135</v>
      </c>
      <c r="E138" s="5">
        <v>46135</v>
      </c>
      <c r="F138" s="120" t="s">
        <v>3769</v>
      </c>
      <c r="G138" s="80"/>
      <c r="H138" s="80">
        <v>100</v>
      </c>
      <c r="I138" s="1" t="s">
        <v>3770</v>
      </c>
      <c r="J138" s="80"/>
      <c r="K138" s="80"/>
      <c r="L138" s="80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42.75">
      <c r="A139" s="1" t="s">
        <v>239</v>
      </c>
      <c r="B139" s="1" t="s">
        <v>240</v>
      </c>
      <c r="C139" s="1" t="s">
        <v>3768</v>
      </c>
      <c r="D139" s="5">
        <v>46135</v>
      </c>
      <c r="E139" s="5">
        <v>46135</v>
      </c>
      <c r="F139" s="120" t="s">
        <v>3771</v>
      </c>
      <c r="G139" s="80"/>
      <c r="H139" s="80">
        <v>1200</v>
      </c>
      <c r="I139" s="1" t="s">
        <v>3772</v>
      </c>
      <c r="J139" s="80"/>
      <c r="K139" s="80"/>
      <c r="L139" s="80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42.75">
      <c r="A140" s="1" t="s">
        <v>239</v>
      </c>
      <c r="B140" s="1" t="s">
        <v>240</v>
      </c>
      <c r="C140" s="1" t="s">
        <v>3773</v>
      </c>
      <c r="D140" s="5">
        <v>46135</v>
      </c>
      <c r="E140" s="5">
        <v>46135</v>
      </c>
      <c r="F140" s="120" t="s">
        <v>3774</v>
      </c>
      <c r="G140" s="80"/>
      <c r="H140" s="80">
        <v>200</v>
      </c>
      <c r="I140" s="1" t="s">
        <v>3775</v>
      </c>
      <c r="J140" s="80"/>
      <c r="K140" s="80"/>
      <c r="L140" s="80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42.75">
      <c r="A141" s="1" t="s">
        <v>239</v>
      </c>
      <c r="B141" s="1" t="s">
        <v>240</v>
      </c>
      <c r="C141" s="1" t="s">
        <v>3773</v>
      </c>
      <c r="D141" s="5">
        <v>46135</v>
      </c>
      <c r="E141" s="5">
        <v>46135</v>
      </c>
      <c r="F141" s="120" t="s">
        <v>3776</v>
      </c>
      <c r="G141" s="80"/>
      <c r="H141" s="80">
        <v>90000</v>
      </c>
      <c r="I141" s="1" t="s">
        <v>3777</v>
      </c>
      <c r="J141" s="80"/>
      <c r="K141" s="80"/>
      <c r="L141" s="80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42.75">
      <c r="A142" s="1" t="s">
        <v>239</v>
      </c>
      <c r="B142" s="1" t="s">
        <v>240</v>
      </c>
      <c r="C142" s="1" t="s">
        <v>3778</v>
      </c>
      <c r="D142" s="5">
        <v>46136</v>
      </c>
      <c r="E142" s="5">
        <v>46136</v>
      </c>
      <c r="F142" s="120" t="s">
        <v>3779</v>
      </c>
      <c r="G142" s="80">
        <v>400000</v>
      </c>
      <c r="H142" s="80"/>
      <c r="I142" s="1" t="s">
        <v>3780</v>
      </c>
      <c r="J142" s="80">
        <v>400000</v>
      </c>
      <c r="K142" s="80"/>
      <c r="L142" s="80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42.75">
      <c r="A143" s="1" t="s">
        <v>239</v>
      </c>
      <c r="B143" s="1" t="s">
        <v>240</v>
      </c>
      <c r="C143" s="1" t="s">
        <v>3781</v>
      </c>
      <c r="D143" s="5">
        <v>46136</v>
      </c>
      <c r="E143" s="5">
        <v>46136</v>
      </c>
      <c r="F143" s="120" t="s">
        <v>3782</v>
      </c>
      <c r="G143" s="80"/>
      <c r="H143" s="80">
        <v>200</v>
      </c>
      <c r="I143" s="1" t="s">
        <v>3783</v>
      </c>
      <c r="J143" s="80"/>
      <c r="K143" s="80"/>
      <c r="L143" s="80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42.75">
      <c r="A144" s="1" t="s">
        <v>239</v>
      </c>
      <c r="B144" s="1" t="s">
        <v>240</v>
      </c>
      <c r="C144" s="1" t="s">
        <v>3781</v>
      </c>
      <c r="D144" s="5">
        <v>46136</v>
      </c>
      <c r="E144" s="5">
        <v>46136</v>
      </c>
      <c r="F144" s="120" t="s">
        <v>3784</v>
      </c>
      <c r="G144" s="80"/>
      <c r="H144" s="80">
        <v>120000</v>
      </c>
      <c r="I144" s="1" t="s">
        <v>3785</v>
      </c>
      <c r="J144" s="80"/>
      <c r="K144" s="80"/>
      <c r="L144" s="80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42.75">
      <c r="A145" s="1" t="s">
        <v>239</v>
      </c>
      <c r="B145" s="1" t="s">
        <v>240</v>
      </c>
      <c r="C145" s="1" t="s">
        <v>3786</v>
      </c>
      <c r="D145" s="5">
        <v>46136</v>
      </c>
      <c r="E145" s="5">
        <v>46136</v>
      </c>
      <c r="F145" s="120" t="s">
        <v>3787</v>
      </c>
      <c r="G145" s="80"/>
      <c r="H145" s="80">
        <v>15000</v>
      </c>
      <c r="I145" s="1" t="s">
        <v>3788</v>
      </c>
      <c r="J145" s="80"/>
      <c r="K145" s="80"/>
      <c r="L145" s="80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42.75">
      <c r="A146" s="1" t="s">
        <v>239</v>
      </c>
      <c r="B146" s="1" t="s">
        <v>240</v>
      </c>
      <c r="C146" s="1" t="s">
        <v>3789</v>
      </c>
      <c r="D146" s="5">
        <v>46136</v>
      </c>
      <c r="E146" s="5">
        <v>46136</v>
      </c>
      <c r="F146" s="120" t="s">
        <v>3790</v>
      </c>
      <c r="G146" s="80"/>
      <c r="H146" s="80">
        <v>26702</v>
      </c>
      <c r="I146" s="1" t="s">
        <v>3791</v>
      </c>
      <c r="J146" s="80"/>
      <c r="K146" s="80"/>
      <c r="L146" s="80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42.75">
      <c r="A147" s="1" t="s">
        <v>239</v>
      </c>
      <c r="B147" s="1" t="s">
        <v>240</v>
      </c>
      <c r="C147" s="1" t="s">
        <v>3792</v>
      </c>
      <c r="D147" s="5">
        <v>46137</v>
      </c>
      <c r="E147" s="5">
        <v>46137</v>
      </c>
      <c r="F147" s="120" t="s">
        <v>3793</v>
      </c>
      <c r="G147" s="80"/>
      <c r="H147" s="80">
        <v>200</v>
      </c>
      <c r="I147" s="1" t="s">
        <v>3794</v>
      </c>
      <c r="J147" s="80"/>
      <c r="K147" s="80"/>
      <c r="L147" s="80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42.75">
      <c r="A148" s="1" t="s">
        <v>239</v>
      </c>
      <c r="B148" s="1" t="s">
        <v>240</v>
      </c>
      <c r="C148" s="1" t="s">
        <v>3792</v>
      </c>
      <c r="D148" s="5">
        <v>46137</v>
      </c>
      <c r="E148" s="5">
        <v>46137</v>
      </c>
      <c r="F148" s="120" t="s">
        <v>3795</v>
      </c>
      <c r="G148" s="80"/>
      <c r="H148" s="80">
        <v>100000</v>
      </c>
      <c r="I148" s="1" t="s">
        <v>3796</v>
      </c>
      <c r="J148" s="80"/>
      <c r="K148" s="80"/>
      <c r="L148" s="80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42.75">
      <c r="A149" s="1" t="s">
        <v>239</v>
      </c>
      <c r="B149" s="1" t="s">
        <v>240</v>
      </c>
      <c r="C149" s="1" t="s">
        <v>3797</v>
      </c>
      <c r="D149" s="5">
        <v>46137</v>
      </c>
      <c r="E149" s="5">
        <v>46137</v>
      </c>
      <c r="F149" s="120" t="s">
        <v>3798</v>
      </c>
      <c r="G149" s="80"/>
      <c r="H149" s="80">
        <v>169880</v>
      </c>
      <c r="I149" s="1" t="s">
        <v>3799</v>
      </c>
      <c r="J149" s="80"/>
      <c r="K149" s="80"/>
      <c r="L149" s="80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8.5">
      <c r="A150" s="1" t="s">
        <v>239</v>
      </c>
      <c r="B150" s="1" t="s">
        <v>240</v>
      </c>
      <c r="C150" s="1" t="s">
        <v>3800</v>
      </c>
      <c r="D150" s="5">
        <v>46138</v>
      </c>
      <c r="E150" s="5">
        <v>46138</v>
      </c>
      <c r="F150" s="120" t="s">
        <v>3801</v>
      </c>
      <c r="G150" s="80"/>
      <c r="H150" s="80">
        <v>166301</v>
      </c>
      <c r="I150" s="1" t="s">
        <v>3802</v>
      </c>
      <c r="J150" s="80"/>
      <c r="K150" s="80"/>
      <c r="L150" s="80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42.75">
      <c r="A151" s="1" t="s">
        <v>239</v>
      </c>
      <c r="B151" s="1" t="s">
        <v>240</v>
      </c>
      <c r="C151" s="1" t="s">
        <v>3803</v>
      </c>
      <c r="D151" s="5">
        <v>46139</v>
      </c>
      <c r="E151" s="5">
        <v>46139</v>
      </c>
      <c r="F151" s="120" t="s">
        <v>3804</v>
      </c>
      <c r="G151" s="80"/>
      <c r="H151" s="80">
        <v>1350</v>
      </c>
      <c r="I151" s="1" t="s">
        <v>3805</v>
      </c>
      <c r="J151" s="80"/>
      <c r="K151" s="80"/>
      <c r="L151" s="80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42.75">
      <c r="A152" s="1" t="s">
        <v>239</v>
      </c>
      <c r="B152" s="1" t="s">
        <v>240</v>
      </c>
      <c r="C152" s="1" t="s">
        <v>3803</v>
      </c>
      <c r="D152" s="5">
        <v>46139</v>
      </c>
      <c r="E152" s="5">
        <v>46139</v>
      </c>
      <c r="F152" s="120" t="s">
        <v>3806</v>
      </c>
      <c r="G152" s="80"/>
      <c r="H152" s="80">
        <v>158000</v>
      </c>
      <c r="I152" s="1" t="s">
        <v>3807</v>
      </c>
      <c r="J152" s="80"/>
      <c r="K152" s="80"/>
      <c r="L152" s="80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8.5">
      <c r="A153" s="1" t="s">
        <v>239</v>
      </c>
      <c r="B153" s="1" t="s">
        <v>240</v>
      </c>
      <c r="C153" s="1" t="s">
        <v>3808</v>
      </c>
      <c r="D153" s="5">
        <v>46139</v>
      </c>
      <c r="E153" s="5">
        <v>46139</v>
      </c>
      <c r="F153" s="120" t="s">
        <v>3809</v>
      </c>
      <c r="G153" s="80"/>
      <c r="H153" s="80">
        <v>1350</v>
      </c>
      <c r="I153" s="1" t="s">
        <v>3810</v>
      </c>
      <c r="J153" s="80"/>
      <c r="K153" s="80"/>
      <c r="L153" s="80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42.75">
      <c r="A154" s="1" t="s">
        <v>239</v>
      </c>
      <c r="B154" s="1" t="s">
        <v>240</v>
      </c>
      <c r="C154" s="1" t="s">
        <v>3808</v>
      </c>
      <c r="D154" s="5">
        <v>46139</v>
      </c>
      <c r="E154" s="5">
        <v>46139</v>
      </c>
      <c r="F154" s="120" t="s">
        <v>3811</v>
      </c>
      <c r="G154" s="80"/>
      <c r="H154" s="80">
        <v>200000</v>
      </c>
      <c r="I154" s="1" t="s">
        <v>3812</v>
      </c>
      <c r="J154" s="80"/>
      <c r="K154" s="80"/>
      <c r="L154" s="80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42.75">
      <c r="A155" s="1" t="s">
        <v>239</v>
      </c>
      <c r="B155" s="1" t="s">
        <v>240</v>
      </c>
      <c r="C155" s="1" t="s">
        <v>3813</v>
      </c>
      <c r="D155" s="5">
        <v>46139</v>
      </c>
      <c r="E155" s="5">
        <v>46139</v>
      </c>
      <c r="F155" s="120" t="s">
        <v>3814</v>
      </c>
      <c r="G155" s="80"/>
      <c r="H155" s="80">
        <v>50000</v>
      </c>
      <c r="I155" s="1" t="s">
        <v>3815</v>
      </c>
      <c r="J155" s="80"/>
      <c r="K155" s="80"/>
      <c r="L155" s="80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8.5">
      <c r="A156" s="1" t="s">
        <v>239</v>
      </c>
      <c r="B156" s="1" t="s">
        <v>240</v>
      </c>
      <c r="C156" s="1" t="s">
        <v>3816</v>
      </c>
      <c r="D156" s="5">
        <v>46139</v>
      </c>
      <c r="E156" s="5">
        <v>46139</v>
      </c>
      <c r="F156" s="120" t="s">
        <v>3817</v>
      </c>
      <c r="G156" s="80"/>
      <c r="H156" s="80">
        <v>100</v>
      </c>
      <c r="I156" s="1" t="s">
        <v>3818</v>
      </c>
      <c r="J156" s="80"/>
      <c r="K156" s="80"/>
      <c r="L156" s="80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42.75">
      <c r="A157" s="1" t="s">
        <v>239</v>
      </c>
      <c r="B157" s="1" t="s">
        <v>240</v>
      </c>
      <c r="C157" s="1" t="s">
        <v>3816</v>
      </c>
      <c r="D157" s="5">
        <v>46139</v>
      </c>
      <c r="E157" s="5">
        <v>46139</v>
      </c>
      <c r="F157" s="120" t="s">
        <v>3819</v>
      </c>
      <c r="G157" s="80"/>
      <c r="H157" s="80">
        <v>9000</v>
      </c>
      <c r="I157" s="1" t="s">
        <v>3820</v>
      </c>
      <c r="J157" s="80"/>
      <c r="K157" s="80"/>
      <c r="L157" s="80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 t="s">
        <v>239</v>
      </c>
      <c r="B158" s="1" t="s">
        <v>240</v>
      </c>
      <c r="C158" s="1" t="s">
        <v>3821</v>
      </c>
      <c r="D158" s="5">
        <v>46140</v>
      </c>
      <c r="E158" s="5">
        <v>46140</v>
      </c>
      <c r="F158" s="120" t="s">
        <v>3822</v>
      </c>
      <c r="G158" s="80"/>
      <c r="H158" s="80">
        <v>1000</v>
      </c>
      <c r="I158" s="1" t="s">
        <v>3823</v>
      </c>
      <c r="J158" s="80"/>
      <c r="K158" s="80"/>
      <c r="L158" s="80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8.5">
      <c r="A159" s="1" t="s">
        <v>239</v>
      </c>
      <c r="B159" s="1" t="s">
        <v>240</v>
      </c>
      <c r="C159" s="1" t="s">
        <v>3821</v>
      </c>
      <c r="D159" s="5">
        <v>46140</v>
      </c>
      <c r="E159" s="5">
        <v>46140</v>
      </c>
      <c r="F159" s="120" t="s">
        <v>3824</v>
      </c>
      <c r="G159" s="80"/>
      <c r="H159" s="80">
        <v>14500000</v>
      </c>
      <c r="I159" s="1" t="s">
        <v>3825</v>
      </c>
      <c r="J159" s="80"/>
      <c r="K159" s="80"/>
      <c r="L159" s="80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8.5">
      <c r="A160" s="1" t="s">
        <v>239</v>
      </c>
      <c r="B160" s="1" t="s">
        <v>240</v>
      </c>
      <c r="C160" s="1" t="s">
        <v>3826</v>
      </c>
      <c r="D160" s="5">
        <v>46140</v>
      </c>
      <c r="E160" s="5">
        <v>46140</v>
      </c>
      <c r="F160" s="120" t="s">
        <v>3827</v>
      </c>
      <c r="G160" s="80"/>
      <c r="H160" s="80">
        <v>200</v>
      </c>
      <c r="I160" s="1" t="s">
        <v>3828</v>
      </c>
      <c r="J160" s="80"/>
      <c r="K160" s="80"/>
      <c r="L160" s="80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8.5">
      <c r="A161" s="1" t="s">
        <v>239</v>
      </c>
      <c r="B161" s="1" t="s">
        <v>240</v>
      </c>
      <c r="C161" s="1" t="s">
        <v>3826</v>
      </c>
      <c r="D161" s="5">
        <v>46140</v>
      </c>
      <c r="E161" s="5">
        <v>46140</v>
      </c>
      <c r="F161" s="120" t="s">
        <v>3829</v>
      </c>
      <c r="G161" s="80"/>
      <c r="H161" s="80">
        <v>20000</v>
      </c>
      <c r="I161" s="1" t="s">
        <v>3830</v>
      </c>
      <c r="J161" s="80"/>
      <c r="K161" s="80"/>
      <c r="L161" s="80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8.5">
      <c r="A162" s="1" t="s">
        <v>239</v>
      </c>
      <c r="B162" s="1" t="s">
        <v>240</v>
      </c>
      <c r="C162" s="1" t="s">
        <v>3831</v>
      </c>
      <c r="D162" s="5">
        <v>46140</v>
      </c>
      <c r="E162" s="5">
        <v>46140</v>
      </c>
      <c r="F162" s="120" t="s">
        <v>3832</v>
      </c>
      <c r="G162" s="80"/>
      <c r="H162" s="80">
        <v>118041</v>
      </c>
      <c r="I162" s="1" t="s">
        <v>3833</v>
      </c>
      <c r="J162" s="80"/>
      <c r="K162" s="80"/>
      <c r="L162" s="80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8.5">
      <c r="A163" s="1" t="s">
        <v>239</v>
      </c>
      <c r="B163" s="1" t="s">
        <v>240</v>
      </c>
      <c r="C163" s="1" t="s">
        <v>3834</v>
      </c>
      <c r="D163" s="5">
        <v>46140</v>
      </c>
      <c r="E163" s="5">
        <v>46140</v>
      </c>
      <c r="F163" s="120" t="s">
        <v>3835</v>
      </c>
      <c r="G163" s="80"/>
      <c r="H163" s="80">
        <v>162975</v>
      </c>
      <c r="I163" s="1" t="s">
        <v>3836</v>
      </c>
      <c r="J163" s="80"/>
      <c r="K163" s="80"/>
      <c r="L163" s="80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42.75">
      <c r="A164" s="1" t="s">
        <v>239</v>
      </c>
      <c r="B164" s="1" t="s">
        <v>240</v>
      </c>
      <c r="C164" s="1" t="s">
        <v>3837</v>
      </c>
      <c r="D164" s="5">
        <v>46141</v>
      </c>
      <c r="E164" s="5">
        <v>46141</v>
      </c>
      <c r="F164" s="120" t="s">
        <v>3838</v>
      </c>
      <c r="G164" s="80">
        <v>750000</v>
      </c>
      <c r="H164" s="80"/>
      <c r="I164" s="1" t="s">
        <v>3839</v>
      </c>
      <c r="J164" s="80">
        <v>750000</v>
      </c>
      <c r="K164" s="80"/>
      <c r="L164" s="80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8.5">
      <c r="A165" s="1" t="s">
        <v>239</v>
      </c>
      <c r="B165" s="1" t="s">
        <v>240</v>
      </c>
      <c r="C165" s="1" t="s">
        <v>3840</v>
      </c>
      <c r="D165" s="5">
        <v>46141</v>
      </c>
      <c r="E165" s="5">
        <v>46141</v>
      </c>
      <c r="F165" s="120" t="s">
        <v>3841</v>
      </c>
      <c r="G165" s="80"/>
      <c r="H165" s="80">
        <v>200</v>
      </c>
      <c r="I165" s="1" t="s">
        <v>3842</v>
      </c>
      <c r="J165" s="80"/>
      <c r="K165" s="80"/>
      <c r="L165" s="80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42.75">
      <c r="A166" s="1" t="s">
        <v>239</v>
      </c>
      <c r="B166" s="1" t="s">
        <v>240</v>
      </c>
      <c r="C166" s="1" t="s">
        <v>3840</v>
      </c>
      <c r="D166" s="5">
        <v>46141</v>
      </c>
      <c r="E166" s="5">
        <v>46141</v>
      </c>
      <c r="F166" s="120" t="s">
        <v>3843</v>
      </c>
      <c r="G166" s="80"/>
      <c r="H166" s="80">
        <v>44650</v>
      </c>
      <c r="I166" s="1" t="s">
        <v>3844</v>
      </c>
      <c r="J166" s="80"/>
      <c r="K166" s="80"/>
      <c r="L166" s="80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42.75">
      <c r="A167" s="1" t="s">
        <v>239</v>
      </c>
      <c r="B167" s="1" t="s">
        <v>240</v>
      </c>
      <c r="C167" s="1" t="s">
        <v>3845</v>
      </c>
      <c r="D167" s="5">
        <v>46141</v>
      </c>
      <c r="E167" s="5">
        <v>46141</v>
      </c>
      <c r="F167" s="120" t="s">
        <v>3846</v>
      </c>
      <c r="G167" s="80"/>
      <c r="H167" s="80">
        <v>100</v>
      </c>
      <c r="I167" s="1" t="s">
        <v>3847</v>
      </c>
      <c r="J167" s="80"/>
      <c r="K167" s="80"/>
      <c r="L167" s="80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42.75">
      <c r="A168" s="1" t="s">
        <v>239</v>
      </c>
      <c r="B168" s="1" t="s">
        <v>240</v>
      </c>
      <c r="C168" s="1" t="s">
        <v>3845</v>
      </c>
      <c r="D168" s="5">
        <v>46141</v>
      </c>
      <c r="E168" s="5">
        <v>46141</v>
      </c>
      <c r="F168" s="120" t="s">
        <v>3848</v>
      </c>
      <c r="G168" s="80"/>
      <c r="H168" s="80">
        <v>500000</v>
      </c>
      <c r="I168" s="1" t="s">
        <v>3849</v>
      </c>
      <c r="J168" s="80"/>
      <c r="K168" s="80"/>
      <c r="L168" s="80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8.5">
      <c r="A169" s="1" t="s">
        <v>239</v>
      </c>
      <c r="B169" s="1" t="s">
        <v>240</v>
      </c>
      <c r="C169" s="1" t="s">
        <v>3850</v>
      </c>
      <c r="D169" s="5">
        <v>46141</v>
      </c>
      <c r="E169" s="5">
        <v>46141</v>
      </c>
      <c r="F169" s="120" t="s">
        <v>3851</v>
      </c>
      <c r="G169" s="80"/>
      <c r="H169" s="80">
        <v>100</v>
      </c>
      <c r="I169" s="1" t="s">
        <v>3852</v>
      </c>
      <c r="J169" s="80"/>
      <c r="K169" s="80"/>
      <c r="L169" s="80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8.5">
      <c r="A170" s="1" t="s">
        <v>239</v>
      </c>
      <c r="B170" s="1" t="s">
        <v>240</v>
      </c>
      <c r="C170" s="1" t="s">
        <v>3850</v>
      </c>
      <c r="D170" s="5">
        <v>46141</v>
      </c>
      <c r="E170" s="5">
        <v>46141</v>
      </c>
      <c r="F170" s="120" t="s">
        <v>3853</v>
      </c>
      <c r="G170" s="80"/>
      <c r="H170" s="80">
        <v>20992</v>
      </c>
      <c r="I170" s="1" t="s">
        <v>3854</v>
      </c>
      <c r="J170" s="80"/>
      <c r="K170" s="80"/>
      <c r="L170" s="80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42.75">
      <c r="A171" s="1" t="s">
        <v>239</v>
      </c>
      <c r="B171" s="1" t="s">
        <v>240</v>
      </c>
      <c r="C171" s="1" t="s">
        <v>3855</v>
      </c>
      <c r="D171" s="5">
        <v>46141</v>
      </c>
      <c r="E171" s="5">
        <v>46141</v>
      </c>
      <c r="F171" s="120" t="s">
        <v>3856</v>
      </c>
      <c r="G171" s="80"/>
      <c r="H171" s="80">
        <v>200</v>
      </c>
      <c r="I171" s="1" t="s">
        <v>3857</v>
      </c>
      <c r="J171" s="80"/>
      <c r="K171" s="80"/>
      <c r="L171" s="80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42.75">
      <c r="A172" s="1" t="s">
        <v>239</v>
      </c>
      <c r="B172" s="1" t="s">
        <v>240</v>
      </c>
      <c r="C172" s="1" t="s">
        <v>3855</v>
      </c>
      <c r="D172" s="5">
        <v>46141</v>
      </c>
      <c r="E172" s="5">
        <v>46141</v>
      </c>
      <c r="F172" s="120" t="s">
        <v>3858</v>
      </c>
      <c r="G172" s="80"/>
      <c r="H172" s="80">
        <v>36800</v>
      </c>
      <c r="I172" s="1" t="s">
        <v>3859</v>
      </c>
      <c r="J172" s="80"/>
      <c r="K172" s="80"/>
      <c r="L172" s="80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42.75">
      <c r="A173" s="1" t="s">
        <v>239</v>
      </c>
      <c r="B173" s="1" t="s">
        <v>240</v>
      </c>
      <c r="C173" s="1" t="s">
        <v>3860</v>
      </c>
      <c r="D173" s="5">
        <v>46141</v>
      </c>
      <c r="E173" s="5">
        <v>46141</v>
      </c>
      <c r="F173" s="120" t="s">
        <v>3861</v>
      </c>
      <c r="G173" s="80"/>
      <c r="H173" s="80">
        <v>200</v>
      </c>
      <c r="I173" s="1" t="s">
        <v>3862</v>
      </c>
      <c r="J173" s="80"/>
      <c r="K173" s="80"/>
      <c r="L173" s="80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42.75">
      <c r="A174" s="1" t="s">
        <v>239</v>
      </c>
      <c r="B174" s="1" t="s">
        <v>240</v>
      </c>
      <c r="C174" s="1" t="s">
        <v>3860</v>
      </c>
      <c r="D174" s="5">
        <v>46141</v>
      </c>
      <c r="E174" s="5">
        <v>46141</v>
      </c>
      <c r="F174" s="120" t="s">
        <v>3863</v>
      </c>
      <c r="G174" s="80"/>
      <c r="H174" s="80">
        <v>43500</v>
      </c>
      <c r="I174" s="1" t="s">
        <v>3864</v>
      </c>
      <c r="J174" s="80"/>
      <c r="K174" s="80"/>
      <c r="L174" s="80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8.5">
      <c r="A175" s="1" t="s">
        <v>239</v>
      </c>
      <c r="B175" s="1" t="s">
        <v>240</v>
      </c>
      <c r="C175" s="1" t="s">
        <v>3865</v>
      </c>
      <c r="D175" s="5">
        <v>46141</v>
      </c>
      <c r="E175" s="5">
        <v>46141</v>
      </c>
      <c r="F175" s="120" t="s">
        <v>3866</v>
      </c>
      <c r="G175" s="80"/>
      <c r="H175" s="80">
        <v>100</v>
      </c>
      <c r="I175" s="1" t="s">
        <v>3867</v>
      </c>
      <c r="J175" s="80"/>
      <c r="K175" s="80"/>
      <c r="L175" s="80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42.75">
      <c r="A176" s="1" t="s">
        <v>239</v>
      </c>
      <c r="B176" s="1" t="s">
        <v>240</v>
      </c>
      <c r="C176" s="1" t="s">
        <v>3865</v>
      </c>
      <c r="D176" s="5">
        <v>46141</v>
      </c>
      <c r="E176" s="5">
        <v>46141</v>
      </c>
      <c r="F176" s="120" t="s">
        <v>3868</v>
      </c>
      <c r="G176" s="80"/>
      <c r="H176" s="142">
        <v>3000</v>
      </c>
      <c r="I176" s="1" t="s">
        <v>3869</v>
      </c>
      <c r="J176" s="80"/>
      <c r="K176" s="80"/>
      <c r="L176" s="80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8.5">
      <c r="A177" s="1" t="s">
        <v>239</v>
      </c>
      <c r="B177" s="1" t="s">
        <v>240</v>
      </c>
      <c r="C177" s="1" t="s">
        <v>3870</v>
      </c>
      <c r="D177" s="5">
        <v>46141</v>
      </c>
      <c r="E177" s="5">
        <v>46141</v>
      </c>
      <c r="F177" s="120" t="s">
        <v>3871</v>
      </c>
      <c r="G177" s="80"/>
      <c r="H177" s="80">
        <v>200</v>
      </c>
      <c r="I177" s="1" t="s">
        <v>3872</v>
      </c>
      <c r="J177" s="80"/>
      <c r="K177" s="80"/>
      <c r="L177" s="80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42.75">
      <c r="A178" s="1" t="s">
        <v>239</v>
      </c>
      <c r="B178" s="1" t="s">
        <v>240</v>
      </c>
      <c r="C178" s="1" t="s">
        <v>3870</v>
      </c>
      <c r="D178" s="5">
        <v>46141</v>
      </c>
      <c r="E178" s="5">
        <v>46141</v>
      </c>
      <c r="F178" s="120" t="s">
        <v>3873</v>
      </c>
      <c r="G178" s="80"/>
      <c r="H178" s="80">
        <v>13800</v>
      </c>
      <c r="I178" s="1" t="s">
        <v>3874</v>
      </c>
      <c r="J178" s="80"/>
      <c r="K178" s="80"/>
      <c r="L178" s="80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 t="s">
        <v>239</v>
      </c>
      <c r="B179" s="1" t="s">
        <v>240</v>
      </c>
      <c r="C179" s="1" t="s">
        <v>3875</v>
      </c>
      <c r="D179" s="5">
        <v>46142</v>
      </c>
      <c r="E179" s="5">
        <v>46142</v>
      </c>
      <c r="F179" s="120" t="s">
        <v>948</v>
      </c>
      <c r="G179" s="80"/>
      <c r="H179" s="80">
        <v>5180503</v>
      </c>
      <c r="I179" s="1" t="s">
        <v>3876</v>
      </c>
      <c r="J179" s="80"/>
      <c r="K179" s="80"/>
      <c r="L179" s="80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42.75">
      <c r="A180" s="1" t="s">
        <v>239</v>
      </c>
      <c r="B180" s="1" t="s">
        <v>240</v>
      </c>
      <c r="C180" s="1" t="s">
        <v>3877</v>
      </c>
      <c r="D180" s="5">
        <v>46142</v>
      </c>
      <c r="E180" s="5">
        <v>46142</v>
      </c>
      <c r="F180" s="120" t="s">
        <v>3878</v>
      </c>
      <c r="G180" s="80"/>
      <c r="H180" s="80">
        <v>56200</v>
      </c>
      <c r="I180" s="1" t="s">
        <v>3879</v>
      </c>
      <c r="J180" s="80"/>
      <c r="K180" s="80"/>
      <c r="L180" s="80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8.5">
      <c r="A181" s="1" t="s">
        <v>239</v>
      </c>
      <c r="B181" s="1" t="s">
        <v>240</v>
      </c>
      <c r="C181" s="1" t="s">
        <v>3880</v>
      </c>
      <c r="D181" s="5">
        <v>46142</v>
      </c>
      <c r="E181" s="5">
        <v>46142</v>
      </c>
      <c r="F181" s="120" t="s">
        <v>3881</v>
      </c>
      <c r="G181" s="80"/>
      <c r="H181" s="80">
        <v>1000</v>
      </c>
      <c r="I181" s="1" t="s">
        <v>3882</v>
      </c>
      <c r="J181" s="80"/>
      <c r="K181" s="80"/>
      <c r="L181" s="80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8.5">
      <c r="A182" s="1" t="s">
        <v>239</v>
      </c>
      <c r="B182" s="1" t="s">
        <v>240</v>
      </c>
      <c r="C182" s="1" t="s">
        <v>3880</v>
      </c>
      <c r="D182" s="5">
        <v>46142</v>
      </c>
      <c r="E182" s="5">
        <v>46142</v>
      </c>
      <c r="F182" s="120" t="s">
        <v>3883</v>
      </c>
      <c r="G182" s="80"/>
      <c r="H182" s="80">
        <v>300000</v>
      </c>
      <c r="I182" s="1" t="s">
        <v>3884</v>
      </c>
      <c r="J182" s="80"/>
      <c r="K182" s="80"/>
      <c r="L182" s="80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8.5">
      <c r="A183" s="1" t="s">
        <v>239</v>
      </c>
      <c r="B183" s="1" t="s">
        <v>240</v>
      </c>
      <c r="C183" s="1" t="s">
        <v>3885</v>
      </c>
      <c r="D183" s="5">
        <v>46142</v>
      </c>
      <c r="E183" s="5">
        <v>46142</v>
      </c>
      <c r="F183" s="120" t="s">
        <v>3886</v>
      </c>
      <c r="G183" s="80"/>
      <c r="H183" s="80">
        <v>200</v>
      </c>
      <c r="I183" s="1" t="s">
        <v>3887</v>
      </c>
      <c r="J183" s="80"/>
      <c r="K183" s="80"/>
      <c r="L183" s="80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42.75">
      <c r="A184" s="1" t="s">
        <v>239</v>
      </c>
      <c r="B184" s="1" t="s">
        <v>240</v>
      </c>
      <c r="C184" s="1" t="s">
        <v>3885</v>
      </c>
      <c r="D184" s="5">
        <v>46142</v>
      </c>
      <c r="E184" s="5">
        <v>46142</v>
      </c>
      <c r="F184" s="120" t="s">
        <v>3888</v>
      </c>
      <c r="G184" s="80"/>
      <c r="H184" s="80">
        <v>50000</v>
      </c>
      <c r="I184" s="1" t="s">
        <v>3889</v>
      </c>
      <c r="J184" s="80"/>
      <c r="K184" s="80"/>
      <c r="L184" s="80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20" t="s">
        <v>51</v>
      </c>
      <c r="G185" s="80">
        <f>SUM(G2:G184)</f>
        <v>30282238</v>
      </c>
      <c r="H185" s="80">
        <f>SUM(H2:H184)</f>
        <v>26819170</v>
      </c>
      <c r="I185" s="1"/>
      <c r="J185" s="80">
        <f>SUM(J2:J184)</f>
        <v>9085000</v>
      </c>
      <c r="K185" s="80">
        <f t="shared" ref="K185:L185" si="0">SUM(K2:K184)</f>
        <v>12040000</v>
      </c>
      <c r="L185" s="80">
        <f t="shared" si="0"/>
        <v>1459500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topLeftCell="A132" zoomScale="85" zoomScaleNormal="85" workbookViewId="0">
      <selection activeCell="I107" sqref="I107"/>
    </sheetView>
  </sheetViews>
  <sheetFormatPr defaultRowHeight="14.25"/>
  <cols>
    <col min="1" max="2" width="10.375" bestFit="1" customWidth="1"/>
    <col min="3" max="3" width="24.625" customWidth="1"/>
    <col min="4" max="4" width="50.5" style="122" customWidth="1"/>
    <col min="5" max="5" width="18.75" style="122" customWidth="1"/>
    <col min="6" max="6" width="13.125" customWidth="1"/>
    <col min="7" max="7" width="14" style="78" customWidth="1"/>
    <col min="8" max="8" width="9.125" style="78" bestFit="1" customWidth="1"/>
    <col min="9" max="9" width="9.875" style="78" customWidth="1"/>
    <col min="10" max="10" width="11.125" style="78" bestFit="1" customWidth="1"/>
    <col min="11" max="11" width="11.125" style="78" customWidth="1"/>
    <col min="12" max="12" width="9.125" style="78" bestFit="1" customWidth="1"/>
    <col min="13" max="13" width="14.375" style="78" customWidth="1"/>
    <col min="14" max="15" width="9.125" style="78" bestFit="1" customWidth="1"/>
    <col min="16" max="16" width="10.125" style="78" bestFit="1" customWidth="1"/>
    <col min="17" max="29" width="9.125" style="78" bestFit="1" customWidth="1"/>
    <col min="30" max="30" width="16.875" style="78" customWidth="1"/>
    <col min="31" max="32" width="9.125" style="78" bestFit="1" customWidth="1"/>
  </cols>
  <sheetData>
    <row r="1" spans="1:29" customFormat="1" ht="85.5">
      <c r="A1" s="7" t="s">
        <v>4028</v>
      </c>
      <c r="B1" s="7" t="s">
        <v>227</v>
      </c>
      <c r="C1" s="1" t="s">
        <v>225</v>
      </c>
      <c r="D1" s="120" t="s">
        <v>4029</v>
      </c>
      <c r="E1" s="120" t="s">
        <v>4030</v>
      </c>
      <c r="F1" s="156" t="s">
        <v>4031</v>
      </c>
      <c r="G1" s="80" t="s">
        <v>4032</v>
      </c>
      <c r="H1" s="157" t="s">
        <v>4033</v>
      </c>
      <c r="I1" s="80"/>
      <c r="J1" s="80"/>
      <c r="K1" s="80" t="s">
        <v>4034</v>
      </c>
      <c r="L1" s="80" t="s">
        <v>4035</v>
      </c>
      <c r="M1" s="80" t="s">
        <v>4036</v>
      </c>
      <c r="N1" s="127" t="s">
        <v>4037</v>
      </c>
      <c r="O1" s="127" t="s">
        <v>4038</v>
      </c>
      <c r="P1" s="80" t="s">
        <v>4039</v>
      </c>
      <c r="Q1" s="80" t="s">
        <v>4040</v>
      </c>
      <c r="R1" s="127" t="s">
        <v>4041</v>
      </c>
      <c r="S1" s="127" t="s">
        <v>4042</v>
      </c>
      <c r="T1" s="127" t="s">
        <v>4043</v>
      </c>
      <c r="U1" s="127" t="s">
        <v>4044</v>
      </c>
      <c r="V1" s="127" t="s">
        <v>4045</v>
      </c>
      <c r="W1" s="127" t="s">
        <v>4046</v>
      </c>
      <c r="X1" s="127" t="s">
        <v>4047</v>
      </c>
      <c r="Y1" s="127" t="s">
        <v>4048</v>
      </c>
      <c r="Z1" s="127" t="s">
        <v>4049</v>
      </c>
      <c r="AA1" s="127" t="s">
        <v>4050</v>
      </c>
      <c r="AB1" s="127" t="s">
        <v>4051</v>
      </c>
      <c r="AC1" s="127" t="s">
        <v>4026</v>
      </c>
    </row>
    <row r="2" spans="1:29" customFormat="1">
      <c r="A2" s="7">
        <v>46140</v>
      </c>
      <c r="B2" s="7">
        <v>46140</v>
      </c>
      <c r="C2" s="1" t="s">
        <v>3821</v>
      </c>
      <c r="D2" s="120" t="s">
        <v>4052</v>
      </c>
      <c r="E2" s="120">
        <v>173482726287748</v>
      </c>
      <c r="F2" s="156"/>
      <c r="G2" s="149">
        <v>15000000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</row>
    <row r="3" spans="1:29" customFormat="1">
      <c r="A3" s="7">
        <v>46142</v>
      </c>
      <c r="B3" s="7">
        <v>46142</v>
      </c>
      <c r="C3" s="1" t="s">
        <v>3875</v>
      </c>
      <c r="D3" s="120" t="s">
        <v>4053</v>
      </c>
      <c r="E3" s="120" t="s">
        <v>4054</v>
      </c>
      <c r="F3" s="156"/>
      <c r="G3" s="149">
        <v>5180503</v>
      </c>
      <c r="H3" s="80"/>
      <c r="I3" s="80"/>
      <c r="J3" s="80"/>
      <c r="K3" s="149">
        <v>5180503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 spans="1:29" customFormat="1" ht="42.75">
      <c r="A4" s="7">
        <v>46115</v>
      </c>
      <c r="B4" s="7">
        <v>46115</v>
      </c>
      <c r="C4" s="1" t="s">
        <v>3484</v>
      </c>
      <c r="D4" s="120" t="s">
        <v>3487</v>
      </c>
      <c r="E4" s="120" t="s">
        <v>4055</v>
      </c>
      <c r="F4" s="156"/>
      <c r="G4" s="80">
        <v>500000</v>
      </c>
      <c r="H4" s="80"/>
      <c r="I4" s="80"/>
      <c r="J4" s="80">
        <v>500000</v>
      </c>
      <c r="K4" s="80"/>
      <c r="L4" s="80"/>
      <c r="M4" s="80">
        <v>500000</v>
      </c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 spans="1:29" customFormat="1" ht="42.75">
      <c r="A5" s="7">
        <v>46141</v>
      </c>
      <c r="B5" s="7">
        <v>46141</v>
      </c>
      <c r="C5" s="1" t="s">
        <v>3845</v>
      </c>
      <c r="D5" s="120" t="s">
        <v>3848</v>
      </c>
      <c r="E5" s="120" t="s">
        <v>4055</v>
      </c>
      <c r="F5" s="156"/>
      <c r="G5" s="80">
        <v>500000</v>
      </c>
      <c r="H5" s="80"/>
      <c r="I5" s="80"/>
      <c r="J5" s="80">
        <v>500000</v>
      </c>
      <c r="K5" s="80"/>
      <c r="L5" s="80"/>
      <c r="M5" s="80">
        <v>500000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 spans="1:29" customFormat="1" ht="28.5">
      <c r="A6" s="7">
        <v>46114</v>
      </c>
      <c r="B6" s="7">
        <v>46114</v>
      </c>
      <c r="C6" s="1" t="s">
        <v>3415</v>
      </c>
      <c r="D6" s="120" t="s">
        <v>3418</v>
      </c>
      <c r="E6" s="120" t="s">
        <v>4037</v>
      </c>
      <c r="F6" s="156">
        <v>250788688841</v>
      </c>
      <c r="G6" s="80">
        <v>486000</v>
      </c>
      <c r="H6" s="80"/>
      <c r="I6" s="80"/>
      <c r="J6" s="80">
        <v>486000</v>
      </c>
      <c r="K6" s="80"/>
      <c r="L6" s="80"/>
      <c r="M6" s="80"/>
      <c r="N6" s="80">
        <v>486000</v>
      </c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spans="1:29" customFormat="1" ht="28.5">
      <c r="A7" s="7">
        <v>46142</v>
      </c>
      <c r="B7" s="7">
        <v>46142</v>
      </c>
      <c r="C7" s="1" t="s">
        <v>3880</v>
      </c>
      <c r="D7" s="120" t="s">
        <v>3883</v>
      </c>
      <c r="E7" s="120" t="s">
        <v>4056</v>
      </c>
      <c r="F7" s="156"/>
      <c r="G7" s="80">
        <v>300000</v>
      </c>
      <c r="H7" s="80"/>
      <c r="I7" s="80"/>
      <c r="J7" s="80">
        <v>300000</v>
      </c>
      <c r="K7" s="80"/>
      <c r="L7" s="80"/>
      <c r="M7" s="80"/>
      <c r="N7" s="80"/>
      <c r="O7" s="80"/>
      <c r="P7" s="80">
        <v>300000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</row>
    <row r="8" spans="1:29" customFormat="1" ht="28.5">
      <c r="A8" s="7">
        <v>46115</v>
      </c>
      <c r="B8" s="7">
        <v>46115</v>
      </c>
      <c r="C8" s="1" t="s">
        <v>3479</v>
      </c>
      <c r="D8" s="120" t="s">
        <v>3482</v>
      </c>
      <c r="E8" s="120" t="s">
        <v>4057</v>
      </c>
      <c r="F8" s="156"/>
      <c r="G8" s="80">
        <v>250000</v>
      </c>
      <c r="H8" s="80"/>
      <c r="I8" s="80"/>
      <c r="J8" s="80">
        <v>250000</v>
      </c>
      <c r="K8" s="80"/>
      <c r="L8" s="80"/>
      <c r="M8" s="80"/>
      <c r="N8" s="80"/>
      <c r="O8" s="80"/>
      <c r="P8" s="80"/>
      <c r="Q8" s="80">
        <v>250000</v>
      </c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</row>
    <row r="9" spans="1:29" customFormat="1" ht="114">
      <c r="A9" s="7">
        <v>46128</v>
      </c>
      <c r="B9" s="7">
        <v>46128</v>
      </c>
      <c r="C9" s="1" t="s">
        <v>3644</v>
      </c>
      <c r="D9" s="120" t="s">
        <v>3647</v>
      </c>
      <c r="E9" s="120" t="s">
        <v>4058</v>
      </c>
      <c r="F9" s="156"/>
      <c r="G9" s="80">
        <v>250000</v>
      </c>
      <c r="H9" s="80"/>
      <c r="I9" s="80"/>
      <c r="J9" s="80">
        <v>250000</v>
      </c>
      <c r="K9" s="80"/>
      <c r="L9" s="80"/>
      <c r="M9" s="80"/>
      <c r="N9" s="80"/>
      <c r="O9" s="80"/>
      <c r="P9" s="80"/>
      <c r="Q9" s="80"/>
      <c r="R9" s="80">
        <v>250000</v>
      </c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</row>
    <row r="10" spans="1:29" customFormat="1" ht="42.75">
      <c r="A10" s="7">
        <v>46121</v>
      </c>
      <c r="B10" s="7">
        <v>46121</v>
      </c>
      <c r="C10" s="1" t="s">
        <v>3517</v>
      </c>
      <c r="D10" s="120" t="s">
        <v>3518</v>
      </c>
      <c r="E10" s="120" t="s">
        <v>4059</v>
      </c>
      <c r="F10" s="156">
        <v>250788750184</v>
      </c>
      <c r="G10" s="80">
        <v>223500</v>
      </c>
      <c r="H10" s="80"/>
      <c r="I10" s="80"/>
      <c r="J10" s="80">
        <v>223500</v>
      </c>
      <c r="K10" s="80"/>
      <c r="L10" s="80"/>
      <c r="M10" s="80"/>
      <c r="N10" s="80"/>
      <c r="O10" s="80"/>
      <c r="P10" s="80"/>
      <c r="Q10" s="80"/>
      <c r="R10" s="80"/>
      <c r="S10" s="80">
        <v>223500</v>
      </c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 spans="1:29" customFormat="1" ht="42.75">
      <c r="A11" s="7">
        <v>46123</v>
      </c>
      <c r="B11" s="7">
        <v>46123</v>
      </c>
      <c r="C11" s="1" t="s">
        <v>3549</v>
      </c>
      <c r="D11" s="120" t="s">
        <v>3552</v>
      </c>
      <c r="E11" s="120" t="s">
        <v>4060</v>
      </c>
      <c r="F11" s="156"/>
      <c r="G11" s="80">
        <v>200000</v>
      </c>
      <c r="H11" s="80"/>
      <c r="I11" s="80"/>
      <c r="J11" s="80">
        <v>200000</v>
      </c>
      <c r="K11" s="80"/>
      <c r="L11" s="80"/>
      <c r="M11" s="80"/>
      <c r="N11" s="80"/>
      <c r="O11" s="80"/>
      <c r="P11" s="80"/>
      <c r="Q11" s="80"/>
      <c r="R11" s="80"/>
      <c r="S11" s="80"/>
      <c r="T11" s="80">
        <v>200000</v>
      </c>
      <c r="U11" s="80"/>
      <c r="V11" s="80"/>
      <c r="W11" s="80"/>
      <c r="X11" s="80"/>
      <c r="Y11" s="80"/>
      <c r="Z11" s="80"/>
      <c r="AA11" s="80"/>
      <c r="AB11" s="80"/>
      <c r="AC11" s="80"/>
    </row>
    <row r="12" spans="1:29" customFormat="1" ht="42.75">
      <c r="A12" s="7">
        <v>46125</v>
      </c>
      <c r="B12" s="7">
        <v>46125</v>
      </c>
      <c r="C12" s="1" t="s">
        <v>3562</v>
      </c>
      <c r="D12" s="120" t="s">
        <v>3565</v>
      </c>
      <c r="E12" s="120" t="s">
        <v>4061</v>
      </c>
      <c r="F12" s="156">
        <v>250796696881</v>
      </c>
      <c r="G12" s="80">
        <v>200000</v>
      </c>
      <c r="H12" s="80"/>
      <c r="I12" s="80"/>
      <c r="J12" s="80">
        <v>200000</v>
      </c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>
        <v>200000</v>
      </c>
      <c r="V12" s="80"/>
      <c r="W12" s="80"/>
      <c r="X12" s="80"/>
      <c r="Y12" s="80"/>
      <c r="Z12" s="80"/>
      <c r="AA12" s="80"/>
      <c r="AB12" s="80"/>
      <c r="AC12" s="80"/>
    </row>
    <row r="13" spans="1:29" customFormat="1" ht="42.75">
      <c r="A13" s="7">
        <v>46133</v>
      </c>
      <c r="B13" s="7">
        <v>46133</v>
      </c>
      <c r="C13" s="1" t="s">
        <v>3732</v>
      </c>
      <c r="D13" s="120" t="s">
        <v>3733</v>
      </c>
      <c r="E13" s="120" t="s">
        <v>4062</v>
      </c>
      <c r="F13" s="156">
        <v>250788750184</v>
      </c>
      <c r="G13" s="80">
        <v>200000</v>
      </c>
      <c r="H13" s="80"/>
      <c r="I13" s="80"/>
      <c r="J13" s="80">
        <v>200000</v>
      </c>
      <c r="K13" s="80"/>
      <c r="L13" s="80"/>
      <c r="M13" s="80">
        <v>200000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</row>
    <row r="14" spans="1:29" customFormat="1" ht="42.75">
      <c r="A14" s="7">
        <v>46139</v>
      </c>
      <c r="B14" s="7">
        <v>46139</v>
      </c>
      <c r="C14" s="1" t="s">
        <v>3808</v>
      </c>
      <c r="D14" s="120" t="s">
        <v>3811</v>
      </c>
      <c r="E14" s="120" t="s">
        <v>4063</v>
      </c>
      <c r="F14" s="156">
        <v>250783724054</v>
      </c>
      <c r="G14" s="80">
        <v>200000</v>
      </c>
      <c r="H14" s="80"/>
      <c r="I14" s="80"/>
      <c r="J14" s="80">
        <v>200000</v>
      </c>
      <c r="K14" s="80"/>
      <c r="L14" s="80"/>
      <c r="M14" s="80"/>
      <c r="N14" s="80"/>
      <c r="O14" s="80"/>
      <c r="P14" s="80"/>
      <c r="Q14" s="80"/>
      <c r="R14" s="80">
        <v>200000</v>
      </c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</row>
    <row r="15" spans="1:29" customFormat="1" ht="42.75">
      <c r="A15" s="7">
        <v>46125</v>
      </c>
      <c r="B15" s="7">
        <v>46125</v>
      </c>
      <c r="C15" s="1" t="s">
        <v>3557</v>
      </c>
      <c r="D15" s="120" t="s">
        <v>3560</v>
      </c>
      <c r="E15" s="120" t="s">
        <v>4064</v>
      </c>
      <c r="F15" s="156">
        <v>250796696881</v>
      </c>
      <c r="G15" s="80">
        <v>180000</v>
      </c>
      <c r="H15" s="80"/>
      <c r="I15" s="80"/>
      <c r="J15" s="80">
        <v>180000</v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>
        <v>180000</v>
      </c>
      <c r="V15" s="80"/>
      <c r="W15" s="80"/>
      <c r="X15" s="80"/>
      <c r="Y15" s="80"/>
      <c r="Z15" s="80"/>
      <c r="AA15" s="80"/>
      <c r="AB15" s="80"/>
      <c r="AC15" s="80"/>
    </row>
    <row r="16" spans="1:29" customFormat="1" ht="42.75">
      <c r="A16" s="7">
        <v>46137</v>
      </c>
      <c r="B16" s="7">
        <v>46137</v>
      </c>
      <c r="C16" s="1" t="s">
        <v>3797</v>
      </c>
      <c r="D16" s="120" t="s">
        <v>3798</v>
      </c>
      <c r="E16" s="120" t="s">
        <v>4065</v>
      </c>
      <c r="F16" s="156">
        <v>250788750184</v>
      </c>
      <c r="G16" s="80">
        <v>169880</v>
      </c>
      <c r="H16" s="80"/>
      <c r="I16" s="80"/>
      <c r="J16" s="80">
        <v>169880</v>
      </c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>
        <v>169880</v>
      </c>
      <c r="W16" s="80"/>
      <c r="X16" s="80"/>
      <c r="Y16" s="80"/>
      <c r="Z16" s="80"/>
      <c r="AA16" s="80"/>
      <c r="AB16" s="80"/>
      <c r="AC16" s="80"/>
    </row>
    <row r="17" spans="1:29" customFormat="1" ht="42.75">
      <c r="A17" s="7">
        <v>46131</v>
      </c>
      <c r="B17" s="7">
        <v>46131</v>
      </c>
      <c r="C17" s="1" t="s">
        <v>3697</v>
      </c>
      <c r="D17" s="120" t="s">
        <v>740</v>
      </c>
      <c r="E17" s="120" t="s">
        <v>4066</v>
      </c>
      <c r="F17" s="156"/>
      <c r="G17" s="80">
        <v>167036</v>
      </c>
      <c r="H17" s="80"/>
      <c r="I17" s="80"/>
      <c r="J17" s="80">
        <v>167036</v>
      </c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>
        <v>167036</v>
      </c>
      <c r="X17" s="80"/>
      <c r="Y17" s="80"/>
      <c r="Z17" s="80"/>
      <c r="AA17" s="80"/>
      <c r="AB17" s="80"/>
      <c r="AC17" s="80"/>
    </row>
    <row r="18" spans="1:29" customFormat="1" ht="28.5">
      <c r="A18" s="7">
        <v>46138</v>
      </c>
      <c r="B18" s="7">
        <v>46138</v>
      </c>
      <c r="C18" s="1" t="s">
        <v>3800</v>
      </c>
      <c r="D18" s="120" t="s">
        <v>3801</v>
      </c>
      <c r="E18" s="120" t="s">
        <v>4067</v>
      </c>
      <c r="F18" s="156">
        <v>250788750184</v>
      </c>
      <c r="G18" s="80">
        <v>166301</v>
      </c>
      <c r="H18" s="80"/>
      <c r="I18" s="80"/>
      <c r="J18" s="80">
        <v>166301</v>
      </c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>
        <v>166301</v>
      </c>
      <c r="Y18" s="80"/>
      <c r="Z18" s="80"/>
      <c r="AA18" s="80"/>
      <c r="AB18" s="80"/>
      <c r="AC18" s="80"/>
    </row>
    <row r="19" spans="1:29" customFormat="1" ht="42.75">
      <c r="A19" s="7">
        <v>46133</v>
      </c>
      <c r="B19" s="7">
        <v>46133</v>
      </c>
      <c r="C19" s="1" t="s">
        <v>3716</v>
      </c>
      <c r="D19" s="120" t="s">
        <v>3719</v>
      </c>
      <c r="E19" s="120" t="s">
        <v>4068</v>
      </c>
      <c r="F19" s="156">
        <v>250788676778</v>
      </c>
      <c r="G19" s="80">
        <v>164600</v>
      </c>
      <c r="H19" s="80"/>
      <c r="I19" s="80"/>
      <c r="J19" s="80">
        <v>164600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>
        <v>164600</v>
      </c>
      <c r="Z19" s="80"/>
      <c r="AA19" s="80"/>
      <c r="AB19" s="80"/>
      <c r="AC19" s="80"/>
    </row>
    <row r="20" spans="1:29" customFormat="1" ht="57">
      <c r="A20" s="7">
        <v>46140</v>
      </c>
      <c r="B20" s="7">
        <v>46140</v>
      </c>
      <c r="C20" s="1" t="s">
        <v>3834</v>
      </c>
      <c r="D20" s="120" t="s">
        <v>3835</v>
      </c>
      <c r="E20" s="120" t="s">
        <v>4069</v>
      </c>
      <c r="F20" s="156"/>
      <c r="G20" s="80">
        <v>162975</v>
      </c>
      <c r="H20" s="80"/>
      <c r="I20" s="80"/>
      <c r="J20" s="80">
        <v>162975</v>
      </c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>
        <v>162975</v>
      </c>
      <c r="AA20" s="80"/>
      <c r="AB20" s="80"/>
      <c r="AC20" s="80"/>
    </row>
    <row r="21" spans="1:29" customFormat="1" ht="42.75">
      <c r="A21" s="7">
        <v>46139</v>
      </c>
      <c r="B21" s="7">
        <v>46139</v>
      </c>
      <c r="C21" s="1" t="s">
        <v>3803</v>
      </c>
      <c r="D21" s="120" t="s">
        <v>3806</v>
      </c>
      <c r="E21" s="120" t="s">
        <v>4070</v>
      </c>
      <c r="F21" s="156">
        <v>250788531754</v>
      </c>
      <c r="G21" s="80">
        <v>158000</v>
      </c>
      <c r="H21" s="80"/>
      <c r="I21" s="80"/>
      <c r="J21" s="80">
        <v>158000</v>
      </c>
      <c r="K21" s="80"/>
      <c r="L21" s="80"/>
      <c r="M21" s="80"/>
      <c r="N21" s="80"/>
      <c r="O21" s="80"/>
      <c r="P21" s="80"/>
      <c r="Q21" s="80"/>
      <c r="R21" s="80">
        <v>158000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</row>
    <row r="22" spans="1:29" customFormat="1" ht="42.75">
      <c r="A22" s="7">
        <v>46115</v>
      </c>
      <c r="B22" s="7">
        <v>46115</v>
      </c>
      <c r="C22" s="1" t="s">
        <v>3463</v>
      </c>
      <c r="D22" s="120" t="s">
        <v>3466</v>
      </c>
      <c r="E22" s="120" t="s">
        <v>4071</v>
      </c>
      <c r="F22" s="156">
        <v>250792957653</v>
      </c>
      <c r="G22" s="80">
        <v>153230</v>
      </c>
      <c r="H22" s="80"/>
      <c r="I22" s="80"/>
      <c r="J22" s="80">
        <v>153230</v>
      </c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>
        <v>153230</v>
      </c>
      <c r="Y22" s="80"/>
      <c r="Z22" s="80"/>
      <c r="AA22" s="80"/>
      <c r="AB22" s="80"/>
      <c r="AC22" s="80"/>
    </row>
    <row r="23" spans="1:29" customFormat="1" ht="42.75">
      <c r="A23" s="7">
        <v>46126</v>
      </c>
      <c r="B23" s="7">
        <v>46126</v>
      </c>
      <c r="C23" s="1" t="s">
        <v>3572</v>
      </c>
      <c r="D23" s="120" t="s">
        <v>1064</v>
      </c>
      <c r="E23" s="120" t="s">
        <v>4072</v>
      </c>
      <c r="F23" s="156">
        <v>250788750184</v>
      </c>
      <c r="G23" s="80">
        <v>152608</v>
      </c>
      <c r="H23" s="80"/>
      <c r="I23" s="80"/>
      <c r="J23" s="80">
        <v>152608</v>
      </c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>
        <v>152608</v>
      </c>
      <c r="Y23" s="80"/>
      <c r="Z23" s="80"/>
      <c r="AA23" s="80"/>
      <c r="AB23" s="80"/>
      <c r="AC23" s="80"/>
    </row>
    <row r="24" spans="1:29" customFormat="1" ht="42.75">
      <c r="A24" s="7">
        <v>46127</v>
      </c>
      <c r="B24" s="7">
        <v>46127</v>
      </c>
      <c r="C24" s="1" t="s">
        <v>3606</v>
      </c>
      <c r="D24" s="120" t="s">
        <v>3609</v>
      </c>
      <c r="E24" s="120" t="s">
        <v>4073</v>
      </c>
      <c r="F24" s="156">
        <v>250794574040</v>
      </c>
      <c r="G24" s="80">
        <v>135000</v>
      </c>
      <c r="H24" s="80"/>
      <c r="I24" s="80"/>
      <c r="J24" s="80">
        <v>135000</v>
      </c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>
        <v>135000</v>
      </c>
      <c r="Z24" s="80"/>
      <c r="AA24" s="80"/>
      <c r="AB24" s="80"/>
      <c r="AC24" s="80"/>
    </row>
    <row r="25" spans="1:29" customFormat="1" ht="42.75">
      <c r="A25" s="7">
        <v>46136</v>
      </c>
      <c r="B25" s="7">
        <v>46136</v>
      </c>
      <c r="C25" s="1" t="s">
        <v>3781</v>
      </c>
      <c r="D25" s="120" t="s">
        <v>3784</v>
      </c>
      <c r="E25" s="120" t="s">
        <v>4074</v>
      </c>
      <c r="F25" s="156">
        <v>250786088516</v>
      </c>
      <c r="G25" s="80">
        <v>120000</v>
      </c>
      <c r="H25" s="80"/>
      <c r="I25" s="80"/>
      <c r="J25" s="80">
        <v>120000</v>
      </c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>
        <v>120000</v>
      </c>
      <c r="W25" s="80"/>
      <c r="X25" s="80"/>
      <c r="Y25" s="80"/>
      <c r="Z25" s="80"/>
      <c r="AA25" s="80"/>
      <c r="AB25" s="80"/>
      <c r="AC25" s="80"/>
    </row>
    <row r="26" spans="1:29" customFormat="1" ht="42.75">
      <c r="A26" s="7">
        <v>46140</v>
      </c>
      <c r="B26" s="7">
        <v>46140</v>
      </c>
      <c r="C26" s="1" t="s">
        <v>3831</v>
      </c>
      <c r="D26" s="120" t="s">
        <v>3832</v>
      </c>
      <c r="E26" s="120" t="s">
        <v>4075</v>
      </c>
      <c r="F26" s="156"/>
      <c r="G26" s="80">
        <v>118041</v>
      </c>
      <c r="H26" s="80"/>
      <c r="I26" s="80"/>
      <c r="J26" s="80">
        <v>118041</v>
      </c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>
        <v>118041</v>
      </c>
      <c r="AB26" s="80"/>
      <c r="AC26" s="80"/>
    </row>
    <row r="27" spans="1:29" customFormat="1" ht="42.75">
      <c r="A27" s="7">
        <v>46126</v>
      </c>
      <c r="B27" s="7">
        <v>46126</v>
      </c>
      <c r="C27" s="1" t="s">
        <v>3579</v>
      </c>
      <c r="D27" s="120" t="s">
        <v>3580</v>
      </c>
      <c r="E27" s="120" t="s">
        <v>4076</v>
      </c>
      <c r="F27" s="156"/>
      <c r="G27" s="80">
        <v>107702</v>
      </c>
      <c r="H27" s="80"/>
      <c r="I27" s="80"/>
      <c r="J27" s="80">
        <v>107702</v>
      </c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>
        <v>107702</v>
      </c>
      <c r="AB27" s="80"/>
      <c r="AC27" s="80"/>
    </row>
    <row r="28" spans="1:29" customFormat="1" ht="29.25">
      <c r="A28" s="7">
        <v>46133</v>
      </c>
      <c r="B28" s="7">
        <v>46133</v>
      </c>
      <c r="C28" s="1" t="s">
        <v>3729</v>
      </c>
      <c r="D28" s="120" t="s">
        <v>693</v>
      </c>
      <c r="E28" s="120" t="s">
        <v>4077</v>
      </c>
      <c r="F28" s="156">
        <v>250781550829</v>
      </c>
      <c r="G28" s="80">
        <v>100000</v>
      </c>
      <c r="H28" s="80"/>
      <c r="I28" s="80"/>
      <c r="J28" s="139">
        <f>SUM(J4:J27)</f>
        <v>5264873</v>
      </c>
      <c r="K28" s="139"/>
      <c r="L28" s="13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>
        <v>100000</v>
      </c>
      <c r="AC28" s="80"/>
    </row>
    <row r="29" spans="1:29" customFormat="1" ht="42.75">
      <c r="A29" s="7">
        <v>46137</v>
      </c>
      <c r="B29" s="7">
        <v>46137</v>
      </c>
      <c r="C29" s="1" t="s">
        <v>3792</v>
      </c>
      <c r="D29" s="120" t="s">
        <v>3795</v>
      </c>
      <c r="E29" s="120" t="s">
        <v>4078</v>
      </c>
      <c r="F29" s="156">
        <v>250788319909</v>
      </c>
      <c r="G29" s="80">
        <v>100000</v>
      </c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>
        <v>100000</v>
      </c>
      <c r="AC29" s="80"/>
    </row>
    <row r="30" spans="1:29" customFormat="1" ht="28.5">
      <c r="A30" s="7">
        <v>46113</v>
      </c>
      <c r="B30" s="7">
        <v>46113</v>
      </c>
      <c r="C30" s="1" t="s">
        <v>3389</v>
      </c>
      <c r="D30" s="120" t="s">
        <v>3392</v>
      </c>
      <c r="E30" s="120" t="s">
        <v>4079</v>
      </c>
      <c r="F30" s="156"/>
      <c r="G30" s="80">
        <v>90000</v>
      </c>
      <c r="H30" s="80"/>
      <c r="I30" s="80"/>
      <c r="J30" s="80"/>
      <c r="K30" s="80"/>
      <c r="L30" s="80"/>
      <c r="M30" s="80"/>
      <c r="N30" s="80"/>
      <c r="O30" s="80"/>
      <c r="P30" s="80">
        <v>90000</v>
      </c>
      <c r="Q30" s="80"/>
      <c r="R30" s="80"/>
      <c r="S30" s="80"/>
      <c r="T30" s="80"/>
      <c r="U30" s="80"/>
      <c r="V30" s="80"/>
      <c r="W30" s="80"/>
      <c r="X30" s="80"/>
      <c r="Y30" s="80">
        <v>90000</v>
      </c>
      <c r="Z30" s="80"/>
      <c r="AA30" s="80"/>
      <c r="AB30" s="80"/>
      <c r="AC30" s="80"/>
    </row>
    <row r="31" spans="1:29" customFormat="1" ht="42.75">
      <c r="A31" s="7">
        <v>46135</v>
      </c>
      <c r="B31" s="7">
        <v>46135</v>
      </c>
      <c r="C31" s="1" t="s">
        <v>3773</v>
      </c>
      <c r="D31" s="120" t="s">
        <v>3776</v>
      </c>
      <c r="E31" s="120" t="s">
        <v>4080</v>
      </c>
      <c r="F31" s="156">
        <v>250781510235</v>
      </c>
      <c r="G31" s="80">
        <v>90000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</row>
    <row r="32" spans="1:29" customFormat="1" ht="42.75">
      <c r="A32" s="7">
        <v>46133</v>
      </c>
      <c r="B32" s="7">
        <v>46133</v>
      </c>
      <c r="C32" s="1" t="s">
        <v>3721</v>
      </c>
      <c r="D32" s="120" t="s">
        <v>3722</v>
      </c>
      <c r="E32" s="120" t="s">
        <v>4081</v>
      </c>
      <c r="F32" s="156">
        <v>250788750184</v>
      </c>
      <c r="G32" s="80">
        <v>88000</v>
      </c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>
        <v>88000</v>
      </c>
      <c r="Z32" s="80"/>
      <c r="AA32" s="80"/>
      <c r="AB32" s="80"/>
      <c r="AC32" s="80"/>
    </row>
    <row r="33" spans="1:29" customFormat="1">
      <c r="A33" s="7">
        <v>46113</v>
      </c>
      <c r="B33" s="7">
        <v>46113</v>
      </c>
      <c r="C33" s="1" t="s">
        <v>3395</v>
      </c>
      <c r="D33" s="120" t="s">
        <v>2684</v>
      </c>
      <c r="E33" s="120" t="s">
        <v>4082</v>
      </c>
      <c r="F33" s="156"/>
      <c r="G33" s="80">
        <v>80000</v>
      </c>
      <c r="H33" s="80"/>
      <c r="I33" s="80"/>
      <c r="J33" s="80"/>
      <c r="K33" s="80"/>
      <c r="L33" s="80"/>
      <c r="M33" s="80"/>
      <c r="N33" s="80"/>
      <c r="O33" s="80"/>
      <c r="P33" s="80">
        <v>80000</v>
      </c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</row>
    <row r="34" spans="1:29" customFormat="1" ht="42.75">
      <c r="A34" s="7">
        <v>46122</v>
      </c>
      <c r="B34" s="7">
        <v>46122</v>
      </c>
      <c r="C34" s="1" t="s">
        <v>3541</v>
      </c>
      <c r="D34" s="120" t="s">
        <v>3542</v>
      </c>
      <c r="E34" s="120" t="s">
        <v>4083</v>
      </c>
      <c r="F34" s="156">
        <v>250788750184</v>
      </c>
      <c r="G34" s="80">
        <v>80000</v>
      </c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>
        <v>80000</v>
      </c>
      <c r="X34" s="80"/>
      <c r="Y34" s="80"/>
      <c r="Z34" s="80"/>
      <c r="AA34" s="80"/>
      <c r="AB34" s="80"/>
      <c r="AC34" s="80"/>
    </row>
    <row r="35" spans="1:29" customFormat="1" ht="42.75">
      <c r="A35" s="7">
        <v>46127</v>
      </c>
      <c r="B35" s="7">
        <v>46127</v>
      </c>
      <c r="C35" s="1" t="s">
        <v>3616</v>
      </c>
      <c r="D35" s="120" t="s">
        <v>3619</v>
      </c>
      <c r="E35" s="120" t="s">
        <v>4084</v>
      </c>
      <c r="F35" s="156">
        <v>250798977716</v>
      </c>
      <c r="G35" s="80">
        <v>80000</v>
      </c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>
        <v>80000</v>
      </c>
      <c r="W35" s="80"/>
      <c r="X35" s="80"/>
      <c r="Y35" s="80"/>
      <c r="Z35" s="80"/>
      <c r="AA35" s="80"/>
      <c r="AB35" s="80"/>
      <c r="AC35" s="80"/>
    </row>
    <row r="36" spans="1:29" customFormat="1" ht="42.75">
      <c r="A36" s="7">
        <v>46128</v>
      </c>
      <c r="B36" s="7">
        <v>46128</v>
      </c>
      <c r="C36" s="1" t="s">
        <v>3626</v>
      </c>
      <c r="D36" s="120" t="s">
        <v>3629</v>
      </c>
      <c r="E36" s="120" t="s">
        <v>4085</v>
      </c>
      <c r="F36" s="156">
        <v>250781550829</v>
      </c>
      <c r="G36" s="80">
        <v>75000</v>
      </c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>
        <v>75000</v>
      </c>
      <c r="Y36" s="80"/>
      <c r="Z36" s="80"/>
      <c r="AA36" s="80"/>
      <c r="AB36" s="80"/>
      <c r="AC36" s="80"/>
    </row>
    <row r="37" spans="1:29" customFormat="1" ht="42.75">
      <c r="A37" s="7">
        <v>46133</v>
      </c>
      <c r="B37" s="7">
        <v>46133</v>
      </c>
      <c r="C37" s="1" t="s">
        <v>3706</v>
      </c>
      <c r="D37" s="120" t="s">
        <v>3709</v>
      </c>
      <c r="E37" s="120" t="s">
        <v>4086</v>
      </c>
      <c r="F37" s="156">
        <v>250780526896</v>
      </c>
      <c r="G37" s="80">
        <v>64000</v>
      </c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>
        <v>64000</v>
      </c>
      <c r="Z37" s="80"/>
      <c r="AA37" s="80"/>
      <c r="AB37" s="80"/>
      <c r="AC37" s="80"/>
    </row>
    <row r="38" spans="1:29" customFormat="1" ht="42.75">
      <c r="A38" s="7">
        <v>46113</v>
      </c>
      <c r="B38" s="7">
        <v>46113</v>
      </c>
      <c r="C38" s="1" t="s">
        <v>3403</v>
      </c>
      <c r="D38" s="120" t="s">
        <v>3406</v>
      </c>
      <c r="E38" s="120" t="s">
        <v>4087</v>
      </c>
      <c r="F38" s="156">
        <v>250788422371</v>
      </c>
      <c r="G38" s="80">
        <v>61000</v>
      </c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>
        <v>61000</v>
      </c>
      <c r="AC38" s="80"/>
    </row>
    <row r="39" spans="1:29" customFormat="1" ht="28.5">
      <c r="A39" s="7">
        <v>46113</v>
      </c>
      <c r="B39" s="7">
        <v>46113</v>
      </c>
      <c r="C39" s="1" t="s">
        <v>3398</v>
      </c>
      <c r="D39" s="120" t="s">
        <v>3401</v>
      </c>
      <c r="E39" s="120" t="s">
        <v>4088</v>
      </c>
      <c r="F39" s="156"/>
      <c r="G39" s="80">
        <v>60000</v>
      </c>
      <c r="H39" s="80"/>
      <c r="I39" s="80"/>
      <c r="J39" s="80"/>
      <c r="K39" s="80"/>
      <c r="L39" s="80"/>
      <c r="M39" s="80"/>
      <c r="N39" s="80"/>
      <c r="O39" s="80"/>
      <c r="P39" s="80">
        <v>60000</v>
      </c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</row>
    <row r="40" spans="1:29" customFormat="1" ht="42.75">
      <c r="A40" s="7">
        <v>46113</v>
      </c>
      <c r="B40" s="7">
        <v>46113</v>
      </c>
      <c r="C40" s="1" t="s">
        <v>3411</v>
      </c>
      <c r="D40" s="120" t="s">
        <v>2802</v>
      </c>
      <c r="E40" s="120" t="s">
        <v>4089</v>
      </c>
      <c r="F40" s="156">
        <v>250788750184</v>
      </c>
      <c r="G40" s="80">
        <v>60000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>
        <v>60000</v>
      </c>
      <c r="X40" s="80"/>
      <c r="Y40" s="80"/>
      <c r="Z40" s="80"/>
      <c r="AA40" s="80"/>
      <c r="AB40" s="80"/>
      <c r="AC40" s="80"/>
    </row>
    <row r="41" spans="1:29" customFormat="1" ht="57">
      <c r="A41" s="7">
        <v>46135</v>
      </c>
      <c r="B41" s="7">
        <v>46135</v>
      </c>
      <c r="C41" s="1" t="s">
        <v>3760</v>
      </c>
      <c r="D41" s="120" t="s">
        <v>3763</v>
      </c>
      <c r="E41" s="120" t="s">
        <v>4090</v>
      </c>
      <c r="F41" s="156">
        <v>250786789153</v>
      </c>
      <c r="G41" s="80">
        <v>58000</v>
      </c>
      <c r="H41" s="80"/>
      <c r="I41" s="80"/>
      <c r="J41" s="80"/>
      <c r="K41" s="80"/>
      <c r="L41" s="80"/>
      <c r="M41" s="80"/>
      <c r="N41" s="80"/>
      <c r="O41" s="80">
        <v>58000</v>
      </c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</row>
    <row r="42" spans="1:29" customFormat="1" ht="42.75">
      <c r="A42" s="7">
        <v>46142</v>
      </c>
      <c r="B42" s="7">
        <v>46142</v>
      </c>
      <c r="C42" s="1" t="s">
        <v>3877</v>
      </c>
      <c r="D42" s="120" t="s">
        <v>3878</v>
      </c>
      <c r="E42" s="120" t="s">
        <v>4091</v>
      </c>
      <c r="F42" s="156">
        <v>250788750184</v>
      </c>
      <c r="G42" s="80">
        <v>56200</v>
      </c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>
        <v>56200</v>
      </c>
      <c r="Z42" s="80"/>
      <c r="AA42" s="80"/>
      <c r="AB42" s="80"/>
      <c r="AC42" s="80"/>
    </row>
    <row r="43" spans="1:29" customFormat="1" ht="42.75">
      <c r="A43" s="7">
        <v>46139</v>
      </c>
      <c r="B43" s="7">
        <v>46139</v>
      </c>
      <c r="C43" s="1" t="s">
        <v>3813</v>
      </c>
      <c r="D43" s="120" t="s">
        <v>3814</v>
      </c>
      <c r="E43" s="120" t="s">
        <v>4092</v>
      </c>
      <c r="F43" s="156">
        <v>250788750184</v>
      </c>
      <c r="G43" s="80">
        <v>50000</v>
      </c>
      <c r="H43" s="80"/>
      <c r="I43" s="80"/>
      <c r="J43" s="80">
        <v>50000</v>
      </c>
      <c r="K43" s="80"/>
      <c r="L43" s="80"/>
      <c r="M43" s="80"/>
      <c r="N43" s="80"/>
      <c r="O43" s="80"/>
      <c r="P43" s="80"/>
      <c r="Q43" s="80"/>
      <c r="R43" s="80"/>
      <c r="S43" s="80"/>
      <c r="T43" s="80">
        <v>50000</v>
      </c>
      <c r="U43" s="80"/>
      <c r="V43" s="80"/>
      <c r="W43" s="80"/>
      <c r="X43" s="80"/>
      <c r="Y43" s="80"/>
      <c r="Z43" s="80"/>
      <c r="AA43" s="80"/>
      <c r="AB43" s="80"/>
      <c r="AC43" s="80"/>
    </row>
    <row r="44" spans="1:29" customFormat="1" ht="42.75">
      <c r="A44" s="7">
        <v>46142</v>
      </c>
      <c r="B44" s="7">
        <v>46142</v>
      </c>
      <c r="C44" s="1" t="s">
        <v>3885</v>
      </c>
      <c r="D44" s="120" t="s">
        <v>3888</v>
      </c>
      <c r="E44" s="120" t="s">
        <v>4093</v>
      </c>
      <c r="F44" s="156">
        <v>250788688841</v>
      </c>
      <c r="G44" s="80">
        <v>50000</v>
      </c>
      <c r="H44" s="80"/>
      <c r="I44" s="80"/>
      <c r="J44" s="80">
        <v>50000</v>
      </c>
      <c r="K44" s="80"/>
      <c r="L44" s="80"/>
      <c r="M44" s="80"/>
      <c r="N44" s="80"/>
      <c r="O44" s="80">
        <v>50000</v>
      </c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</row>
    <row r="45" spans="1:29" customFormat="1" ht="42.75">
      <c r="A45" s="7">
        <v>46135</v>
      </c>
      <c r="B45" s="7">
        <v>46135</v>
      </c>
      <c r="C45" s="1" t="s">
        <v>3755</v>
      </c>
      <c r="D45" s="120" t="s">
        <v>3758</v>
      </c>
      <c r="E45" s="120" t="s">
        <v>4094</v>
      </c>
      <c r="F45" s="156">
        <v>250788663048</v>
      </c>
      <c r="G45" s="80">
        <v>49000</v>
      </c>
      <c r="H45" s="80"/>
      <c r="I45" s="80"/>
      <c r="J45" s="80">
        <v>49000</v>
      </c>
      <c r="K45" s="80"/>
      <c r="L45" s="80"/>
      <c r="M45" s="80"/>
      <c r="N45" s="80"/>
      <c r="O45" s="80">
        <v>49000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</row>
    <row r="46" spans="1:29" customFormat="1" ht="42.75">
      <c r="A46" s="7">
        <v>46141</v>
      </c>
      <c r="B46" s="7">
        <v>46141</v>
      </c>
      <c r="C46" s="1" t="s">
        <v>3840</v>
      </c>
      <c r="D46" s="120" t="s">
        <v>3843</v>
      </c>
      <c r="E46" s="120" t="s">
        <v>4095</v>
      </c>
      <c r="F46" s="156">
        <v>250788688841</v>
      </c>
      <c r="G46" s="80">
        <v>44650</v>
      </c>
      <c r="H46" s="80"/>
      <c r="I46" s="80"/>
      <c r="J46" s="80">
        <v>44650</v>
      </c>
      <c r="K46" s="80"/>
      <c r="L46" s="80"/>
      <c r="M46" s="80"/>
      <c r="N46" s="80"/>
      <c r="O46" s="80">
        <v>44650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</row>
    <row r="47" spans="1:29" customFormat="1" ht="42.75">
      <c r="A47" s="7">
        <v>46141</v>
      </c>
      <c r="B47" s="7">
        <v>46141</v>
      </c>
      <c r="C47" s="1" t="s">
        <v>3860</v>
      </c>
      <c r="D47" s="120" t="s">
        <v>3863</v>
      </c>
      <c r="E47" s="120" t="s">
        <v>4096</v>
      </c>
      <c r="F47" s="156">
        <v>250788542456</v>
      </c>
      <c r="G47" s="80">
        <v>43500</v>
      </c>
      <c r="H47" s="80"/>
      <c r="I47" s="80"/>
      <c r="J47" s="80">
        <v>43500</v>
      </c>
      <c r="K47" s="80"/>
      <c r="L47" s="80"/>
      <c r="M47" s="80"/>
      <c r="N47" s="80"/>
      <c r="O47" s="80">
        <v>0</v>
      </c>
      <c r="P47" s="80"/>
      <c r="Q47" s="80"/>
      <c r="R47" s="80"/>
      <c r="S47" s="80"/>
      <c r="T47" s="80"/>
      <c r="U47" s="80"/>
      <c r="V47" s="80">
        <v>43500</v>
      </c>
      <c r="W47" s="80"/>
      <c r="X47" s="80"/>
      <c r="Y47" s="80"/>
      <c r="Z47" s="80"/>
      <c r="AA47" s="80"/>
      <c r="AB47" s="80"/>
      <c r="AC47" s="80"/>
    </row>
    <row r="48" spans="1:29" customFormat="1" ht="42.75">
      <c r="A48" s="7">
        <v>46141</v>
      </c>
      <c r="B48" s="7">
        <v>46141</v>
      </c>
      <c r="C48" s="1" t="s">
        <v>3855</v>
      </c>
      <c r="D48" s="120" t="s">
        <v>3858</v>
      </c>
      <c r="E48" s="120" t="s">
        <v>4097</v>
      </c>
      <c r="F48" s="156">
        <v>250792142796</v>
      </c>
      <c r="G48" s="80">
        <v>36800</v>
      </c>
      <c r="H48" s="80"/>
      <c r="I48" s="80"/>
      <c r="J48" s="80">
        <v>36800</v>
      </c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>
        <v>36800</v>
      </c>
      <c r="W48" s="80"/>
      <c r="X48" s="80"/>
      <c r="Y48" s="80"/>
      <c r="Z48" s="80"/>
      <c r="AA48" s="80"/>
      <c r="AB48" s="80"/>
      <c r="AC48" s="80"/>
    </row>
    <row r="49" spans="1:29" customFormat="1" ht="42.75">
      <c r="A49" s="7">
        <v>46120</v>
      </c>
      <c r="B49" s="7">
        <v>46120</v>
      </c>
      <c r="C49" s="1" t="s">
        <v>3507</v>
      </c>
      <c r="D49" s="120" t="s">
        <v>3510</v>
      </c>
      <c r="E49" s="120" t="s">
        <v>4098</v>
      </c>
      <c r="F49" s="156">
        <v>250788346611</v>
      </c>
      <c r="G49" s="80">
        <v>35000</v>
      </c>
      <c r="H49" s="80"/>
      <c r="I49" s="80"/>
      <c r="J49" s="80">
        <v>35000</v>
      </c>
      <c r="K49" s="80"/>
      <c r="L49" s="80"/>
      <c r="M49" s="80">
        <v>35000</v>
      </c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</row>
    <row r="50" spans="1:29" customFormat="1" ht="42.75">
      <c r="A50" s="7">
        <v>46128</v>
      </c>
      <c r="B50" s="7">
        <v>46128</v>
      </c>
      <c r="C50" s="1" t="s">
        <v>3639</v>
      </c>
      <c r="D50" s="120" t="s">
        <v>3642</v>
      </c>
      <c r="E50" s="120" t="s">
        <v>4099</v>
      </c>
      <c r="F50" s="156">
        <v>250788874823</v>
      </c>
      <c r="G50" s="80">
        <v>33500</v>
      </c>
      <c r="H50" s="80"/>
      <c r="I50" s="80"/>
      <c r="J50" s="80">
        <v>33500</v>
      </c>
      <c r="K50" s="80"/>
      <c r="L50" s="80"/>
      <c r="M50" s="80"/>
      <c r="N50" s="80"/>
      <c r="O50" s="78"/>
      <c r="P50" s="80"/>
      <c r="Q50" s="80"/>
      <c r="R50" s="80"/>
      <c r="S50" s="80"/>
      <c r="T50" s="80"/>
      <c r="U50" s="80"/>
      <c r="V50" s="80">
        <v>33500</v>
      </c>
      <c r="W50" s="80"/>
      <c r="X50" s="80"/>
      <c r="Y50" s="80"/>
      <c r="Z50" s="80"/>
      <c r="AA50" s="80"/>
      <c r="AB50" s="80"/>
      <c r="AC50" s="80"/>
    </row>
    <row r="51" spans="1:29" customFormat="1" ht="28.5">
      <c r="A51" s="7">
        <v>46133</v>
      </c>
      <c r="B51" s="7">
        <v>46133</v>
      </c>
      <c r="C51" s="1" t="s">
        <v>3711</v>
      </c>
      <c r="D51" s="120" t="s">
        <v>3714</v>
      </c>
      <c r="E51" s="120" t="s">
        <v>4100</v>
      </c>
      <c r="F51" s="156">
        <v>250788622667</v>
      </c>
      <c r="G51" s="80">
        <v>33000</v>
      </c>
      <c r="H51" s="80"/>
      <c r="I51" s="80"/>
      <c r="J51" s="80">
        <v>33000</v>
      </c>
      <c r="K51" s="80"/>
      <c r="L51" s="80"/>
      <c r="M51" s="80"/>
      <c r="N51" s="80"/>
      <c r="O51" s="78"/>
      <c r="P51" s="80"/>
      <c r="Q51" s="80"/>
      <c r="R51" s="80"/>
      <c r="S51" s="80"/>
      <c r="T51" s="80"/>
      <c r="U51" s="80"/>
      <c r="V51" s="80"/>
      <c r="W51" s="80"/>
      <c r="X51" s="80"/>
      <c r="Y51" s="80">
        <v>33000</v>
      </c>
      <c r="Z51" s="80"/>
      <c r="AA51" s="80"/>
      <c r="AB51" s="80"/>
      <c r="AC51" s="80"/>
    </row>
    <row r="52" spans="1:29" customFormat="1" ht="28.5">
      <c r="A52" s="7">
        <v>46126</v>
      </c>
      <c r="B52" s="7">
        <v>46126</v>
      </c>
      <c r="C52" s="1" t="s">
        <v>3593</v>
      </c>
      <c r="D52" s="120" t="s">
        <v>3596</v>
      </c>
      <c r="E52" s="120" t="s">
        <v>4101</v>
      </c>
      <c r="F52" s="156">
        <v>250788605907</v>
      </c>
      <c r="G52" s="80">
        <v>30000</v>
      </c>
      <c r="H52" s="80"/>
      <c r="I52" s="80"/>
      <c r="J52" s="80">
        <v>30000</v>
      </c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151">
        <v>30000</v>
      </c>
      <c r="Z52" s="80"/>
      <c r="AA52" s="80"/>
      <c r="AB52" s="80"/>
      <c r="AC52" s="80"/>
    </row>
    <row r="53" spans="1:29" customFormat="1" ht="42.75">
      <c r="A53" s="7">
        <v>46128</v>
      </c>
      <c r="B53" s="7">
        <v>46128</v>
      </c>
      <c r="C53" s="1" t="s">
        <v>3649</v>
      </c>
      <c r="D53" s="120" t="s">
        <v>3652</v>
      </c>
      <c r="E53" s="120" t="s">
        <v>4102</v>
      </c>
      <c r="F53" s="156">
        <v>250783469811</v>
      </c>
      <c r="G53" s="80">
        <v>28500</v>
      </c>
      <c r="H53" s="80"/>
      <c r="I53" s="80"/>
      <c r="J53" s="80">
        <v>28500</v>
      </c>
      <c r="K53" s="80"/>
      <c r="L53" s="80"/>
      <c r="M53" s="80"/>
      <c r="N53" s="80"/>
      <c r="O53" s="80"/>
      <c r="P53" s="80"/>
      <c r="Q53" s="80"/>
      <c r="R53" s="80">
        <v>28500</v>
      </c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</row>
    <row r="54" spans="1:29" customFormat="1" ht="42.75">
      <c r="A54" s="7">
        <v>46123</v>
      </c>
      <c r="B54" s="7">
        <v>46123</v>
      </c>
      <c r="C54" s="1" t="s">
        <v>3554</v>
      </c>
      <c r="D54" s="120" t="s">
        <v>3555</v>
      </c>
      <c r="E54" s="120" t="s">
        <v>4103</v>
      </c>
      <c r="F54" s="156">
        <v>250788750184</v>
      </c>
      <c r="G54" s="80">
        <v>28000</v>
      </c>
      <c r="H54" s="80"/>
      <c r="I54" s="80"/>
      <c r="J54" s="80">
        <v>28000</v>
      </c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>
        <v>28000</v>
      </c>
      <c r="Z54" s="80"/>
      <c r="AA54" s="80"/>
      <c r="AB54" s="80"/>
      <c r="AC54" s="80"/>
    </row>
    <row r="55" spans="1:29" customFormat="1" ht="42.75">
      <c r="A55" s="7">
        <v>46128</v>
      </c>
      <c r="B55" s="7">
        <v>46128</v>
      </c>
      <c r="C55" s="1" t="s">
        <v>3654</v>
      </c>
      <c r="D55" s="120" t="s">
        <v>3657</v>
      </c>
      <c r="E55" s="120" t="s">
        <v>4104</v>
      </c>
      <c r="F55" s="156">
        <v>250780526847</v>
      </c>
      <c r="G55" s="80">
        <v>27000</v>
      </c>
      <c r="H55" s="80"/>
      <c r="I55" s="80"/>
      <c r="J55" s="80">
        <v>27000</v>
      </c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>
        <v>27000</v>
      </c>
      <c r="Y55" s="80"/>
      <c r="Z55" s="80"/>
      <c r="AA55" s="80"/>
      <c r="AB55" s="80"/>
      <c r="AC55" s="80"/>
    </row>
    <row r="56" spans="1:29" customFormat="1" ht="42.75">
      <c r="A56" s="7">
        <v>46136</v>
      </c>
      <c r="B56" s="7">
        <v>46136</v>
      </c>
      <c r="C56" s="1" t="s">
        <v>3789</v>
      </c>
      <c r="D56" s="120" t="s">
        <v>3790</v>
      </c>
      <c r="E56" s="120" t="s">
        <v>4105</v>
      </c>
      <c r="F56" s="156">
        <v>250788750184</v>
      </c>
      <c r="G56" s="80">
        <v>26702</v>
      </c>
      <c r="H56" s="80"/>
      <c r="I56" s="80"/>
      <c r="J56" s="80">
        <v>26702</v>
      </c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>
        <v>26702</v>
      </c>
      <c r="AB56" s="80"/>
      <c r="AC56" s="80"/>
    </row>
    <row r="57" spans="1:29" customFormat="1" ht="42.75">
      <c r="A57" s="7">
        <v>46127</v>
      </c>
      <c r="B57" s="7">
        <v>46127</v>
      </c>
      <c r="C57" s="1" t="s">
        <v>3601</v>
      </c>
      <c r="D57" s="120" t="s">
        <v>3604</v>
      </c>
      <c r="E57" s="120" t="s">
        <v>4106</v>
      </c>
      <c r="F57" s="156">
        <v>250783724054</v>
      </c>
      <c r="G57" s="80">
        <v>25000</v>
      </c>
      <c r="H57" s="80"/>
      <c r="I57" s="80"/>
      <c r="J57" s="80">
        <v>25000</v>
      </c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>
        <v>25000</v>
      </c>
    </row>
    <row r="58" spans="1:29" customFormat="1" ht="42.75">
      <c r="A58" s="7">
        <v>46129</v>
      </c>
      <c r="B58" s="7">
        <v>46129</v>
      </c>
      <c r="C58" s="1" t="s">
        <v>3682</v>
      </c>
      <c r="D58" s="120" t="s">
        <v>3685</v>
      </c>
      <c r="E58" s="120" t="s">
        <v>4107</v>
      </c>
      <c r="F58" s="156">
        <v>250785480225</v>
      </c>
      <c r="G58" s="80">
        <v>25000</v>
      </c>
      <c r="H58" s="80"/>
      <c r="I58" s="80"/>
      <c r="J58" s="80">
        <v>25000</v>
      </c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>
        <v>25000</v>
      </c>
      <c r="W58" s="80"/>
      <c r="X58" s="80"/>
      <c r="Y58" s="80"/>
      <c r="Z58" s="80"/>
      <c r="AA58" s="80"/>
      <c r="AB58" s="80"/>
      <c r="AC58" s="80"/>
    </row>
    <row r="59" spans="1:29" customFormat="1" ht="71.25">
      <c r="A59" s="7">
        <v>46131</v>
      </c>
      <c r="B59" s="7">
        <v>46131</v>
      </c>
      <c r="C59" s="1" t="s">
        <v>3700</v>
      </c>
      <c r="D59" s="120" t="s">
        <v>3701</v>
      </c>
      <c r="E59" s="120" t="s">
        <v>4108</v>
      </c>
      <c r="F59" s="156"/>
      <c r="G59" s="80">
        <v>25000</v>
      </c>
      <c r="H59" s="80"/>
      <c r="I59" s="80"/>
      <c r="J59" s="80">
        <v>25000</v>
      </c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>
        <v>25000</v>
      </c>
      <c r="Y59" s="80"/>
      <c r="Z59" s="80"/>
      <c r="AA59" s="80"/>
      <c r="AB59" s="80"/>
      <c r="AC59" s="80"/>
    </row>
    <row r="60" spans="1:29" customFormat="1" ht="42.75">
      <c r="A60" s="7">
        <v>46127</v>
      </c>
      <c r="B60" s="7">
        <v>46127</v>
      </c>
      <c r="C60" s="1" t="s">
        <v>3611</v>
      </c>
      <c r="D60" s="120" t="s">
        <v>3614</v>
      </c>
      <c r="E60" s="120" t="s">
        <v>4109</v>
      </c>
      <c r="F60" s="156">
        <v>250788273991</v>
      </c>
      <c r="G60" s="80">
        <v>21300</v>
      </c>
      <c r="H60" s="80"/>
      <c r="I60" s="80"/>
      <c r="J60" s="80">
        <v>21300</v>
      </c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>
        <v>21300</v>
      </c>
      <c r="W60" s="80"/>
      <c r="X60" s="80"/>
      <c r="Y60" s="80"/>
      <c r="Z60" s="80"/>
      <c r="AA60" s="80"/>
      <c r="AB60" s="80"/>
      <c r="AC60" s="80"/>
    </row>
    <row r="61" spans="1:29" customFormat="1" ht="42.75">
      <c r="A61" s="7">
        <v>46141</v>
      </c>
      <c r="B61" s="7">
        <v>46141</v>
      </c>
      <c r="C61" s="1" t="s">
        <v>3850</v>
      </c>
      <c r="D61" s="120" t="s">
        <v>3853</v>
      </c>
      <c r="E61" s="120" t="s">
        <v>4110</v>
      </c>
      <c r="F61" s="156"/>
      <c r="G61" s="80">
        <v>20992</v>
      </c>
      <c r="H61" s="80"/>
      <c r="I61" s="80"/>
      <c r="J61" s="80">
        <v>20992</v>
      </c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>
        <v>20992</v>
      </c>
      <c r="Z61" s="80"/>
      <c r="AA61" s="80"/>
      <c r="AB61" s="80"/>
      <c r="AC61" s="80"/>
    </row>
    <row r="62" spans="1:29" customFormat="1" ht="42.75">
      <c r="A62" s="7">
        <v>46125</v>
      </c>
      <c r="B62" s="7">
        <v>46125</v>
      </c>
      <c r="C62" s="1" t="s">
        <v>3567</v>
      </c>
      <c r="D62" s="120" t="s">
        <v>3570</v>
      </c>
      <c r="E62" s="120" t="s">
        <v>4111</v>
      </c>
      <c r="F62" s="156">
        <v>250785480225</v>
      </c>
      <c r="G62" s="80">
        <v>20000</v>
      </c>
      <c r="H62" s="80"/>
      <c r="I62" s="80"/>
      <c r="J62" s="80">
        <v>20000</v>
      </c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>
        <v>20000</v>
      </c>
      <c r="W62" s="80"/>
      <c r="X62" s="80"/>
      <c r="Y62" s="80"/>
      <c r="Z62" s="80"/>
      <c r="AA62" s="80"/>
      <c r="AB62" s="80"/>
      <c r="AC62" s="80"/>
    </row>
    <row r="63" spans="1:29" customFormat="1" ht="42.75">
      <c r="A63" s="7">
        <v>46126</v>
      </c>
      <c r="B63" s="7">
        <v>46126</v>
      </c>
      <c r="C63" s="1" t="s">
        <v>3582</v>
      </c>
      <c r="D63" s="120" t="s">
        <v>3583</v>
      </c>
      <c r="E63" s="120" t="s">
        <v>4112</v>
      </c>
      <c r="F63" s="156">
        <v>250788750184</v>
      </c>
      <c r="G63" s="80">
        <v>20000</v>
      </c>
      <c r="H63" s="80"/>
      <c r="I63" s="80"/>
      <c r="J63" s="80">
        <v>20000</v>
      </c>
      <c r="K63" s="80"/>
      <c r="L63" s="80"/>
      <c r="M63" s="80">
        <v>20000</v>
      </c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</row>
    <row r="64" spans="1:29" customFormat="1" ht="42.75">
      <c r="A64" s="7">
        <v>46129</v>
      </c>
      <c r="B64" s="7">
        <v>46129</v>
      </c>
      <c r="C64" s="1" t="s">
        <v>3667</v>
      </c>
      <c r="D64" s="120" t="s">
        <v>3670</v>
      </c>
      <c r="E64" s="120" t="s">
        <v>4113</v>
      </c>
      <c r="F64" s="156">
        <v>250786789153</v>
      </c>
      <c r="G64" s="80">
        <v>20000</v>
      </c>
      <c r="H64" s="80"/>
      <c r="I64" s="80"/>
      <c r="J64" s="80">
        <v>20000</v>
      </c>
      <c r="K64" s="80"/>
      <c r="L64" s="80"/>
      <c r="M64" s="80"/>
      <c r="N64" s="80"/>
      <c r="O64" s="80">
        <v>20000</v>
      </c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</row>
    <row r="65" spans="1:29" customFormat="1" ht="42.75">
      <c r="A65" s="7">
        <v>46131</v>
      </c>
      <c r="B65" s="7">
        <v>46131</v>
      </c>
      <c r="C65" s="1" t="s">
        <v>3692</v>
      </c>
      <c r="D65" s="120" t="s">
        <v>3695</v>
      </c>
      <c r="E65" s="120" t="s">
        <v>4114</v>
      </c>
      <c r="F65" s="156">
        <v>250794600148</v>
      </c>
      <c r="G65" s="80">
        <v>20000</v>
      </c>
      <c r="H65" s="80"/>
      <c r="I65" s="80"/>
      <c r="J65" s="80">
        <v>20000</v>
      </c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>
        <v>20000</v>
      </c>
      <c r="W65" s="80"/>
      <c r="X65" s="80"/>
      <c r="Y65" s="80"/>
      <c r="Z65" s="80"/>
      <c r="AA65" s="80"/>
      <c r="AB65" s="80"/>
      <c r="AC65" s="80"/>
    </row>
    <row r="66" spans="1:29" customFormat="1" ht="28.5">
      <c r="A66" s="7">
        <v>46140</v>
      </c>
      <c r="B66" s="7">
        <v>46140</v>
      </c>
      <c r="C66" s="1" t="s">
        <v>3826</v>
      </c>
      <c r="D66" s="120" t="s">
        <v>3829</v>
      </c>
      <c r="E66" s="120" t="s">
        <v>4115</v>
      </c>
      <c r="F66" s="156">
        <v>250782744789</v>
      </c>
      <c r="G66" s="80">
        <v>20000</v>
      </c>
      <c r="H66" s="80"/>
      <c r="I66" s="80"/>
      <c r="J66" s="80">
        <v>20000</v>
      </c>
      <c r="K66" s="80"/>
      <c r="L66" s="80">
        <v>20000</v>
      </c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</row>
    <row r="67" spans="1:29" customFormat="1" ht="42.75">
      <c r="A67" s="7">
        <v>46129</v>
      </c>
      <c r="B67" s="7">
        <v>46129</v>
      </c>
      <c r="C67" s="1" t="s">
        <v>3677</v>
      </c>
      <c r="D67" s="120" t="s">
        <v>3680</v>
      </c>
      <c r="E67" s="120" t="s">
        <v>4116</v>
      </c>
      <c r="F67" s="156">
        <v>250786378547</v>
      </c>
      <c r="G67" s="80">
        <v>17500</v>
      </c>
      <c r="H67" s="80"/>
      <c r="I67" s="80"/>
      <c r="J67" s="80">
        <v>17500</v>
      </c>
      <c r="K67" s="80"/>
      <c r="L67" s="80">
        <v>17500</v>
      </c>
      <c r="M67" s="80"/>
      <c r="N67" s="80"/>
      <c r="O67" s="80"/>
      <c r="P67" s="80"/>
      <c r="Q67" s="80"/>
      <c r="R67" s="80"/>
      <c r="S67" s="80"/>
      <c r="T67" s="80"/>
      <c r="U67" s="80"/>
      <c r="V67" s="80">
        <v>17500</v>
      </c>
      <c r="W67" s="80"/>
      <c r="X67" s="80"/>
      <c r="Y67" s="80"/>
      <c r="Z67" s="80"/>
      <c r="AA67" s="80"/>
      <c r="AB67" s="80"/>
      <c r="AC67" s="80"/>
    </row>
    <row r="68" spans="1:29" customFormat="1" ht="42.75">
      <c r="A68" s="7">
        <v>46122</v>
      </c>
      <c r="B68" s="7">
        <v>46122</v>
      </c>
      <c r="C68" s="1" t="s">
        <v>3536</v>
      </c>
      <c r="D68" s="120" t="s">
        <v>3539</v>
      </c>
      <c r="E68" s="120" t="s">
        <v>4117</v>
      </c>
      <c r="F68" s="156">
        <v>250785480225</v>
      </c>
      <c r="G68" s="80">
        <v>15000</v>
      </c>
      <c r="H68" s="80"/>
      <c r="I68" s="80"/>
      <c r="J68" s="80">
        <v>15000</v>
      </c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>
        <v>15000</v>
      </c>
      <c r="W68" s="80"/>
      <c r="X68" s="80"/>
      <c r="Y68" s="80"/>
      <c r="Z68" s="80"/>
      <c r="AA68" s="80"/>
      <c r="AB68" s="80"/>
      <c r="AC68" s="80"/>
    </row>
    <row r="69" spans="1:29" customFormat="1" ht="42.75">
      <c r="A69" s="7">
        <v>46127</v>
      </c>
      <c r="B69" s="7">
        <v>46127</v>
      </c>
      <c r="C69" s="1" t="s">
        <v>3621</v>
      </c>
      <c r="D69" s="120" t="s">
        <v>3624</v>
      </c>
      <c r="E69" s="120" t="s">
        <v>4118</v>
      </c>
      <c r="F69" s="156">
        <v>250788688841</v>
      </c>
      <c r="G69" s="80">
        <v>15000</v>
      </c>
      <c r="H69" s="80"/>
      <c r="I69" s="80"/>
      <c r="J69" s="80">
        <v>15000</v>
      </c>
      <c r="K69" s="80"/>
      <c r="L69" s="80"/>
      <c r="M69" s="80"/>
      <c r="N69" s="80"/>
      <c r="O69" s="80">
        <v>15000</v>
      </c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</row>
    <row r="70" spans="1:29" customFormat="1" ht="28.5">
      <c r="A70" s="7">
        <v>46135</v>
      </c>
      <c r="B70" s="7">
        <v>46135</v>
      </c>
      <c r="C70" s="1" t="s">
        <v>3750</v>
      </c>
      <c r="D70" s="120" t="s">
        <v>3753</v>
      </c>
      <c r="E70" s="120" t="s">
        <v>4119</v>
      </c>
      <c r="F70" s="156">
        <v>250783222630</v>
      </c>
      <c r="G70" s="80">
        <v>15000</v>
      </c>
      <c r="H70" s="80"/>
      <c r="I70" s="80"/>
      <c r="J70" s="80">
        <v>15000</v>
      </c>
      <c r="K70" s="80"/>
      <c r="L70" s="80"/>
      <c r="M70" s="80"/>
      <c r="N70" s="80"/>
      <c r="O70" s="80"/>
      <c r="P70" s="80"/>
      <c r="Q70" s="80">
        <v>15000</v>
      </c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</row>
    <row r="71" spans="1:29" customFormat="1" ht="42.75">
      <c r="A71" s="7">
        <v>46136</v>
      </c>
      <c r="B71" s="7">
        <v>46136</v>
      </c>
      <c r="C71" s="1" t="s">
        <v>3786</v>
      </c>
      <c r="D71" s="120" t="s">
        <v>3787</v>
      </c>
      <c r="E71" s="120" t="s">
        <v>4120</v>
      </c>
      <c r="F71" s="156">
        <v>250788750184</v>
      </c>
      <c r="G71" s="80">
        <v>15000</v>
      </c>
      <c r="H71" s="80"/>
      <c r="I71" s="80"/>
      <c r="J71" s="80">
        <v>15000</v>
      </c>
      <c r="K71" s="80"/>
      <c r="L71" s="80"/>
      <c r="M71" s="80"/>
      <c r="N71" s="80"/>
      <c r="O71" s="80"/>
      <c r="P71" s="80"/>
      <c r="Q71" s="80"/>
      <c r="R71" s="80"/>
      <c r="S71" s="80"/>
      <c r="T71" s="80">
        <v>15000</v>
      </c>
      <c r="U71" s="80"/>
      <c r="V71" s="80"/>
      <c r="W71" s="80"/>
      <c r="X71" s="80"/>
      <c r="Y71" s="80"/>
      <c r="Z71" s="80"/>
      <c r="AA71" s="80"/>
      <c r="AB71" s="80"/>
      <c r="AC71" s="80"/>
    </row>
    <row r="72" spans="1:29" customFormat="1" ht="42.75">
      <c r="A72" s="7">
        <v>46141</v>
      </c>
      <c r="B72" s="7">
        <v>46141</v>
      </c>
      <c r="C72" s="1" t="s">
        <v>3870</v>
      </c>
      <c r="D72" s="120" t="s">
        <v>3873</v>
      </c>
      <c r="E72" s="120" t="s">
        <v>4121</v>
      </c>
      <c r="F72" s="156">
        <v>250781481427</v>
      </c>
      <c r="G72" s="80">
        <v>13800</v>
      </c>
      <c r="H72" s="80"/>
      <c r="I72" s="80"/>
      <c r="J72" s="80">
        <v>13800</v>
      </c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13800</v>
      </c>
      <c r="W72" s="80"/>
      <c r="X72" s="80"/>
      <c r="Y72" s="80"/>
      <c r="Z72" s="80"/>
      <c r="AA72" s="80"/>
      <c r="AB72" s="80"/>
      <c r="AC72" s="80"/>
    </row>
    <row r="73" spans="1:29" customFormat="1" ht="42.75">
      <c r="A73" s="7">
        <v>46133</v>
      </c>
      <c r="B73" s="7">
        <v>46133</v>
      </c>
      <c r="C73" s="1" t="s">
        <v>3724</v>
      </c>
      <c r="D73" s="120" t="s">
        <v>3727</v>
      </c>
      <c r="E73" s="120" t="s">
        <v>4122</v>
      </c>
      <c r="F73" s="156">
        <v>250781510235</v>
      </c>
      <c r="G73" s="80">
        <v>12000</v>
      </c>
      <c r="H73" s="80"/>
      <c r="I73" s="80"/>
      <c r="J73" s="80">
        <v>12000</v>
      </c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>
        <v>12000</v>
      </c>
      <c r="Z73" s="80"/>
      <c r="AA73" s="80"/>
      <c r="AB73" s="80"/>
      <c r="AC73" s="80"/>
    </row>
    <row r="74" spans="1:29" customFormat="1" ht="42.75">
      <c r="A74" s="7">
        <v>46122</v>
      </c>
      <c r="B74" s="7">
        <v>46122</v>
      </c>
      <c r="C74" s="1" t="s">
        <v>3544</v>
      </c>
      <c r="D74" s="120" t="s">
        <v>3547</v>
      </c>
      <c r="E74" s="120" t="s">
        <v>4123</v>
      </c>
      <c r="F74" s="156">
        <v>250784150078</v>
      </c>
      <c r="G74" s="80">
        <v>11000</v>
      </c>
      <c r="H74" s="80"/>
      <c r="I74" s="80"/>
      <c r="J74" s="80">
        <v>11000</v>
      </c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>
        <v>11000</v>
      </c>
      <c r="Z74" s="80"/>
      <c r="AA74" s="80"/>
      <c r="AB74" s="80"/>
      <c r="AC74" s="80"/>
    </row>
    <row r="75" spans="1:29" customFormat="1" ht="43.5">
      <c r="A75" s="7">
        <v>46115</v>
      </c>
      <c r="B75" s="7">
        <v>46115</v>
      </c>
      <c r="C75" s="1" t="s">
        <v>3468</v>
      </c>
      <c r="D75" s="120" t="s">
        <v>3471</v>
      </c>
      <c r="E75" s="120" t="s">
        <v>4124</v>
      </c>
      <c r="F75" s="156">
        <v>250783724054</v>
      </c>
      <c r="G75" s="80">
        <v>10000</v>
      </c>
      <c r="H75" s="80"/>
      <c r="I75" s="80"/>
      <c r="J75" s="139"/>
      <c r="K75" s="139"/>
      <c r="L75" s="139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>
        <v>10000</v>
      </c>
    </row>
    <row r="76" spans="1:29" customFormat="1" ht="42.75">
      <c r="A76" s="7">
        <v>46115</v>
      </c>
      <c r="B76" s="7">
        <v>46115</v>
      </c>
      <c r="C76" s="1" t="s">
        <v>3489</v>
      </c>
      <c r="D76" s="120" t="s">
        <v>3492</v>
      </c>
      <c r="E76" s="120" t="s">
        <v>4125</v>
      </c>
      <c r="F76" s="156">
        <v>250788501582</v>
      </c>
      <c r="G76" s="80">
        <v>10000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>
        <v>10000</v>
      </c>
      <c r="AC76" s="80"/>
    </row>
    <row r="77" spans="1:29" customFormat="1" ht="42.75">
      <c r="A77" s="7">
        <v>46116</v>
      </c>
      <c r="B77" s="7">
        <v>46116</v>
      </c>
      <c r="C77" s="1" t="s">
        <v>3494</v>
      </c>
      <c r="D77" s="120" t="s">
        <v>3497</v>
      </c>
      <c r="E77" s="120" t="s">
        <v>4126</v>
      </c>
      <c r="F77" s="156">
        <v>250788567251</v>
      </c>
      <c r="G77" s="80">
        <v>10000</v>
      </c>
      <c r="H77" s="80"/>
      <c r="I77" s="80"/>
      <c r="J77" s="80"/>
      <c r="K77" s="80"/>
      <c r="L77" s="80"/>
      <c r="M77" s="80"/>
      <c r="N77" s="80"/>
      <c r="O77" s="80"/>
      <c r="P77" s="80">
        <v>10000</v>
      </c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</row>
    <row r="78" spans="1:29" customFormat="1" ht="42.75">
      <c r="A78" s="7">
        <v>46126</v>
      </c>
      <c r="B78" s="7">
        <v>46126</v>
      </c>
      <c r="C78" s="1" t="s">
        <v>3574</v>
      </c>
      <c r="D78" s="120" t="s">
        <v>3577</v>
      </c>
      <c r="E78" s="120" t="s">
        <v>4127</v>
      </c>
      <c r="F78" s="156">
        <v>250788605907</v>
      </c>
      <c r="G78" s="80">
        <v>10000</v>
      </c>
      <c r="H78" s="80"/>
      <c r="I78" s="80"/>
      <c r="J78" s="80"/>
      <c r="K78" s="80"/>
      <c r="L78" s="80"/>
      <c r="M78" s="80"/>
      <c r="N78" s="80"/>
      <c r="O78" s="80">
        <v>10000</v>
      </c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</row>
    <row r="79" spans="1:29" customFormat="1" ht="42.75">
      <c r="A79" s="7">
        <v>46130</v>
      </c>
      <c r="B79" s="7">
        <v>46130</v>
      </c>
      <c r="C79" s="1" t="s">
        <v>3687</v>
      </c>
      <c r="D79" s="120" t="s">
        <v>3690</v>
      </c>
      <c r="E79" s="120" t="s">
        <v>4128</v>
      </c>
      <c r="F79" s="156">
        <v>250786859223</v>
      </c>
      <c r="G79" s="80">
        <v>10000</v>
      </c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>
        <v>10000</v>
      </c>
      <c r="Z79" s="80"/>
      <c r="AA79" s="80"/>
      <c r="AB79" s="80"/>
      <c r="AC79" s="80"/>
    </row>
    <row r="80" spans="1:29" customFormat="1" ht="57">
      <c r="A80" s="7">
        <v>46126</v>
      </c>
      <c r="B80" s="7">
        <v>46126</v>
      </c>
      <c r="C80" s="1" t="s">
        <v>3585</v>
      </c>
      <c r="D80" s="120" t="s">
        <v>3588</v>
      </c>
      <c r="E80" s="120" t="s">
        <v>4129</v>
      </c>
      <c r="F80" s="156">
        <v>250785499869</v>
      </c>
      <c r="G80" s="80">
        <v>9000</v>
      </c>
      <c r="H80" s="80"/>
      <c r="I80" s="80"/>
      <c r="J80" s="80"/>
      <c r="K80" s="80"/>
      <c r="L80" s="80"/>
      <c r="M80" s="80"/>
      <c r="N80" s="80"/>
      <c r="O80" s="80">
        <v>9000</v>
      </c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</row>
    <row r="81" spans="1:29" customFormat="1" ht="42.75">
      <c r="A81" s="7">
        <v>46139</v>
      </c>
      <c r="B81" s="7">
        <v>46139</v>
      </c>
      <c r="C81" s="1" t="s">
        <v>3816</v>
      </c>
      <c r="D81" s="120" t="s">
        <v>3819</v>
      </c>
      <c r="E81" s="120" t="s">
        <v>4130</v>
      </c>
      <c r="F81" s="156">
        <v>250787152796</v>
      </c>
      <c r="G81" s="80">
        <v>9000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>
        <v>9000</v>
      </c>
      <c r="U81" s="80"/>
      <c r="V81" s="80"/>
      <c r="W81" s="80"/>
      <c r="X81" s="80"/>
      <c r="Y81" s="80"/>
      <c r="Z81" s="80"/>
      <c r="AA81" s="80"/>
      <c r="AB81" s="80"/>
      <c r="AC81" s="80"/>
    </row>
    <row r="82" spans="1:29" customFormat="1" ht="42.75">
      <c r="A82" s="7">
        <v>46129</v>
      </c>
      <c r="B82" s="7">
        <v>46129</v>
      </c>
      <c r="C82" s="1" t="s">
        <v>3662</v>
      </c>
      <c r="D82" s="120" t="s">
        <v>3665</v>
      </c>
      <c r="E82" s="120" t="s">
        <v>4131</v>
      </c>
      <c r="F82" s="156">
        <v>250788663048</v>
      </c>
      <c r="G82" s="80">
        <v>8000</v>
      </c>
      <c r="H82" s="80"/>
      <c r="I82" s="80"/>
      <c r="J82" s="80"/>
      <c r="K82" s="80"/>
      <c r="L82" s="80"/>
      <c r="M82" s="80"/>
      <c r="N82" s="80"/>
      <c r="O82" s="80">
        <v>8000</v>
      </c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</row>
    <row r="83" spans="1:29" customFormat="1" ht="42.75">
      <c r="A83" s="7">
        <v>46121</v>
      </c>
      <c r="B83" s="7">
        <v>46121</v>
      </c>
      <c r="C83" s="1" t="s">
        <v>3528</v>
      </c>
      <c r="D83" s="120" t="s">
        <v>3531</v>
      </c>
      <c r="E83" s="120" t="s">
        <v>4132</v>
      </c>
      <c r="F83" s="156">
        <v>250785480225</v>
      </c>
      <c r="G83" s="80">
        <v>7000</v>
      </c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>
        <v>7000</v>
      </c>
      <c r="W83" s="80"/>
      <c r="X83" s="80"/>
      <c r="Y83" s="80"/>
      <c r="Z83" s="80"/>
      <c r="AA83" s="80"/>
      <c r="AB83" s="80"/>
      <c r="AC83" s="80"/>
    </row>
    <row r="84" spans="1:29" customFormat="1" ht="42.75">
      <c r="A84" s="7">
        <v>46121</v>
      </c>
      <c r="B84" s="7">
        <v>46121</v>
      </c>
      <c r="C84" s="1" t="s">
        <v>3520</v>
      </c>
      <c r="D84" s="120" t="s">
        <v>3523</v>
      </c>
      <c r="E84" s="120" t="s">
        <v>4133</v>
      </c>
      <c r="F84" s="156">
        <v>250795597246</v>
      </c>
      <c r="G84" s="80">
        <v>6500</v>
      </c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>
        <v>6500</v>
      </c>
      <c r="Z84" s="80"/>
      <c r="AA84" s="80"/>
      <c r="AB84" s="80"/>
      <c r="AC84" s="80"/>
    </row>
    <row r="85" spans="1:29" customFormat="1" ht="42.75">
      <c r="A85" s="7">
        <v>46121</v>
      </c>
      <c r="B85" s="7">
        <v>46121</v>
      </c>
      <c r="C85" s="1" t="s">
        <v>3525</v>
      </c>
      <c r="D85" s="120" t="s">
        <v>3526</v>
      </c>
      <c r="E85" s="120" t="s">
        <v>4134</v>
      </c>
      <c r="F85" s="156">
        <v>250788750184</v>
      </c>
      <c r="G85" s="80">
        <v>4000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>
        <v>4000</v>
      </c>
      <c r="U85" s="80"/>
      <c r="V85" s="80"/>
      <c r="W85" s="80"/>
      <c r="X85" s="80"/>
      <c r="Y85" s="80"/>
      <c r="Z85" s="80"/>
      <c r="AA85" s="80"/>
      <c r="AB85" s="80"/>
      <c r="AC85" s="80"/>
    </row>
    <row r="86" spans="1:29" customFormat="1" ht="42.75">
      <c r="A86" s="7">
        <v>46134</v>
      </c>
      <c r="B86" s="7">
        <v>46134</v>
      </c>
      <c r="C86" s="1" t="s">
        <v>3742</v>
      </c>
      <c r="D86" s="120" t="s">
        <v>3745</v>
      </c>
      <c r="E86" s="120" t="s">
        <v>4135</v>
      </c>
      <c r="F86" s="156">
        <v>250784025318</v>
      </c>
      <c r="G86" s="80">
        <v>4000</v>
      </c>
      <c r="H86" s="80"/>
      <c r="I86" s="80">
        <v>4000</v>
      </c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>
        <v>4000</v>
      </c>
      <c r="W86" s="80"/>
      <c r="X86" s="80"/>
      <c r="Y86" s="80"/>
      <c r="Z86" s="80"/>
      <c r="AA86" s="80"/>
      <c r="AB86" s="80"/>
      <c r="AC86" s="80"/>
    </row>
    <row r="87" spans="1:29" customFormat="1" ht="42.75">
      <c r="A87" s="7">
        <v>46141</v>
      </c>
      <c r="B87" s="7">
        <v>46141</v>
      </c>
      <c r="C87" s="1" t="s">
        <v>3865</v>
      </c>
      <c r="D87" s="120" t="s">
        <v>3868</v>
      </c>
      <c r="E87" s="120" t="s">
        <v>4136</v>
      </c>
      <c r="F87" s="156">
        <v>250788542456</v>
      </c>
      <c r="G87" s="80">
        <v>3000</v>
      </c>
      <c r="H87" s="80"/>
      <c r="I87" s="80">
        <v>3000</v>
      </c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>
        <v>3000</v>
      </c>
      <c r="W87" s="80"/>
      <c r="X87" s="80"/>
      <c r="Y87" s="80"/>
      <c r="Z87" s="80"/>
      <c r="AA87" s="80"/>
      <c r="AB87" s="80"/>
      <c r="AC87" s="80"/>
    </row>
    <row r="88" spans="1:29" customFormat="1" ht="42.75">
      <c r="A88" s="7">
        <v>46129</v>
      </c>
      <c r="B88" s="7">
        <v>46129</v>
      </c>
      <c r="C88" s="1" t="s">
        <v>3672</v>
      </c>
      <c r="D88" s="120" t="s">
        <v>3675</v>
      </c>
      <c r="E88" s="120" t="s">
        <v>4137</v>
      </c>
      <c r="F88" s="156">
        <v>250782002220</v>
      </c>
      <c r="G88" s="80">
        <v>1500</v>
      </c>
      <c r="H88" s="80"/>
      <c r="I88" s="80">
        <v>1500</v>
      </c>
      <c r="J88" s="80"/>
      <c r="K88" s="80"/>
      <c r="L88" s="80"/>
      <c r="M88" s="80"/>
      <c r="N88" s="80"/>
      <c r="O88" s="80">
        <v>1500</v>
      </c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</row>
    <row r="89" spans="1:29" customFormat="1" ht="42.75">
      <c r="A89" s="7">
        <v>46114</v>
      </c>
      <c r="B89" s="7">
        <v>46114</v>
      </c>
      <c r="C89" s="1" t="s">
        <v>3415</v>
      </c>
      <c r="D89" s="120" t="s">
        <v>3416</v>
      </c>
      <c r="E89" s="120" t="s">
        <v>4138</v>
      </c>
      <c r="F89" s="156">
        <v>250788688841</v>
      </c>
      <c r="G89" s="80">
        <v>1350</v>
      </c>
      <c r="H89" s="80"/>
      <c r="I89" s="80">
        <v>1350</v>
      </c>
      <c r="J89" s="80"/>
      <c r="K89" s="80"/>
      <c r="L89" s="80"/>
      <c r="M89" s="80"/>
      <c r="N89" s="80">
        <v>1350</v>
      </c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</row>
    <row r="90" spans="1:29" customFormat="1" ht="57">
      <c r="A90" s="7">
        <v>46115</v>
      </c>
      <c r="B90" s="7">
        <v>46115</v>
      </c>
      <c r="C90" s="1" t="s">
        <v>3463</v>
      </c>
      <c r="D90" s="120" t="s">
        <v>3464</v>
      </c>
      <c r="E90" s="120" t="s">
        <v>4139</v>
      </c>
      <c r="F90" s="156">
        <v>250792957653</v>
      </c>
      <c r="G90" s="80">
        <v>1350</v>
      </c>
      <c r="H90" s="80"/>
      <c r="I90" s="80">
        <v>1350</v>
      </c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>
        <v>1350</v>
      </c>
      <c r="Y90" s="80"/>
      <c r="Z90" s="80"/>
      <c r="AA90" s="80"/>
      <c r="AB90" s="80"/>
      <c r="AC90" s="80"/>
    </row>
    <row r="91" spans="1:29" customFormat="1" ht="57">
      <c r="A91" s="7">
        <v>46125</v>
      </c>
      <c r="B91" s="7">
        <v>46125</v>
      </c>
      <c r="C91" s="1" t="s">
        <v>3557</v>
      </c>
      <c r="D91" s="120" t="s">
        <v>3558</v>
      </c>
      <c r="E91" s="120" t="s">
        <v>4140</v>
      </c>
      <c r="F91" s="156">
        <v>250796696881</v>
      </c>
      <c r="G91" s="80">
        <v>1350</v>
      </c>
      <c r="H91" s="80"/>
      <c r="I91" s="80">
        <v>1350</v>
      </c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>
        <v>1350</v>
      </c>
      <c r="V91" s="80"/>
      <c r="W91" s="80"/>
      <c r="X91" s="80"/>
      <c r="Y91" s="80"/>
      <c r="Z91" s="80"/>
      <c r="AA91" s="80"/>
      <c r="AB91" s="80"/>
      <c r="AC91" s="80"/>
    </row>
    <row r="92" spans="1:29" customFormat="1" ht="71.25">
      <c r="A92" s="7">
        <v>46125</v>
      </c>
      <c r="B92" s="7">
        <v>46125</v>
      </c>
      <c r="C92" s="1" t="s">
        <v>3562</v>
      </c>
      <c r="D92" s="120" t="s">
        <v>3563</v>
      </c>
      <c r="E92" s="120" t="s">
        <v>4141</v>
      </c>
      <c r="F92" s="156">
        <v>250796696881</v>
      </c>
      <c r="G92" s="80">
        <v>1350</v>
      </c>
      <c r="H92" s="80"/>
      <c r="I92" s="80">
        <v>1350</v>
      </c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>
        <v>1350</v>
      </c>
      <c r="V92" s="80"/>
      <c r="W92" s="80"/>
      <c r="X92" s="80"/>
      <c r="Y92" s="80"/>
      <c r="Z92" s="80"/>
      <c r="AA92" s="80"/>
      <c r="AB92" s="80"/>
      <c r="AC92" s="80"/>
    </row>
    <row r="93" spans="1:29" customFormat="1" ht="57">
      <c r="A93" s="7">
        <v>46133</v>
      </c>
      <c r="B93" s="7">
        <v>46133</v>
      </c>
      <c r="C93" s="1" t="s">
        <v>3716</v>
      </c>
      <c r="D93" s="120" t="s">
        <v>3717</v>
      </c>
      <c r="E93" s="120" t="s">
        <v>4142</v>
      </c>
      <c r="F93" s="156">
        <v>250788676778</v>
      </c>
      <c r="G93" s="80">
        <v>1350</v>
      </c>
      <c r="H93" s="80"/>
      <c r="I93" s="80">
        <v>1350</v>
      </c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</row>
    <row r="94" spans="1:29" customFormat="1" ht="71.25">
      <c r="A94" s="7">
        <v>46139</v>
      </c>
      <c r="B94" s="7">
        <v>46139</v>
      </c>
      <c r="C94" s="1" t="s">
        <v>3803</v>
      </c>
      <c r="D94" s="120" t="s">
        <v>3804</v>
      </c>
      <c r="E94" s="120" t="s">
        <v>4143</v>
      </c>
      <c r="F94" s="156">
        <v>250788531754</v>
      </c>
      <c r="G94" s="80">
        <v>1350</v>
      </c>
      <c r="H94" s="80"/>
      <c r="I94" s="80">
        <v>1350</v>
      </c>
      <c r="J94" s="80"/>
      <c r="K94" s="80"/>
      <c r="L94" s="80"/>
      <c r="M94" s="80"/>
      <c r="N94" s="80"/>
      <c r="O94" s="80"/>
      <c r="P94" s="80"/>
      <c r="Q94" s="80"/>
      <c r="R94" s="80">
        <v>1350</v>
      </c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</row>
    <row r="95" spans="1:29" customFormat="1" ht="57">
      <c r="A95" s="7">
        <v>46139</v>
      </c>
      <c r="B95" s="7">
        <v>46139</v>
      </c>
      <c r="C95" s="1" t="s">
        <v>3808</v>
      </c>
      <c r="D95" s="120" t="s">
        <v>3809</v>
      </c>
      <c r="E95" s="120" t="s">
        <v>4144</v>
      </c>
      <c r="F95" s="156">
        <v>250783724054</v>
      </c>
      <c r="G95" s="80">
        <v>1350</v>
      </c>
      <c r="H95" s="80"/>
      <c r="I95" s="80">
        <v>1350</v>
      </c>
      <c r="J95" s="80"/>
      <c r="K95" s="80"/>
      <c r="L95" s="80"/>
      <c r="M95" s="80"/>
      <c r="N95" s="80"/>
      <c r="O95" s="80"/>
      <c r="P95" s="80"/>
      <c r="Q95" s="80"/>
      <c r="R95" s="80">
        <v>1350</v>
      </c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</row>
    <row r="96" spans="1:29" customFormat="1" ht="42.75">
      <c r="A96" s="7">
        <v>46135</v>
      </c>
      <c r="B96" s="7">
        <v>46135</v>
      </c>
      <c r="C96" s="1" t="s">
        <v>3768</v>
      </c>
      <c r="D96" s="120" t="s">
        <v>3771</v>
      </c>
      <c r="E96" s="120" t="s">
        <v>4145</v>
      </c>
      <c r="F96" s="156">
        <v>250788870889</v>
      </c>
      <c r="G96" s="80">
        <v>1200</v>
      </c>
      <c r="H96" s="80"/>
      <c r="I96" s="80">
        <v>1200</v>
      </c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>
        <v>1200</v>
      </c>
      <c r="U96" s="80"/>
      <c r="V96" s="80"/>
      <c r="W96" s="80"/>
      <c r="X96" s="80"/>
      <c r="Y96" s="80"/>
      <c r="Z96" s="80"/>
      <c r="AA96" s="80"/>
      <c r="AB96" s="80"/>
      <c r="AC96" s="80"/>
    </row>
    <row r="97" spans="1:29" customFormat="1" ht="28.5">
      <c r="A97" s="7">
        <v>46140</v>
      </c>
      <c r="B97" s="7">
        <v>46140</v>
      </c>
      <c r="C97" s="1" t="s">
        <v>3821</v>
      </c>
      <c r="D97" s="120" t="s">
        <v>3822</v>
      </c>
      <c r="E97" s="120" t="s">
        <v>4146</v>
      </c>
      <c r="F97" s="156"/>
      <c r="G97" s="80">
        <v>1000</v>
      </c>
      <c r="H97" s="80"/>
      <c r="I97" s="80">
        <v>1000</v>
      </c>
      <c r="J97" s="80"/>
      <c r="K97" s="80"/>
      <c r="L97" s="80"/>
      <c r="M97" s="80"/>
      <c r="N97" s="80"/>
      <c r="O97" s="80"/>
      <c r="P97" s="80"/>
      <c r="Q97" s="80"/>
      <c r="R97" s="80">
        <v>1000</v>
      </c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</row>
    <row r="98" spans="1:29" customFormat="1" ht="28.5">
      <c r="A98" s="7">
        <v>46142</v>
      </c>
      <c r="B98" s="7">
        <v>46142</v>
      </c>
      <c r="C98" s="1" t="s">
        <v>3880</v>
      </c>
      <c r="D98" s="120" t="s">
        <v>3881</v>
      </c>
      <c r="E98" s="120" t="s">
        <v>4147</v>
      </c>
      <c r="F98" s="156"/>
      <c r="G98" s="80">
        <v>1000</v>
      </c>
      <c r="H98" s="80"/>
      <c r="I98" s="80">
        <v>1000</v>
      </c>
      <c r="J98" s="80"/>
      <c r="K98" s="80"/>
      <c r="L98" s="80"/>
      <c r="M98" s="80"/>
      <c r="N98" s="80"/>
      <c r="O98" s="80"/>
      <c r="P98" s="80">
        <v>1000</v>
      </c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</row>
    <row r="99" spans="1:29" customFormat="1" ht="29.25">
      <c r="A99" s="7">
        <v>46113</v>
      </c>
      <c r="B99" s="7">
        <v>46113</v>
      </c>
      <c r="C99" s="1" t="s">
        <v>3389</v>
      </c>
      <c r="D99" s="120" t="s">
        <v>3390</v>
      </c>
      <c r="E99" s="120" t="s">
        <v>4079</v>
      </c>
      <c r="F99" s="156"/>
      <c r="G99" s="80">
        <v>200</v>
      </c>
      <c r="H99" s="80">
        <v>200</v>
      </c>
      <c r="I99" s="139">
        <f>SUM(I79:I98)</f>
        <v>21150</v>
      </c>
      <c r="J99" s="80"/>
      <c r="K99" s="80"/>
      <c r="L99" s="80"/>
      <c r="M99" s="80"/>
      <c r="N99" s="80"/>
      <c r="O99" s="80"/>
      <c r="P99" s="80">
        <v>200</v>
      </c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</row>
    <row r="100" spans="1:29" customFormat="1" ht="28.5">
      <c r="A100" s="7">
        <v>46113</v>
      </c>
      <c r="B100" s="7">
        <v>46113</v>
      </c>
      <c r="C100" s="1" t="s">
        <v>3398</v>
      </c>
      <c r="D100" s="120" t="s">
        <v>3399</v>
      </c>
      <c r="E100" s="120" t="s">
        <v>4088</v>
      </c>
      <c r="F100" s="156"/>
      <c r="G100" s="80">
        <v>200</v>
      </c>
      <c r="H100" s="80">
        <v>200</v>
      </c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>
        <v>200</v>
      </c>
      <c r="U100" s="80"/>
      <c r="V100" s="80"/>
      <c r="W100" s="80"/>
      <c r="X100" s="80"/>
      <c r="Y100" s="80"/>
      <c r="Z100" s="80"/>
      <c r="AA100" s="80"/>
      <c r="AB100" s="80"/>
      <c r="AC100" s="80"/>
    </row>
    <row r="101" spans="1:29" customFormat="1" ht="71.25">
      <c r="A101" s="7">
        <v>46113</v>
      </c>
      <c r="B101" s="7">
        <v>46113</v>
      </c>
      <c r="C101" s="1" t="s">
        <v>3403</v>
      </c>
      <c r="D101" s="120" t="s">
        <v>3404</v>
      </c>
      <c r="E101" s="120" t="s">
        <v>4148</v>
      </c>
      <c r="F101" s="156">
        <v>250788422371</v>
      </c>
      <c r="G101" s="80">
        <v>200</v>
      </c>
      <c r="H101" s="80">
        <v>200</v>
      </c>
      <c r="I101" s="80"/>
      <c r="J101" s="80"/>
      <c r="K101" s="80"/>
      <c r="L101" s="80"/>
      <c r="M101" s="80"/>
      <c r="N101" s="80"/>
      <c r="O101" s="80"/>
      <c r="P101" s="80">
        <v>200</v>
      </c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</row>
    <row r="102" spans="1:29" customFormat="1" ht="57">
      <c r="A102" s="7">
        <v>46120</v>
      </c>
      <c r="B102" s="7">
        <v>46120</v>
      </c>
      <c r="C102" s="1" t="s">
        <v>3507</v>
      </c>
      <c r="D102" s="120" t="s">
        <v>3508</v>
      </c>
      <c r="E102" s="120" t="s">
        <v>4149</v>
      </c>
      <c r="F102" s="156">
        <v>250788346611</v>
      </c>
      <c r="G102" s="80">
        <v>200</v>
      </c>
      <c r="H102" s="80">
        <v>200</v>
      </c>
      <c r="I102" s="80"/>
      <c r="J102" s="80"/>
      <c r="K102" s="80"/>
      <c r="L102" s="80"/>
      <c r="M102" s="80">
        <v>200</v>
      </c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</row>
    <row r="103" spans="1:29" customFormat="1" ht="42.75">
      <c r="A103" s="7">
        <v>46122</v>
      </c>
      <c r="B103" s="7">
        <v>46122</v>
      </c>
      <c r="C103" s="1" t="s">
        <v>3536</v>
      </c>
      <c r="D103" s="120" t="s">
        <v>3537</v>
      </c>
      <c r="E103" s="120" t="s">
        <v>4150</v>
      </c>
      <c r="F103" s="156">
        <v>250785480225</v>
      </c>
      <c r="G103" s="80">
        <v>200</v>
      </c>
      <c r="H103" s="80">
        <v>200</v>
      </c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</row>
    <row r="104" spans="1:29" customFormat="1" ht="57">
      <c r="A104" s="7">
        <v>46122</v>
      </c>
      <c r="B104" s="7">
        <v>46122</v>
      </c>
      <c r="C104" s="1" t="s">
        <v>3544</v>
      </c>
      <c r="D104" s="120" t="s">
        <v>3545</v>
      </c>
      <c r="E104" s="120" t="s">
        <v>4151</v>
      </c>
      <c r="F104" s="156">
        <v>250784150078</v>
      </c>
      <c r="G104" s="80">
        <v>200</v>
      </c>
      <c r="H104" s="80">
        <v>200</v>
      </c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>
        <v>200</v>
      </c>
      <c r="Z104" s="80"/>
      <c r="AA104" s="80"/>
      <c r="AB104" s="80"/>
      <c r="AC104" s="80"/>
    </row>
    <row r="105" spans="1:29" customFormat="1" ht="57">
      <c r="A105" s="7">
        <v>46125</v>
      </c>
      <c r="B105" s="7">
        <v>46125</v>
      </c>
      <c r="C105" s="1" t="s">
        <v>3567</v>
      </c>
      <c r="D105" s="120" t="s">
        <v>3568</v>
      </c>
      <c r="E105" s="120" t="s">
        <v>4152</v>
      </c>
      <c r="F105" s="156">
        <v>250785480225</v>
      </c>
      <c r="G105" s="80">
        <v>200</v>
      </c>
      <c r="H105" s="80">
        <v>200</v>
      </c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>
        <v>200</v>
      </c>
      <c r="T105" s="80"/>
      <c r="U105" s="80"/>
      <c r="V105" s="80"/>
      <c r="W105" s="80"/>
      <c r="X105" s="80"/>
      <c r="Y105" s="80"/>
      <c r="Z105" s="80"/>
      <c r="AA105" s="80"/>
      <c r="AB105" s="80"/>
      <c r="AC105" s="80"/>
    </row>
    <row r="106" spans="1:29" customFormat="1" ht="42.75">
      <c r="A106" s="7">
        <v>46126</v>
      </c>
      <c r="B106" s="7">
        <v>46126</v>
      </c>
      <c r="C106" s="1" t="s">
        <v>3593</v>
      </c>
      <c r="D106" s="120" t="s">
        <v>3594</v>
      </c>
      <c r="E106" s="120" t="s">
        <v>4153</v>
      </c>
      <c r="F106" s="156">
        <v>250788605907</v>
      </c>
      <c r="G106" s="80">
        <v>200</v>
      </c>
      <c r="H106" s="80">
        <v>200</v>
      </c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>
        <v>200</v>
      </c>
      <c r="T106" s="80"/>
      <c r="U106" s="80"/>
      <c r="V106" s="80"/>
      <c r="W106" s="80"/>
      <c r="X106" s="80"/>
      <c r="Y106" s="80"/>
      <c r="Z106" s="80"/>
      <c r="AA106" s="80"/>
      <c r="AB106" s="80"/>
      <c r="AC106" s="80"/>
    </row>
    <row r="107" spans="1:29" customFormat="1" ht="71.25">
      <c r="A107" s="7">
        <v>46127</v>
      </c>
      <c r="B107" s="7">
        <v>46127</v>
      </c>
      <c r="C107" s="1" t="s">
        <v>3601</v>
      </c>
      <c r="D107" s="120" t="s">
        <v>3602</v>
      </c>
      <c r="E107" s="120" t="s">
        <v>4154</v>
      </c>
      <c r="F107" s="156">
        <v>250783724054</v>
      </c>
      <c r="G107" s="80">
        <v>200</v>
      </c>
      <c r="H107" s="80">
        <v>200</v>
      </c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>
        <v>200</v>
      </c>
    </row>
    <row r="108" spans="1:29" customFormat="1" ht="57">
      <c r="A108" s="7">
        <v>46127</v>
      </c>
      <c r="B108" s="7">
        <v>46127</v>
      </c>
      <c r="C108" s="1" t="s">
        <v>3606</v>
      </c>
      <c r="D108" s="120" t="s">
        <v>3607</v>
      </c>
      <c r="E108" s="120" t="s">
        <v>4155</v>
      </c>
      <c r="F108" s="156">
        <v>250794574040</v>
      </c>
      <c r="G108" s="80">
        <v>200</v>
      </c>
      <c r="H108" s="80">
        <v>200</v>
      </c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>
        <v>200</v>
      </c>
      <c r="Z108" s="80"/>
      <c r="AA108" s="80"/>
      <c r="AB108" s="80"/>
      <c r="AC108" s="80"/>
    </row>
    <row r="109" spans="1:29" customFormat="1" ht="57">
      <c r="A109" s="7">
        <v>46127</v>
      </c>
      <c r="B109" s="7">
        <v>46127</v>
      </c>
      <c r="C109" s="1" t="s">
        <v>3611</v>
      </c>
      <c r="D109" s="120" t="s">
        <v>3612</v>
      </c>
      <c r="E109" s="120" t="s">
        <v>4156</v>
      </c>
      <c r="F109" s="156">
        <v>250788273991</v>
      </c>
      <c r="G109" s="80">
        <v>200</v>
      </c>
      <c r="H109" s="80">
        <v>200</v>
      </c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>
        <v>200</v>
      </c>
      <c r="W109" s="80"/>
      <c r="X109" s="80"/>
      <c r="Y109" s="80"/>
      <c r="Z109" s="80"/>
      <c r="AA109" s="80"/>
      <c r="AB109" s="80"/>
      <c r="AC109" s="80"/>
    </row>
    <row r="110" spans="1:29" customFormat="1" ht="57">
      <c r="A110" s="7">
        <v>46127</v>
      </c>
      <c r="B110" s="7">
        <v>46127</v>
      </c>
      <c r="C110" s="1" t="s">
        <v>3616</v>
      </c>
      <c r="D110" s="120" t="s">
        <v>3617</v>
      </c>
      <c r="E110" s="120" t="s">
        <v>4157</v>
      </c>
      <c r="F110" s="156">
        <v>250798977716</v>
      </c>
      <c r="G110" s="80">
        <v>200</v>
      </c>
      <c r="H110" s="80">
        <v>200</v>
      </c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>
        <v>200</v>
      </c>
      <c r="W110" s="80"/>
      <c r="X110" s="80"/>
      <c r="Y110" s="80"/>
      <c r="Z110" s="80"/>
      <c r="AA110" s="80"/>
      <c r="AB110" s="80"/>
      <c r="AC110" s="80"/>
    </row>
    <row r="111" spans="1:29" customFormat="1" ht="42.75">
      <c r="A111" s="7">
        <v>46127</v>
      </c>
      <c r="B111" s="7">
        <v>46127</v>
      </c>
      <c r="C111" s="1" t="s">
        <v>3621</v>
      </c>
      <c r="D111" s="120" t="s">
        <v>3622</v>
      </c>
      <c r="E111" s="120" t="s">
        <v>4158</v>
      </c>
      <c r="F111" s="156">
        <v>250788688841</v>
      </c>
      <c r="G111" s="80">
        <v>200</v>
      </c>
      <c r="H111" s="80">
        <v>200</v>
      </c>
      <c r="I111" s="80"/>
      <c r="J111" s="80"/>
      <c r="K111" s="80"/>
      <c r="L111" s="80"/>
      <c r="M111" s="80"/>
      <c r="N111" s="80"/>
      <c r="O111" s="80">
        <v>200</v>
      </c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</row>
    <row r="112" spans="1:29" customFormat="1" ht="57">
      <c r="A112" s="7">
        <v>46128</v>
      </c>
      <c r="B112" s="7">
        <v>46128</v>
      </c>
      <c r="C112" s="1" t="s">
        <v>3626</v>
      </c>
      <c r="D112" s="120" t="s">
        <v>3627</v>
      </c>
      <c r="E112" s="120" t="s">
        <v>4159</v>
      </c>
      <c r="F112" s="156">
        <v>250781550829</v>
      </c>
      <c r="G112" s="80">
        <v>200</v>
      </c>
      <c r="H112" s="80">
        <v>200</v>
      </c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>
        <v>200</v>
      </c>
      <c r="Y112" s="80"/>
      <c r="Z112" s="80"/>
      <c r="AA112" s="80"/>
      <c r="AB112" s="80"/>
      <c r="AC112" s="80"/>
    </row>
    <row r="113" spans="1:29" customFormat="1" ht="57">
      <c r="A113" s="7">
        <v>46128</v>
      </c>
      <c r="B113" s="7">
        <v>46128</v>
      </c>
      <c r="C113" s="1" t="s">
        <v>3639</v>
      </c>
      <c r="D113" s="120" t="s">
        <v>3640</v>
      </c>
      <c r="E113" s="120" t="s">
        <v>4160</v>
      </c>
      <c r="F113" s="156">
        <v>250788874823</v>
      </c>
      <c r="G113" s="80">
        <v>200</v>
      </c>
      <c r="H113" s="80">
        <v>200</v>
      </c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>
        <v>200</v>
      </c>
      <c r="W113" s="80"/>
      <c r="X113" s="80"/>
      <c r="Y113" s="80"/>
      <c r="Z113" s="80"/>
      <c r="AA113" s="80"/>
      <c r="AB113" s="80"/>
      <c r="AC113" s="80"/>
    </row>
    <row r="114" spans="1:29" customFormat="1" ht="114">
      <c r="A114" s="7">
        <v>46128</v>
      </c>
      <c r="B114" s="7">
        <v>46128</v>
      </c>
      <c r="C114" s="1" t="s">
        <v>3644</v>
      </c>
      <c r="D114" s="120" t="s">
        <v>3645</v>
      </c>
      <c r="E114" s="120" t="s">
        <v>4058</v>
      </c>
      <c r="F114" s="156"/>
      <c r="G114" s="80">
        <v>200</v>
      </c>
      <c r="H114" s="80">
        <v>200</v>
      </c>
      <c r="I114" s="80"/>
      <c r="J114" s="80"/>
      <c r="K114" s="80"/>
      <c r="L114" s="80"/>
      <c r="M114" s="80"/>
      <c r="N114" s="80"/>
      <c r="O114" s="80"/>
      <c r="P114" s="80"/>
      <c r="Q114" s="80"/>
      <c r="R114" s="80">
        <v>200</v>
      </c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>
        <v>200</v>
      </c>
    </row>
    <row r="115" spans="1:29" customFormat="1" ht="71.25">
      <c r="A115" s="7">
        <v>46128</v>
      </c>
      <c r="B115" s="7">
        <v>46128</v>
      </c>
      <c r="C115" s="1" t="s">
        <v>3649</v>
      </c>
      <c r="D115" s="120" t="s">
        <v>3650</v>
      </c>
      <c r="E115" s="120" t="s">
        <v>4161</v>
      </c>
      <c r="F115" s="156">
        <v>250783469811</v>
      </c>
      <c r="G115" s="80">
        <v>200</v>
      </c>
      <c r="H115" s="80">
        <v>200</v>
      </c>
      <c r="I115" s="80"/>
      <c r="J115" s="80"/>
      <c r="K115" s="80"/>
      <c r="L115" s="80"/>
      <c r="M115" s="80"/>
      <c r="N115" s="80"/>
      <c r="O115" s="80"/>
      <c r="P115" s="80"/>
      <c r="Q115" s="80"/>
      <c r="R115" s="80">
        <v>200</v>
      </c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</row>
    <row r="116" spans="1:29" customFormat="1" ht="57">
      <c r="A116" s="7">
        <v>46128</v>
      </c>
      <c r="B116" s="7">
        <v>46128</v>
      </c>
      <c r="C116" s="1" t="s">
        <v>3654</v>
      </c>
      <c r="D116" s="120" t="s">
        <v>3655</v>
      </c>
      <c r="E116" s="120" t="s">
        <v>4162</v>
      </c>
      <c r="F116" s="156">
        <v>250780526847</v>
      </c>
      <c r="G116" s="80">
        <v>200</v>
      </c>
      <c r="H116" s="80">
        <v>200</v>
      </c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</row>
    <row r="117" spans="1:29" customFormat="1" ht="57">
      <c r="A117" s="7">
        <v>46129</v>
      </c>
      <c r="B117" s="7">
        <v>46129</v>
      </c>
      <c r="C117" s="1" t="s">
        <v>3667</v>
      </c>
      <c r="D117" s="120" t="s">
        <v>3668</v>
      </c>
      <c r="E117" s="120" t="s">
        <v>4163</v>
      </c>
      <c r="F117" s="156">
        <v>250786789153</v>
      </c>
      <c r="G117" s="80">
        <v>200</v>
      </c>
      <c r="H117" s="80">
        <v>200</v>
      </c>
      <c r="I117" s="80"/>
      <c r="J117" s="80"/>
      <c r="K117" s="80"/>
      <c r="L117" s="80"/>
      <c r="M117" s="80"/>
      <c r="N117" s="80"/>
      <c r="O117" s="80">
        <v>200</v>
      </c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</row>
    <row r="118" spans="1:29" customFormat="1" ht="42.75">
      <c r="A118" s="7">
        <v>46129</v>
      </c>
      <c r="B118" s="7">
        <v>46129</v>
      </c>
      <c r="C118" s="1" t="s">
        <v>3677</v>
      </c>
      <c r="D118" s="120" t="s">
        <v>3678</v>
      </c>
      <c r="E118" s="120" t="s">
        <v>4164</v>
      </c>
      <c r="F118" s="156">
        <v>250786378547</v>
      </c>
      <c r="G118" s="80">
        <v>200</v>
      </c>
      <c r="H118" s="80">
        <v>200</v>
      </c>
      <c r="I118" s="80"/>
      <c r="J118" s="80"/>
      <c r="K118" s="80"/>
      <c r="L118" s="80">
        <v>200</v>
      </c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</row>
    <row r="119" spans="1:29" customFormat="1" ht="57">
      <c r="A119" s="7">
        <v>46129</v>
      </c>
      <c r="B119" s="7">
        <v>46129</v>
      </c>
      <c r="C119" s="1" t="s">
        <v>3682</v>
      </c>
      <c r="D119" s="120" t="s">
        <v>3683</v>
      </c>
      <c r="E119" s="120" t="s">
        <v>4165</v>
      </c>
      <c r="F119" s="156">
        <v>250785480225</v>
      </c>
      <c r="G119" s="80">
        <v>200</v>
      </c>
      <c r="H119" s="80">
        <v>200</v>
      </c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>
        <v>200</v>
      </c>
      <c r="W119" s="80"/>
      <c r="X119" s="80"/>
      <c r="Y119" s="80"/>
      <c r="Z119" s="80"/>
      <c r="AA119" s="80"/>
      <c r="AB119" s="80"/>
      <c r="AC119" s="80"/>
    </row>
    <row r="120" spans="1:29" customFormat="1" ht="57">
      <c r="A120" s="7">
        <v>46131</v>
      </c>
      <c r="B120" s="7">
        <v>46131</v>
      </c>
      <c r="C120" s="1" t="s">
        <v>3692</v>
      </c>
      <c r="D120" s="120" t="s">
        <v>3693</v>
      </c>
      <c r="E120" s="120" t="s">
        <v>4166</v>
      </c>
      <c r="F120" s="156">
        <v>250794600148</v>
      </c>
      <c r="G120" s="80">
        <v>200</v>
      </c>
      <c r="H120" s="80">
        <v>200</v>
      </c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>
        <v>200</v>
      </c>
      <c r="X120" s="80"/>
      <c r="Y120" s="80"/>
      <c r="Z120" s="80"/>
      <c r="AA120" s="80"/>
      <c r="AB120" s="80"/>
      <c r="AC120" s="80"/>
    </row>
    <row r="121" spans="1:29" customFormat="1" ht="57">
      <c r="A121" s="7">
        <v>46133</v>
      </c>
      <c r="B121" s="7">
        <v>46133</v>
      </c>
      <c r="C121" s="1" t="s">
        <v>3706</v>
      </c>
      <c r="D121" s="120" t="s">
        <v>3707</v>
      </c>
      <c r="E121" s="120" t="s">
        <v>4167</v>
      </c>
      <c r="F121" s="156">
        <v>250780526896</v>
      </c>
      <c r="G121" s="80">
        <v>200</v>
      </c>
      <c r="H121" s="80">
        <v>200</v>
      </c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>
        <v>200</v>
      </c>
      <c r="X121" s="80"/>
      <c r="Y121" s="80"/>
      <c r="Z121" s="80"/>
      <c r="AA121" s="80"/>
      <c r="AB121" s="80"/>
      <c r="AC121" s="80"/>
    </row>
    <row r="122" spans="1:29" customFormat="1" ht="42.75">
      <c r="A122" s="7">
        <v>46133</v>
      </c>
      <c r="B122" s="7">
        <v>46133</v>
      </c>
      <c r="C122" s="1" t="s">
        <v>3711</v>
      </c>
      <c r="D122" s="120" t="s">
        <v>3712</v>
      </c>
      <c r="E122" s="120" t="s">
        <v>4168</v>
      </c>
      <c r="F122" s="156">
        <v>250788622667</v>
      </c>
      <c r="G122" s="80">
        <v>200</v>
      </c>
      <c r="H122" s="80">
        <v>200</v>
      </c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>
        <v>200</v>
      </c>
      <c r="Z122" s="80"/>
      <c r="AA122" s="80"/>
      <c r="AB122" s="80"/>
      <c r="AC122" s="80"/>
    </row>
    <row r="123" spans="1:29" customFormat="1" ht="57">
      <c r="A123" s="7">
        <v>46133</v>
      </c>
      <c r="B123" s="7">
        <v>46133</v>
      </c>
      <c r="C123" s="1" t="s">
        <v>3724</v>
      </c>
      <c r="D123" s="120" t="s">
        <v>3725</v>
      </c>
      <c r="E123" s="120" t="s">
        <v>4169</v>
      </c>
      <c r="F123" s="156">
        <v>250781510235</v>
      </c>
      <c r="G123" s="80">
        <v>200</v>
      </c>
      <c r="H123" s="80">
        <v>200</v>
      </c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>
        <v>200</v>
      </c>
      <c r="Z123" s="80"/>
      <c r="AA123" s="80"/>
      <c r="AB123" s="80"/>
      <c r="AC123" s="80"/>
    </row>
    <row r="124" spans="1:29" customFormat="1" ht="42.75">
      <c r="A124" s="7">
        <v>46133</v>
      </c>
      <c r="B124" s="7">
        <v>46133</v>
      </c>
      <c r="C124" s="1" t="s">
        <v>3729</v>
      </c>
      <c r="D124" s="120" t="s">
        <v>691</v>
      </c>
      <c r="E124" s="120" t="s">
        <v>4170</v>
      </c>
      <c r="F124" s="156">
        <v>250781550829</v>
      </c>
      <c r="G124" s="80">
        <v>200</v>
      </c>
      <c r="H124" s="80">
        <v>200</v>
      </c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>
        <v>200</v>
      </c>
      <c r="AC124" s="80"/>
    </row>
    <row r="125" spans="1:29" customFormat="1" ht="42.75">
      <c r="A125" s="7">
        <v>46135</v>
      </c>
      <c r="B125" s="7">
        <v>46135</v>
      </c>
      <c r="C125" s="1" t="s">
        <v>3750</v>
      </c>
      <c r="D125" s="120" t="s">
        <v>3751</v>
      </c>
      <c r="E125" s="120" t="s">
        <v>4171</v>
      </c>
      <c r="F125" s="156">
        <v>250783222630</v>
      </c>
      <c r="G125" s="80">
        <v>200</v>
      </c>
      <c r="H125" s="80">
        <v>200</v>
      </c>
      <c r="I125" s="80"/>
      <c r="J125" s="80"/>
      <c r="K125" s="80"/>
      <c r="L125" s="80"/>
      <c r="M125" s="80"/>
      <c r="N125" s="80"/>
      <c r="O125" s="80"/>
      <c r="P125" s="80"/>
      <c r="Q125" s="80">
        <v>200</v>
      </c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</row>
    <row r="126" spans="1:29" customFormat="1" ht="57">
      <c r="A126" s="7">
        <v>46135</v>
      </c>
      <c r="B126" s="7">
        <v>46135</v>
      </c>
      <c r="C126" s="1" t="s">
        <v>3755</v>
      </c>
      <c r="D126" s="120" t="s">
        <v>3756</v>
      </c>
      <c r="E126" s="120" t="s">
        <v>4172</v>
      </c>
      <c r="F126" s="156">
        <v>250788663048</v>
      </c>
      <c r="G126" s="80">
        <v>200</v>
      </c>
      <c r="H126" s="80">
        <v>200</v>
      </c>
      <c r="I126" s="80"/>
      <c r="J126" s="80"/>
      <c r="K126" s="80"/>
      <c r="L126" s="80"/>
      <c r="M126" s="80"/>
      <c r="N126" s="80"/>
      <c r="O126" s="80">
        <v>200</v>
      </c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</row>
    <row r="127" spans="1:29" customFormat="1" ht="71.25">
      <c r="A127" s="7">
        <v>46135</v>
      </c>
      <c r="B127" s="7">
        <v>46135</v>
      </c>
      <c r="C127" s="1" t="s">
        <v>3760</v>
      </c>
      <c r="D127" s="120" t="s">
        <v>3761</v>
      </c>
      <c r="E127" s="120" t="s">
        <v>4173</v>
      </c>
      <c r="F127" s="156">
        <v>250786789153</v>
      </c>
      <c r="G127" s="80">
        <v>200</v>
      </c>
      <c r="H127" s="80">
        <v>200</v>
      </c>
      <c r="I127" s="80"/>
      <c r="J127" s="80"/>
      <c r="K127" s="80"/>
      <c r="L127" s="80"/>
      <c r="M127" s="80"/>
      <c r="N127" s="80"/>
      <c r="O127" s="80">
        <v>200</v>
      </c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</row>
    <row r="128" spans="1:29" customFormat="1" ht="71.25">
      <c r="A128" s="7">
        <v>46135</v>
      </c>
      <c r="B128" s="7">
        <v>46135</v>
      </c>
      <c r="C128" s="1" t="s">
        <v>3773</v>
      </c>
      <c r="D128" s="120" t="s">
        <v>3774</v>
      </c>
      <c r="E128" s="120" t="s">
        <v>4174</v>
      </c>
      <c r="F128" s="156">
        <v>250781510235</v>
      </c>
      <c r="G128" s="80">
        <v>200</v>
      </c>
      <c r="H128" s="80">
        <v>200</v>
      </c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>
        <v>200</v>
      </c>
      <c r="Z128" s="80"/>
      <c r="AA128" s="80"/>
      <c r="AB128" s="80"/>
      <c r="AC128" s="80"/>
    </row>
    <row r="129" spans="1:29" customFormat="1" ht="57">
      <c r="A129" s="7">
        <v>46136</v>
      </c>
      <c r="B129" s="7">
        <v>46136</v>
      </c>
      <c r="C129" s="1" t="s">
        <v>3781</v>
      </c>
      <c r="D129" s="120" t="s">
        <v>3782</v>
      </c>
      <c r="E129" s="120" t="s">
        <v>4175</v>
      </c>
      <c r="F129" s="156">
        <v>250786088516</v>
      </c>
      <c r="G129" s="80">
        <v>200</v>
      </c>
      <c r="H129" s="80">
        <v>200</v>
      </c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>
        <v>200</v>
      </c>
      <c r="W129" s="80"/>
      <c r="X129" s="80"/>
      <c r="Y129" s="80"/>
      <c r="Z129" s="80"/>
      <c r="AA129" s="80"/>
      <c r="AB129" s="80"/>
      <c r="AC129" s="80"/>
    </row>
    <row r="130" spans="1:29" customFormat="1" ht="57">
      <c r="A130" s="7">
        <v>46137</v>
      </c>
      <c r="B130" s="7">
        <v>46137</v>
      </c>
      <c r="C130" s="1" t="s">
        <v>3792</v>
      </c>
      <c r="D130" s="120" t="s">
        <v>3793</v>
      </c>
      <c r="E130" s="120" t="s">
        <v>4176</v>
      </c>
      <c r="F130" s="156">
        <v>250788319909</v>
      </c>
      <c r="G130" s="80">
        <v>200</v>
      </c>
      <c r="H130" s="80">
        <v>200</v>
      </c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>
        <v>200</v>
      </c>
      <c r="AC130" s="80"/>
    </row>
    <row r="131" spans="1:29" customFormat="1" ht="42.75">
      <c r="A131" s="7">
        <v>46140</v>
      </c>
      <c r="B131" s="7">
        <v>46140</v>
      </c>
      <c r="C131" s="1" t="s">
        <v>3826</v>
      </c>
      <c r="D131" s="120" t="s">
        <v>3827</v>
      </c>
      <c r="E131" s="120" t="s">
        <v>4177</v>
      </c>
      <c r="F131" s="156">
        <v>250782744789</v>
      </c>
      <c r="G131" s="80">
        <v>200</v>
      </c>
      <c r="H131" s="80">
        <v>200</v>
      </c>
      <c r="I131" s="80"/>
      <c r="J131" s="80"/>
      <c r="K131" s="80"/>
      <c r="L131" s="80">
        <v>200</v>
      </c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customFormat="1" ht="57">
      <c r="A132" s="7">
        <v>46141</v>
      </c>
      <c r="B132" s="7">
        <v>46141</v>
      </c>
      <c r="C132" s="1" t="s">
        <v>3840</v>
      </c>
      <c r="D132" s="120" t="s">
        <v>3841</v>
      </c>
      <c r="E132" s="120" t="s">
        <v>4178</v>
      </c>
      <c r="F132" s="156">
        <v>250788688841</v>
      </c>
      <c r="G132" s="80">
        <v>200</v>
      </c>
      <c r="H132" s="80">
        <v>200</v>
      </c>
      <c r="I132" s="80"/>
      <c r="J132" s="80"/>
      <c r="K132" s="80"/>
      <c r="L132" s="80"/>
      <c r="M132" s="80"/>
      <c r="N132" s="80"/>
      <c r="O132" s="80">
        <v>200</v>
      </c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customFormat="1" ht="57">
      <c r="A133" s="7">
        <v>46141</v>
      </c>
      <c r="B133" s="7">
        <v>46141</v>
      </c>
      <c r="C133" s="1" t="s">
        <v>3855</v>
      </c>
      <c r="D133" s="120" t="s">
        <v>3856</v>
      </c>
      <c r="E133" s="120" t="s">
        <v>4179</v>
      </c>
      <c r="F133" s="156">
        <v>250792142796</v>
      </c>
      <c r="G133" s="80">
        <v>200</v>
      </c>
      <c r="H133" s="80">
        <v>200</v>
      </c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>
        <v>200</v>
      </c>
      <c r="W133" s="80"/>
      <c r="X133" s="80"/>
      <c r="Y133" s="80"/>
      <c r="Z133" s="80"/>
      <c r="AA133" s="80"/>
      <c r="AB133" s="80"/>
      <c r="AC133" s="80"/>
    </row>
    <row r="134" spans="1:29" customFormat="1" ht="71.25">
      <c r="A134" s="7">
        <v>46141</v>
      </c>
      <c r="B134" s="7">
        <v>46141</v>
      </c>
      <c r="C134" s="1" t="s">
        <v>3860</v>
      </c>
      <c r="D134" s="120" t="s">
        <v>3861</v>
      </c>
      <c r="E134" s="120" t="s">
        <v>4180</v>
      </c>
      <c r="F134" s="156">
        <v>250788542456</v>
      </c>
      <c r="G134" s="80">
        <v>200</v>
      </c>
      <c r="H134" s="80">
        <v>200</v>
      </c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>
        <v>200</v>
      </c>
      <c r="W134" s="80"/>
      <c r="X134" s="80"/>
      <c r="Y134" s="80"/>
      <c r="Z134" s="80"/>
      <c r="AA134" s="80"/>
      <c r="AB134" s="80"/>
      <c r="AC134" s="80"/>
    </row>
    <row r="135" spans="1:29" customFormat="1" ht="42.75">
      <c r="A135" s="7">
        <v>46141</v>
      </c>
      <c r="B135" s="7">
        <v>46141</v>
      </c>
      <c r="C135" s="1" t="s">
        <v>3870</v>
      </c>
      <c r="D135" s="120" t="s">
        <v>3871</v>
      </c>
      <c r="E135" s="120" t="s">
        <v>4181</v>
      </c>
      <c r="F135" s="156">
        <v>250781481427</v>
      </c>
      <c r="G135" s="80">
        <v>200</v>
      </c>
      <c r="H135" s="80">
        <v>200</v>
      </c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>
        <v>200</v>
      </c>
      <c r="W135" s="80"/>
      <c r="X135" s="80"/>
      <c r="Y135" s="80"/>
      <c r="Z135" s="80"/>
      <c r="AA135" s="80"/>
      <c r="AB135" s="80"/>
      <c r="AC135" s="80"/>
    </row>
    <row r="136" spans="1:29" customFormat="1" ht="42.75">
      <c r="A136" s="7">
        <v>46142</v>
      </c>
      <c r="B136" s="7">
        <v>46142</v>
      </c>
      <c r="C136" s="1" t="s">
        <v>3885</v>
      </c>
      <c r="D136" s="120" t="s">
        <v>3886</v>
      </c>
      <c r="E136" s="120" t="s">
        <v>4182</v>
      </c>
      <c r="F136" s="156">
        <v>250788688841</v>
      </c>
      <c r="G136" s="80">
        <v>200</v>
      </c>
      <c r="H136" s="80">
        <v>200</v>
      </c>
      <c r="I136" s="80"/>
      <c r="J136" s="80"/>
      <c r="K136" s="80"/>
      <c r="L136" s="80"/>
      <c r="M136" s="80"/>
      <c r="N136" s="80"/>
      <c r="O136" s="80">
        <v>200</v>
      </c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</row>
    <row r="137" spans="1:29" customFormat="1" ht="28.5">
      <c r="A137" s="7">
        <v>46113</v>
      </c>
      <c r="B137" s="7">
        <v>46113</v>
      </c>
      <c r="C137" s="1" t="s">
        <v>3395</v>
      </c>
      <c r="D137" s="120" t="s">
        <v>2682</v>
      </c>
      <c r="E137" s="120" t="s">
        <v>4082</v>
      </c>
      <c r="F137" s="156"/>
      <c r="G137" s="80">
        <v>100</v>
      </c>
      <c r="H137" s="80">
        <v>100</v>
      </c>
      <c r="I137" s="80"/>
      <c r="J137" s="80"/>
      <c r="K137" s="80"/>
      <c r="L137" s="80"/>
      <c r="M137" s="80"/>
      <c r="N137" s="80"/>
      <c r="O137" s="80"/>
      <c r="P137" s="80">
        <v>100</v>
      </c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</row>
    <row r="138" spans="1:29" customFormat="1" ht="57">
      <c r="A138" s="7">
        <v>46115</v>
      </c>
      <c r="B138" s="7">
        <v>46115</v>
      </c>
      <c r="C138" s="1" t="s">
        <v>3468</v>
      </c>
      <c r="D138" s="120" t="s">
        <v>3469</v>
      </c>
      <c r="E138" s="120" t="s">
        <v>4183</v>
      </c>
      <c r="F138" s="156">
        <v>250783724054</v>
      </c>
      <c r="G138" s="80">
        <v>100</v>
      </c>
      <c r="H138" s="80">
        <v>100</v>
      </c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>
        <v>100</v>
      </c>
    </row>
    <row r="139" spans="1:29" customFormat="1" ht="57">
      <c r="A139" s="7">
        <v>46115</v>
      </c>
      <c r="B139" s="7">
        <v>46115</v>
      </c>
      <c r="C139" s="1" t="s">
        <v>3479</v>
      </c>
      <c r="D139" s="120" t="s">
        <v>3480</v>
      </c>
      <c r="E139" s="120" t="s">
        <v>4184</v>
      </c>
      <c r="F139" s="156"/>
      <c r="G139" s="80">
        <v>100</v>
      </c>
      <c r="H139" s="80">
        <v>100</v>
      </c>
      <c r="I139" s="80"/>
      <c r="J139" s="80"/>
      <c r="K139" s="80"/>
      <c r="L139" s="80"/>
      <c r="M139" s="80"/>
      <c r="N139" s="80"/>
      <c r="O139" s="80"/>
      <c r="P139" s="80"/>
      <c r="Q139" s="80">
        <v>100</v>
      </c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</row>
    <row r="140" spans="1:29" customFormat="1" ht="57">
      <c r="A140" s="7">
        <v>46115</v>
      </c>
      <c r="B140" s="7">
        <v>46115</v>
      </c>
      <c r="C140" s="1" t="s">
        <v>3484</v>
      </c>
      <c r="D140" s="120" t="s">
        <v>3485</v>
      </c>
      <c r="E140" s="120" t="s">
        <v>4185</v>
      </c>
      <c r="F140" s="156"/>
      <c r="G140" s="80">
        <v>100</v>
      </c>
      <c r="H140" s="80">
        <v>100</v>
      </c>
      <c r="I140" s="80"/>
      <c r="J140" s="80"/>
      <c r="K140" s="80"/>
      <c r="L140" s="80"/>
      <c r="M140" s="80">
        <v>100</v>
      </c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</row>
    <row r="141" spans="1:29" customFormat="1" ht="57">
      <c r="A141" s="7">
        <v>46115</v>
      </c>
      <c r="B141" s="7">
        <v>46115</v>
      </c>
      <c r="C141" s="1" t="s">
        <v>3489</v>
      </c>
      <c r="D141" s="120" t="s">
        <v>3490</v>
      </c>
      <c r="E141" s="120" t="s">
        <v>4186</v>
      </c>
      <c r="F141" s="156">
        <v>250788501582</v>
      </c>
      <c r="G141" s="80">
        <v>100</v>
      </c>
      <c r="H141" s="80">
        <v>100</v>
      </c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>
        <v>100</v>
      </c>
    </row>
    <row r="142" spans="1:29" customFormat="1" ht="71.25">
      <c r="A142" s="7">
        <v>46116</v>
      </c>
      <c r="B142" s="7">
        <v>46116</v>
      </c>
      <c r="C142" s="1" t="s">
        <v>3494</v>
      </c>
      <c r="D142" s="120" t="s">
        <v>3495</v>
      </c>
      <c r="E142" s="120" t="s">
        <v>4187</v>
      </c>
      <c r="F142" s="156">
        <v>250788567251</v>
      </c>
      <c r="G142" s="80">
        <v>100</v>
      </c>
      <c r="H142" s="80">
        <v>100</v>
      </c>
      <c r="I142" s="80"/>
      <c r="J142" s="80"/>
      <c r="K142" s="80"/>
      <c r="L142" s="80"/>
      <c r="M142" s="80"/>
      <c r="N142" s="80"/>
      <c r="O142" s="80"/>
      <c r="P142" s="80">
        <v>100</v>
      </c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</row>
    <row r="143" spans="1:29" customFormat="1" ht="57">
      <c r="A143" s="7">
        <v>46121</v>
      </c>
      <c r="B143" s="7">
        <v>46121</v>
      </c>
      <c r="C143" s="1" t="s">
        <v>3520</v>
      </c>
      <c r="D143" s="120" t="s">
        <v>3521</v>
      </c>
      <c r="E143" s="120" t="s">
        <v>4188</v>
      </c>
      <c r="F143" s="156">
        <v>250795597246</v>
      </c>
      <c r="G143" s="80">
        <v>100</v>
      </c>
      <c r="H143" s="80">
        <v>100</v>
      </c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>
        <v>100</v>
      </c>
      <c r="W143" s="80"/>
      <c r="X143" s="80"/>
      <c r="Y143" s="80"/>
      <c r="Z143" s="80"/>
      <c r="AA143" s="80"/>
      <c r="AB143" s="80"/>
      <c r="AC143" s="80"/>
    </row>
    <row r="144" spans="1:29" customFormat="1" ht="42.75">
      <c r="A144" s="7">
        <v>46121</v>
      </c>
      <c r="B144" s="7">
        <v>46121</v>
      </c>
      <c r="C144" s="1" t="s">
        <v>3528</v>
      </c>
      <c r="D144" s="120" t="s">
        <v>3529</v>
      </c>
      <c r="E144" s="120" t="s">
        <v>4189</v>
      </c>
      <c r="F144" s="156">
        <v>250785480225</v>
      </c>
      <c r="G144" s="80">
        <v>100</v>
      </c>
      <c r="H144" s="80">
        <v>100</v>
      </c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>
        <v>100</v>
      </c>
      <c r="W144" s="80"/>
      <c r="X144" s="80"/>
      <c r="Y144" s="80"/>
      <c r="Z144" s="80"/>
      <c r="AA144" s="80"/>
      <c r="AB144" s="80"/>
      <c r="AC144" s="80"/>
    </row>
    <row r="145" spans="1:32" ht="71.25">
      <c r="A145" s="7">
        <v>46123</v>
      </c>
      <c r="B145" s="7">
        <v>46123</v>
      </c>
      <c r="C145" s="1" t="s">
        <v>3549</v>
      </c>
      <c r="D145" s="120" t="s">
        <v>3550</v>
      </c>
      <c r="E145" s="120" t="s">
        <v>4190</v>
      </c>
      <c r="F145" s="156"/>
      <c r="G145" s="80">
        <v>100</v>
      </c>
      <c r="H145" s="80">
        <v>100</v>
      </c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>
        <v>100</v>
      </c>
      <c r="U145" s="80"/>
      <c r="V145" s="80"/>
      <c r="W145" s="80"/>
      <c r="X145" s="80"/>
      <c r="Y145" s="80"/>
      <c r="Z145" s="80"/>
      <c r="AA145" s="80"/>
      <c r="AB145" s="80"/>
      <c r="AC145" s="80"/>
    </row>
    <row r="146" spans="1:32" ht="71.25">
      <c r="A146" s="7">
        <v>46126</v>
      </c>
      <c r="B146" s="7">
        <v>46126</v>
      </c>
      <c r="C146" s="1" t="s">
        <v>3574</v>
      </c>
      <c r="D146" s="120" t="s">
        <v>3575</v>
      </c>
      <c r="E146" s="120" t="s">
        <v>4191</v>
      </c>
      <c r="F146" s="156">
        <v>250788605907</v>
      </c>
      <c r="G146" s="80">
        <v>100</v>
      </c>
      <c r="H146" s="80">
        <v>100</v>
      </c>
      <c r="I146" s="80"/>
      <c r="J146" s="80"/>
      <c r="K146" s="80"/>
      <c r="L146" s="80"/>
      <c r="M146" s="80"/>
      <c r="N146" s="80"/>
      <c r="O146" s="80">
        <v>100</v>
      </c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</row>
    <row r="147" spans="1:32" ht="57">
      <c r="A147" s="7">
        <v>46126</v>
      </c>
      <c r="B147" s="7">
        <v>46126</v>
      </c>
      <c r="C147" s="1" t="s">
        <v>3585</v>
      </c>
      <c r="D147" s="120" t="s">
        <v>3586</v>
      </c>
      <c r="E147" s="120" t="s">
        <v>4192</v>
      </c>
      <c r="F147" s="156">
        <v>250785499869</v>
      </c>
      <c r="G147" s="80">
        <v>100</v>
      </c>
      <c r="H147" s="80">
        <v>100</v>
      </c>
      <c r="I147" s="80"/>
      <c r="J147" s="80"/>
      <c r="K147" s="80"/>
      <c r="L147" s="80"/>
      <c r="M147" s="80"/>
      <c r="N147" s="80"/>
      <c r="O147" s="80">
        <v>100</v>
      </c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</row>
    <row r="148" spans="1:32" ht="57">
      <c r="A148" s="7">
        <v>46129</v>
      </c>
      <c r="B148" s="7">
        <v>46129</v>
      </c>
      <c r="C148" s="1" t="s">
        <v>3662</v>
      </c>
      <c r="D148" s="120" t="s">
        <v>3663</v>
      </c>
      <c r="E148" s="120" t="s">
        <v>4193</v>
      </c>
      <c r="F148" s="156">
        <v>250788663048</v>
      </c>
      <c r="G148" s="80">
        <v>100</v>
      </c>
      <c r="H148" s="80">
        <v>100</v>
      </c>
      <c r="I148" s="80"/>
      <c r="J148" s="80"/>
      <c r="K148" s="80"/>
      <c r="L148" s="80"/>
      <c r="M148" s="80"/>
      <c r="N148" s="80"/>
      <c r="O148" s="80">
        <v>100</v>
      </c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</row>
    <row r="149" spans="1:32" ht="57">
      <c r="A149" s="7">
        <v>46129</v>
      </c>
      <c r="B149" s="7">
        <v>46129</v>
      </c>
      <c r="C149" s="1" t="s">
        <v>3672</v>
      </c>
      <c r="D149" s="120" t="s">
        <v>3673</v>
      </c>
      <c r="E149" s="120" t="s">
        <v>4194</v>
      </c>
      <c r="F149" s="156">
        <v>250782002220</v>
      </c>
      <c r="G149" s="80">
        <v>100</v>
      </c>
      <c r="H149" s="80">
        <v>100</v>
      </c>
      <c r="I149" s="80"/>
      <c r="J149" s="80"/>
      <c r="K149" s="80"/>
      <c r="L149" s="80"/>
      <c r="M149" s="80"/>
      <c r="N149" s="80"/>
      <c r="O149" s="80">
        <v>100</v>
      </c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</row>
    <row r="150" spans="1:32" ht="71.25">
      <c r="A150" s="7">
        <v>46130</v>
      </c>
      <c r="B150" s="7">
        <v>46130</v>
      </c>
      <c r="C150" s="1" t="s">
        <v>3687</v>
      </c>
      <c r="D150" s="120" t="s">
        <v>3688</v>
      </c>
      <c r="E150" s="120" t="s">
        <v>4195</v>
      </c>
      <c r="F150" s="156">
        <v>250786859223</v>
      </c>
      <c r="G150" s="80">
        <v>100</v>
      </c>
      <c r="H150" s="80">
        <v>100</v>
      </c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>
        <v>100</v>
      </c>
      <c r="Z150" s="80"/>
      <c r="AA150" s="80"/>
      <c r="AB150" s="80"/>
      <c r="AC150" s="80"/>
    </row>
    <row r="151" spans="1:32" ht="42.75">
      <c r="A151" s="7">
        <v>46131</v>
      </c>
      <c r="B151" s="7">
        <v>46131</v>
      </c>
      <c r="C151" s="1" t="s">
        <v>3697</v>
      </c>
      <c r="D151" s="120" t="s">
        <v>738</v>
      </c>
      <c r="E151" s="120" t="s">
        <v>4066</v>
      </c>
      <c r="F151" s="156"/>
      <c r="G151" s="80">
        <v>100</v>
      </c>
      <c r="H151" s="80">
        <v>100</v>
      </c>
      <c r="I151" s="80"/>
      <c r="J151" s="80"/>
      <c r="K151" s="80"/>
      <c r="L151" s="80"/>
      <c r="M151" s="80">
        <v>100</v>
      </c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</row>
    <row r="152" spans="1:32" ht="42.75">
      <c r="A152" s="7">
        <v>46134</v>
      </c>
      <c r="B152" s="7">
        <v>46134</v>
      </c>
      <c r="C152" s="1" t="s">
        <v>3742</v>
      </c>
      <c r="D152" s="120" t="s">
        <v>3743</v>
      </c>
      <c r="E152" s="120" t="s">
        <v>4196</v>
      </c>
      <c r="F152" s="156">
        <v>250784025318</v>
      </c>
      <c r="G152" s="80">
        <v>100</v>
      </c>
      <c r="H152" s="80">
        <v>100</v>
      </c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>
        <v>100</v>
      </c>
      <c r="W152" s="80"/>
      <c r="X152" s="80"/>
      <c r="Y152" s="80"/>
      <c r="Z152" s="80"/>
      <c r="AA152" s="80"/>
      <c r="AB152" s="80"/>
      <c r="AC152" s="80"/>
    </row>
    <row r="153" spans="1:32" ht="57">
      <c r="A153" s="7">
        <v>46135</v>
      </c>
      <c r="B153" s="7">
        <v>46135</v>
      </c>
      <c r="C153" s="1" t="s">
        <v>3768</v>
      </c>
      <c r="D153" s="120" t="s">
        <v>3769</v>
      </c>
      <c r="E153" s="120" t="s">
        <v>4197</v>
      </c>
      <c r="F153" s="156">
        <v>250788870889</v>
      </c>
      <c r="G153" s="80">
        <v>100</v>
      </c>
      <c r="H153" s="80">
        <v>100</v>
      </c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>
        <v>100</v>
      </c>
      <c r="W153" s="80"/>
      <c r="X153" s="80"/>
      <c r="Y153" s="80"/>
      <c r="Z153" s="80"/>
      <c r="AA153" s="80"/>
      <c r="AB153" s="80"/>
      <c r="AC153" s="80"/>
    </row>
    <row r="154" spans="1:32" ht="57">
      <c r="A154" s="7">
        <v>46139</v>
      </c>
      <c r="B154" s="7">
        <v>46139</v>
      </c>
      <c r="C154" s="1" t="s">
        <v>3816</v>
      </c>
      <c r="D154" s="120" t="s">
        <v>3817</v>
      </c>
      <c r="E154" s="120" t="s">
        <v>4198</v>
      </c>
      <c r="F154" s="156">
        <v>250787152796</v>
      </c>
      <c r="G154" s="80">
        <v>100</v>
      </c>
      <c r="H154" s="80">
        <v>100</v>
      </c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>
        <v>100</v>
      </c>
      <c r="U154" s="80"/>
      <c r="V154" s="80"/>
      <c r="W154" s="80"/>
      <c r="X154" s="80"/>
      <c r="Y154" s="80"/>
      <c r="Z154" s="80"/>
      <c r="AA154" s="80"/>
      <c r="AB154" s="80"/>
      <c r="AC154" s="80"/>
    </row>
    <row r="155" spans="1:32" ht="57">
      <c r="A155" s="7">
        <v>46141</v>
      </c>
      <c r="B155" s="7">
        <v>46141</v>
      </c>
      <c r="C155" s="1" t="s">
        <v>3845</v>
      </c>
      <c r="D155" s="120" t="s">
        <v>3846</v>
      </c>
      <c r="E155" s="120" t="s">
        <v>4199</v>
      </c>
      <c r="F155" s="156"/>
      <c r="G155" s="80">
        <v>100</v>
      </c>
      <c r="H155" s="80">
        <v>100</v>
      </c>
      <c r="I155" s="80"/>
      <c r="J155" s="80"/>
      <c r="K155" s="80"/>
      <c r="L155" s="80"/>
      <c r="M155" s="80">
        <v>100</v>
      </c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</row>
    <row r="156" spans="1:32" ht="42.75">
      <c r="A156" s="7">
        <v>46141</v>
      </c>
      <c r="B156" s="7">
        <v>46141</v>
      </c>
      <c r="C156" s="1" t="s">
        <v>3850</v>
      </c>
      <c r="D156" s="120" t="s">
        <v>3851</v>
      </c>
      <c r="E156" s="120" t="s">
        <v>4110</v>
      </c>
      <c r="F156" s="156"/>
      <c r="G156" s="80">
        <v>100</v>
      </c>
      <c r="H156" s="80">
        <v>100</v>
      </c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>
        <v>100</v>
      </c>
      <c r="X156" s="80"/>
      <c r="Y156" s="80"/>
      <c r="Z156" s="80"/>
      <c r="AA156" s="80"/>
      <c r="AB156" s="80"/>
      <c r="AC156" s="80"/>
    </row>
    <row r="157" spans="1:32" ht="42.75">
      <c r="A157" s="7">
        <v>46141</v>
      </c>
      <c r="B157" s="7">
        <v>46141</v>
      </c>
      <c r="C157" s="1" t="s">
        <v>3865</v>
      </c>
      <c r="D157" s="120" t="s">
        <v>3866</v>
      </c>
      <c r="E157" s="120" t="s">
        <v>4200</v>
      </c>
      <c r="F157" s="156">
        <v>250788542456</v>
      </c>
      <c r="G157" s="80">
        <v>100</v>
      </c>
      <c r="H157" s="80">
        <v>100</v>
      </c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>
        <v>100</v>
      </c>
      <c r="W157" s="80"/>
      <c r="X157" s="80"/>
      <c r="Y157" s="80"/>
      <c r="Z157" s="80"/>
      <c r="AA157" s="80"/>
      <c r="AB157" s="80"/>
      <c r="AC157" s="80"/>
    </row>
    <row r="158" spans="1:32" ht="15">
      <c r="A158" s="7"/>
      <c r="B158" s="7"/>
      <c r="C158" s="1"/>
      <c r="D158" s="120"/>
      <c r="E158" s="120"/>
      <c r="F158" s="158"/>
      <c r="G158" s="139">
        <f>SUM(G2:G157)</f>
        <v>27559170</v>
      </c>
      <c r="H158" s="80">
        <f>SUM(H99:H157)</f>
        <v>9700</v>
      </c>
      <c r="I158" s="139">
        <f t="shared" ref="I158:AC158" si="0">SUM(I2:I157)</f>
        <v>42300</v>
      </c>
      <c r="J158" s="139">
        <f t="shared" si="0"/>
        <v>11376990</v>
      </c>
      <c r="K158" s="149">
        <v>5180503</v>
      </c>
      <c r="L158" s="139">
        <f t="shared" si="0"/>
        <v>37900</v>
      </c>
      <c r="M158" s="139">
        <f t="shared" si="0"/>
        <v>1255500</v>
      </c>
      <c r="N158" s="139">
        <f t="shared" si="0"/>
        <v>487350</v>
      </c>
      <c r="O158" s="139">
        <f t="shared" si="0"/>
        <v>266750</v>
      </c>
      <c r="P158" s="139">
        <f t="shared" si="0"/>
        <v>541600</v>
      </c>
      <c r="Q158" s="139">
        <f t="shared" si="0"/>
        <v>265300</v>
      </c>
      <c r="R158" s="139">
        <f t="shared" si="0"/>
        <v>640600</v>
      </c>
      <c r="S158" s="139">
        <f t="shared" si="0"/>
        <v>223900</v>
      </c>
      <c r="T158" s="139">
        <f t="shared" si="0"/>
        <v>279600</v>
      </c>
      <c r="U158" s="139">
        <f t="shared" si="0"/>
        <v>382700</v>
      </c>
      <c r="V158" s="139">
        <f t="shared" si="0"/>
        <v>632380</v>
      </c>
      <c r="W158" s="139">
        <f t="shared" si="0"/>
        <v>307536</v>
      </c>
      <c r="X158" s="139">
        <f t="shared" si="0"/>
        <v>600689</v>
      </c>
      <c r="Y158" s="139">
        <f t="shared" si="0"/>
        <v>750392</v>
      </c>
      <c r="Z158" s="139">
        <f t="shared" si="0"/>
        <v>162975</v>
      </c>
      <c r="AA158" s="139">
        <f t="shared" si="0"/>
        <v>252445</v>
      </c>
      <c r="AB158" s="139">
        <f t="shared" si="0"/>
        <v>271400</v>
      </c>
      <c r="AC158" s="139">
        <f t="shared" si="0"/>
        <v>35600</v>
      </c>
      <c r="AD158" s="159">
        <f>SUM(K158:AC158)</f>
        <v>12575120</v>
      </c>
      <c r="AE158" s="139">
        <f t="shared" ref="AE158:AF158" si="1">SUM(AE2:AE157)</f>
        <v>0</v>
      </c>
      <c r="AF158" s="139">
        <f t="shared" si="1"/>
        <v>0</v>
      </c>
    </row>
    <row r="159" spans="1:32">
      <c r="G159" s="78">
        <v>15000000</v>
      </c>
    </row>
    <row r="160" spans="1:32">
      <c r="G160" s="78">
        <f>+G158-G159</f>
        <v>12559170</v>
      </c>
      <c r="K160" s="160">
        <f>+K158/AD158</f>
        <v>0.41196449815190628</v>
      </c>
      <c r="L160" s="160">
        <f>+L158/AD158</f>
        <v>3.0138877402362762E-3</v>
      </c>
      <c r="M160" s="160">
        <f>+M158/AD158</f>
        <v>9.9840001526824401E-2</v>
      </c>
      <c r="N160" s="160">
        <f>+N158/AD158</f>
        <v>3.8755097366864097E-2</v>
      </c>
      <c r="O160" s="160">
        <f>+O158/AD158</f>
        <v>2.1212521232401759E-2</v>
      </c>
      <c r="P160" s="160">
        <f>+P158/AD158</f>
        <v>4.3069171506912064E-2</v>
      </c>
      <c r="Q160" s="160">
        <f>+Q158/AD158</f>
        <v>2.1097214181653931E-2</v>
      </c>
      <c r="R160" s="160">
        <f>+R158/AD158</f>
        <v>5.0941859799349828E-2</v>
      </c>
      <c r="S160" s="160">
        <f>+S158/AD158</f>
        <v>1.7804999077543595E-2</v>
      </c>
      <c r="T160" s="160">
        <f>+T158/AD158</f>
        <v>2.2234380268339387E-2</v>
      </c>
      <c r="U160" s="160">
        <f>+U158/AD158</f>
        <v>3.0433109187029628E-2</v>
      </c>
      <c r="V160" s="160">
        <f>+V158/AD158</f>
        <v>5.0288188104765603E-2</v>
      </c>
      <c r="W160" s="160">
        <f>+W158/AD158</f>
        <v>2.445590976467819E-2</v>
      </c>
      <c r="X160" s="160">
        <f>+X158/AD158</f>
        <v>4.7768053108041914E-2</v>
      </c>
      <c r="Y160" s="160">
        <f>+Y158/AD158</f>
        <v>5.9672750637767273E-2</v>
      </c>
      <c r="Z160" s="160">
        <f>+Z158/AD158</f>
        <v>1.2960114893535808E-2</v>
      </c>
      <c r="AA160" s="160">
        <f>+AA158/AD158</f>
        <v>2.0074957535196482E-2</v>
      </c>
      <c r="AB160" s="160">
        <f>+AB158/AD158</f>
        <v>2.1582299015834441E-2</v>
      </c>
      <c r="AC160" s="160">
        <f>+AC158/AD158</f>
        <v>2.830986901119035E-3</v>
      </c>
    </row>
    <row r="161" spans="15:15" customFormat="1">
      <c r="O161" s="78">
        <f>+N158+O158</f>
        <v>754100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Views>
    <sheetView zoomScale="85" zoomScaleNormal="85" workbookViewId="0">
      <pane ySplit="1" topLeftCell="A56" activePane="bottomLeft" state="frozen"/>
      <selection pane="bottomLeft" activeCell="F63" sqref="F63"/>
    </sheetView>
  </sheetViews>
  <sheetFormatPr defaultColWidth="19.375" defaultRowHeight="14.25"/>
  <cols>
    <col min="2" max="2" width="5.875" customWidth="1"/>
    <col min="4" max="4" width="13.375" customWidth="1"/>
    <col min="5" max="5" width="11.875" customWidth="1"/>
    <col min="6" max="6" width="45.875" style="122" customWidth="1"/>
    <col min="7" max="8" width="12.125" style="78" customWidth="1"/>
    <col min="10" max="10" width="18" customWidth="1"/>
    <col min="11" max="11" width="14.5" customWidth="1"/>
    <col min="12" max="12" width="12.5" customWidth="1"/>
    <col min="13" max="13" width="13" customWidth="1"/>
    <col min="14" max="14" width="15.375" customWidth="1"/>
    <col min="16" max="16" width="16.125" customWidth="1"/>
    <col min="17" max="17" width="16" customWidth="1"/>
    <col min="18" max="18" width="10.25" customWidth="1"/>
    <col min="19" max="19" width="16.625" customWidth="1"/>
  </cols>
  <sheetData>
    <row r="1" spans="1:24" ht="30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20" t="s">
        <v>228</v>
      </c>
      <c r="G1" s="80" t="s">
        <v>229</v>
      </c>
      <c r="H1" s="80" t="s">
        <v>230</v>
      </c>
      <c r="I1" s="1" t="s">
        <v>231</v>
      </c>
      <c r="J1" s="161" t="s">
        <v>3444</v>
      </c>
      <c r="K1" s="164" t="s">
        <v>3445</v>
      </c>
      <c r="L1" s="165" t="s">
        <v>3446</v>
      </c>
      <c r="M1" s="48" t="s">
        <v>4221</v>
      </c>
      <c r="N1" s="123" t="s">
        <v>3447</v>
      </c>
      <c r="O1" s="123" t="s">
        <v>3448</v>
      </c>
      <c r="P1" s="123" t="s">
        <v>3449</v>
      </c>
      <c r="Q1" s="123" t="s">
        <v>3450</v>
      </c>
      <c r="R1" s="123" t="s">
        <v>3451</v>
      </c>
      <c r="S1" s="123" t="s">
        <v>3452</v>
      </c>
      <c r="T1" s="123" t="s">
        <v>4025</v>
      </c>
      <c r="U1" s="123" t="s">
        <v>4026</v>
      </c>
      <c r="V1" s="48" t="s">
        <v>3453</v>
      </c>
      <c r="W1" s="162" t="s">
        <v>4220</v>
      </c>
      <c r="X1" s="162" t="s">
        <v>4222</v>
      </c>
    </row>
    <row r="2" spans="1:24" ht="42.75">
      <c r="A2" s="1" t="s">
        <v>239</v>
      </c>
      <c r="B2" s="1" t="s">
        <v>240</v>
      </c>
      <c r="C2" s="1" t="s">
        <v>3894</v>
      </c>
      <c r="D2" s="5">
        <v>46143</v>
      </c>
      <c r="E2" s="5">
        <v>46143</v>
      </c>
      <c r="F2" s="120" t="s">
        <v>3895</v>
      </c>
      <c r="G2" s="80"/>
      <c r="H2" s="80">
        <v>100</v>
      </c>
      <c r="I2" s="1" t="s">
        <v>3896</v>
      </c>
      <c r="J2" s="163"/>
      <c r="K2" s="80"/>
      <c r="L2" s="80"/>
      <c r="M2" s="1"/>
      <c r="N2" s="80">
        <v>100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2.75">
      <c r="A3" s="1" t="s">
        <v>239</v>
      </c>
      <c r="B3" s="1" t="s">
        <v>240</v>
      </c>
      <c r="C3" s="1" t="s">
        <v>3894</v>
      </c>
      <c r="D3" s="5">
        <v>46143</v>
      </c>
      <c r="E3" s="5">
        <v>46143</v>
      </c>
      <c r="F3" s="120" t="s">
        <v>3897</v>
      </c>
      <c r="G3" s="80"/>
      <c r="H3" s="80">
        <v>80000</v>
      </c>
      <c r="I3" s="1" t="s">
        <v>3898</v>
      </c>
      <c r="J3" s="163"/>
      <c r="K3" s="80"/>
      <c r="L3" s="80"/>
      <c r="M3" s="1"/>
      <c r="N3" s="80">
        <v>80000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2.75">
      <c r="A4" s="1" t="s">
        <v>239</v>
      </c>
      <c r="B4" s="1" t="s">
        <v>240</v>
      </c>
      <c r="C4" s="1" t="s">
        <v>3899</v>
      </c>
      <c r="D4" s="5">
        <v>46143</v>
      </c>
      <c r="E4" s="5">
        <v>46143</v>
      </c>
      <c r="F4" s="120" t="s">
        <v>3900</v>
      </c>
      <c r="G4" s="80"/>
      <c r="H4" s="80">
        <v>200</v>
      </c>
      <c r="I4" s="1" t="s">
        <v>3901</v>
      </c>
      <c r="J4" s="163"/>
      <c r="K4" s="80"/>
      <c r="L4" s="80"/>
      <c r="M4" s="1"/>
      <c r="N4" s="80">
        <v>200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2.75">
      <c r="A5" s="1" t="s">
        <v>239</v>
      </c>
      <c r="B5" s="1" t="s">
        <v>240</v>
      </c>
      <c r="C5" s="1" t="s">
        <v>3899</v>
      </c>
      <c r="D5" s="5">
        <v>46143</v>
      </c>
      <c r="E5" s="5">
        <v>46143</v>
      </c>
      <c r="F5" s="120" t="s">
        <v>3902</v>
      </c>
      <c r="G5" s="80"/>
      <c r="H5" s="80">
        <v>90000</v>
      </c>
      <c r="I5" s="1" t="s">
        <v>3903</v>
      </c>
      <c r="J5" s="163"/>
      <c r="K5" s="80"/>
      <c r="L5" s="80"/>
      <c r="M5" s="1"/>
      <c r="N5" s="80">
        <v>90000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2.75">
      <c r="A6" s="1" t="s">
        <v>239</v>
      </c>
      <c r="B6" s="1" t="s">
        <v>240</v>
      </c>
      <c r="C6" s="1" t="s">
        <v>3904</v>
      </c>
      <c r="D6" s="5">
        <v>46143</v>
      </c>
      <c r="E6" s="5">
        <v>46143</v>
      </c>
      <c r="F6" s="120" t="s">
        <v>2705</v>
      </c>
      <c r="G6" s="80"/>
      <c r="H6" s="80">
        <v>1350</v>
      </c>
      <c r="I6" s="1" t="s">
        <v>3905</v>
      </c>
      <c r="J6" s="163"/>
      <c r="K6" s="80"/>
      <c r="L6" s="80"/>
      <c r="M6" s="1"/>
      <c r="N6" s="142"/>
      <c r="O6" s="80">
        <v>1350</v>
      </c>
      <c r="P6" s="1"/>
      <c r="Q6" s="1"/>
      <c r="R6" s="1"/>
      <c r="S6" s="1"/>
      <c r="T6" s="1"/>
      <c r="U6" s="1"/>
      <c r="V6" s="1"/>
      <c r="W6" s="1"/>
      <c r="X6" s="1"/>
    </row>
    <row r="7" spans="1:24" ht="42.75">
      <c r="A7" s="1" t="s">
        <v>239</v>
      </c>
      <c r="B7" s="1" t="s">
        <v>240</v>
      </c>
      <c r="C7" s="1" t="s">
        <v>3904</v>
      </c>
      <c r="D7" s="5">
        <v>46143</v>
      </c>
      <c r="E7" s="5">
        <v>46143</v>
      </c>
      <c r="F7" s="120" t="s">
        <v>2707</v>
      </c>
      <c r="G7" s="80"/>
      <c r="H7" s="80">
        <v>486000</v>
      </c>
      <c r="I7" s="1" t="s">
        <v>3906</v>
      </c>
      <c r="J7" s="163"/>
      <c r="K7" s="80"/>
      <c r="L7" s="80"/>
      <c r="M7" s="1"/>
      <c r="N7" s="80"/>
      <c r="O7" s="80">
        <v>486000</v>
      </c>
      <c r="P7" s="1"/>
      <c r="Q7" s="1"/>
      <c r="R7" s="1"/>
      <c r="S7" s="1"/>
      <c r="T7" s="1"/>
      <c r="U7" s="1"/>
      <c r="V7" s="1"/>
      <c r="W7" s="1"/>
      <c r="X7" s="1"/>
    </row>
    <row r="8" spans="1:24" ht="57">
      <c r="A8" s="1" t="s">
        <v>239</v>
      </c>
      <c r="B8" s="1" t="s">
        <v>240</v>
      </c>
      <c r="C8" s="1" t="s">
        <v>3907</v>
      </c>
      <c r="D8" s="5">
        <v>46143</v>
      </c>
      <c r="E8" s="5">
        <v>46143</v>
      </c>
      <c r="F8" s="120" t="s">
        <v>4209</v>
      </c>
      <c r="G8" s="80"/>
      <c r="H8" s="80">
        <v>70000</v>
      </c>
      <c r="I8" s="1" t="s">
        <v>3908</v>
      </c>
      <c r="J8" s="163"/>
      <c r="K8" s="80"/>
      <c r="L8" s="80"/>
      <c r="M8" s="1"/>
      <c r="N8" s="1"/>
      <c r="O8" s="1"/>
      <c r="P8" s="1"/>
      <c r="Q8" s="1"/>
      <c r="R8" s="1"/>
      <c r="S8" s="80">
        <v>70000</v>
      </c>
      <c r="T8" s="1"/>
      <c r="U8" s="1"/>
      <c r="V8" s="80"/>
      <c r="W8" s="1"/>
      <c r="X8" s="1"/>
    </row>
    <row r="9" spans="1:24" ht="42.75">
      <c r="A9" s="1" t="s">
        <v>239</v>
      </c>
      <c r="B9" s="1" t="s">
        <v>240</v>
      </c>
      <c r="C9" s="1" t="s">
        <v>3909</v>
      </c>
      <c r="D9" s="5">
        <v>46143</v>
      </c>
      <c r="E9" s="5">
        <v>46143</v>
      </c>
      <c r="F9" s="120" t="s">
        <v>4210</v>
      </c>
      <c r="G9" s="80">
        <v>740000</v>
      </c>
      <c r="H9" s="80"/>
      <c r="I9" s="1" t="s">
        <v>3910</v>
      </c>
      <c r="J9" s="163">
        <v>740000</v>
      </c>
      <c r="K9" s="80"/>
      <c r="L9" s="80"/>
      <c r="M9" s="1"/>
      <c r="N9" s="1"/>
      <c r="O9" s="1"/>
      <c r="P9" s="1"/>
      <c r="Q9" s="1"/>
      <c r="R9" s="1"/>
      <c r="S9" s="1"/>
      <c r="T9" s="1"/>
      <c r="U9" s="1"/>
      <c r="V9" s="80"/>
      <c r="W9" s="1"/>
      <c r="X9" s="1"/>
    </row>
    <row r="10" spans="1:24" ht="42.75">
      <c r="A10" s="1" t="s">
        <v>239</v>
      </c>
      <c r="B10" s="1" t="s">
        <v>240</v>
      </c>
      <c r="C10" s="1" t="s">
        <v>3911</v>
      </c>
      <c r="D10" s="5">
        <v>46143</v>
      </c>
      <c r="E10" s="5">
        <v>46143</v>
      </c>
      <c r="F10" s="120" t="s">
        <v>3912</v>
      </c>
      <c r="G10" s="80"/>
      <c r="H10" s="80">
        <v>200</v>
      </c>
      <c r="I10" s="1" t="s">
        <v>3913</v>
      </c>
      <c r="J10" s="163"/>
      <c r="K10" s="80"/>
      <c r="L10" s="80"/>
      <c r="M10" s="1"/>
      <c r="N10" s="1"/>
      <c r="O10" s="1"/>
      <c r="P10" s="1"/>
      <c r="Q10" s="1"/>
      <c r="R10" s="80">
        <v>200</v>
      </c>
      <c r="S10" s="1"/>
      <c r="T10" s="1"/>
      <c r="U10" s="1"/>
      <c r="V10" s="1"/>
      <c r="W10" s="1"/>
      <c r="X10" s="1"/>
    </row>
    <row r="11" spans="1:24" ht="57">
      <c r="A11" s="1" t="s">
        <v>239</v>
      </c>
      <c r="B11" s="1" t="s">
        <v>240</v>
      </c>
      <c r="C11" s="1" t="s">
        <v>3911</v>
      </c>
      <c r="D11" s="5">
        <v>46143</v>
      </c>
      <c r="E11" s="5">
        <v>46143</v>
      </c>
      <c r="F11" s="120" t="s">
        <v>4219</v>
      </c>
      <c r="G11" s="80"/>
      <c r="H11" s="80">
        <v>57000</v>
      </c>
      <c r="I11" s="1" t="s">
        <v>3914</v>
      </c>
      <c r="J11" s="163"/>
      <c r="K11" s="80"/>
      <c r="L11" s="80"/>
      <c r="M11" s="80"/>
      <c r="N11" s="1"/>
      <c r="O11" s="1"/>
      <c r="P11" s="1"/>
      <c r="Q11" s="1"/>
      <c r="R11" s="80">
        <v>57000</v>
      </c>
      <c r="S11" s="1"/>
      <c r="T11" s="1"/>
      <c r="U11" s="1"/>
      <c r="V11" s="1"/>
      <c r="W11" s="1"/>
      <c r="X11" s="1"/>
    </row>
    <row r="12" spans="1:24" ht="42.75">
      <c r="A12" s="1" t="s">
        <v>239</v>
      </c>
      <c r="B12" s="1" t="s">
        <v>240</v>
      </c>
      <c r="C12" s="1" t="s">
        <v>3915</v>
      </c>
      <c r="D12" s="5">
        <v>46143</v>
      </c>
      <c r="E12" s="5">
        <v>46143</v>
      </c>
      <c r="F12" s="120" t="s">
        <v>4208</v>
      </c>
      <c r="G12" s="80">
        <v>330000</v>
      </c>
      <c r="H12" s="80"/>
      <c r="I12" s="1" t="s">
        <v>3916</v>
      </c>
      <c r="J12" s="163">
        <v>330000</v>
      </c>
      <c r="K12" s="80"/>
      <c r="L12" s="80"/>
      <c r="M12" s="1"/>
      <c r="N12" s="1"/>
      <c r="O12" s="1"/>
      <c r="P12" s="1"/>
      <c r="Q12" s="1"/>
      <c r="R12" s="80"/>
      <c r="S12" s="1"/>
      <c r="T12" s="1"/>
      <c r="U12" s="1"/>
      <c r="V12" s="1"/>
      <c r="W12" s="1"/>
      <c r="X12" s="1"/>
    </row>
    <row r="13" spans="1:24" ht="42.75">
      <c r="A13" s="1" t="s">
        <v>239</v>
      </c>
      <c r="B13" s="1" t="s">
        <v>240</v>
      </c>
      <c r="C13" s="1" t="s">
        <v>3917</v>
      </c>
      <c r="D13" s="5">
        <v>46143</v>
      </c>
      <c r="E13" s="5">
        <v>46143</v>
      </c>
      <c r="F13" s="120" t="s">
        <v>3918</v>
      </c>
      <c r="G13" s="80"/>
      <c r="H13" s="80">
        <v>200</v>
      </c>
      <c r="I13" s="1" t="s">
        <v>3919</v>
      </c>
      <c r="J13" s="163"/>
      <c r="K13" s="80"/>
      <c r="L13" s="80"/>
      <c r="M13" s="1"/>
      <c r="N13" s="1"/>
      <c r="O13" s="80"/>
      <c r="P13" s="1"/>
      <c r="Q13" s="1"/>
      <c r="R13" s="80">
        <v>200</v>
      </c>
      <c r="S13" s="1"/>
      <c r="T13" s="1"/>
      <c r="U13" s="1"/>
      <c r="V13" s="1"/>
      <c r="W13" s="1"/>
      <c r="X13" s="1"/>
    </row>
    <row r="14" spans="1:24" ht="42.75">
      <c r="A14" s="1" t="s">
        <v>239</v>
      </c>
      <c r="B14" s="1" t="s">
        <v>240</v>
      </c>
      <c r="C14" s="1" t="s">
        <v>3917</v>
      </c>
      <c r="D14" s="5">
        <v>46143</v>
      </c>
      <c r="E14" s="5">
        <v>46143</v>
      </c>
      <c r="F14" s="120" t="s">
        <v>3920</v>
      </c>
      <c r="G14" s="80"/>
      <c r="H14" s="80">
        <v>15000</v>
      </c>
      <c r="I14" s="1" t="s">
        <v>3921</v>
      </c>
      <c r="J14" s="163"/>
      <c r="K14" s="80"/>
      <c r="L14" s="80"/>
      <c r="M14" s="1"/>
      <c r="N14" s="1"/>
      <c r="O14" s="80"/>
      <c r="P14" s="1"/>
      <c r="Q14" s="1"/>
      <c r="R14" s="80">
        <v>15000</v>
      </c>
      <c r="S14" s="1"/>
      <c r="T14" s="1"/>
      <c r="U14" s="1"/>
      <c r="V14" s="1"/>
      <c r="W14" s="1"/>
      <c r="X14" s="1"/>
    </row>
    <row r="15" spans="1:24" ht="42.75">
      <c r="A15" s="1" t="s">
        <v>239</v>
      </c>
      <c r="B15" s="1" t="s">
        <v>240</v>
      </c>
      <c r="C15" s="1" t="s">
        <v>3922</v>
      </c>
      <c r="D15" s="5">
        <v>46143</v>
      </c>
      <c r="E15" s="5">
        <v>46143</v>
      </c>
      <c r="F15" s="120" t="s">
        <v>3923</v>
      </c>
      <c r="G15" s="80"/>
      <c r="H15" s="80">
        <v>1350</v>
      </c>
      <c r="I15" s="1" t="s">
        <v>3924</v>
      </c>
      <c r="J15" s="163"/>
      <c r="K15" s="80"/>
      <c r="L15" s="80"/>
      <c r="M15" s="1"/>
      <c r="N15" s="1"/>
      <c r="O15" s="1"/>
      <c r="P15" s="1"/>
      <c r="Q15" s="1"/>
      <c r="R15" s="80"/>
      <c r="S15" s="1"/>
      <c r="T15" s="1"/>
      <c r="U15" s="1"/>
      <c r="V15" s="1"/>
      <c r="W15" s="80">
        <v>1350</v>
      </c>
      <c r="X15" s="1"/>
    </row>
    <row r="16" spans="1:24" ht="42.75">
      <c r="A16" s="1" t="s">
        <v>239</v>
      </c>
      <c r="B16" s="1" t="s">
        <v>240</v>
      </c>
      <c r="C16" s="1" t="s">
        <v>3922</v>
      </c>
      <c r="D16" s="5">
        <v>46143</v>
      </c>
      <c r="E16" s="5">
        <v>46143</v>
      </c>
      <c r="F16" s="120" t="s">
        <v>3925</v>
      </c>
      <c r="G16" s="80"/>
      <c r="H16" s="80">
        <v>190000</v>
      </c>
      <c r="I16" s="1" t="s">
        <v>3926</v>
      </c>
      <c r="J16" s="163"/>
      <c r="K16" s="80"/>
      <c r="L16" s="80"/>
      <c r="M16" s="1"/>
      <c r="N16" s="1"/>
      <c r="O16" s="1"/>
      <c r="P16" s="1"/>
      <c r="Q16" s="1"/>
      <c r="R16" s="80"/>
      <c r="S16" s="1"/>
      <c r="T16" s="1"/>
      <c r="U16" s="1"/>
      <c r="V16" s="1"/>
      <c r="W16" s="80">
        <v>190000</v>
      </c>
      <c r="X16" s="1"/>
    </row>
    <row r="17" spans="1:24" ht="42.75">
      <c r="A17" s="1" t="s">
        <v>239</v>
      </c>
      <c r="B17" s="1" t="s">
        <v>240</v>
      </c>
      <c r="C17" s="1" t="s">
        <v>3927</v>
      </c>
      <c r="D17" s="5">
        <v>46143</v>
      </c>
      <c r="E17" s="5">
        <v>46143</v>
      </c>
      <c r="F17" s="120" t="s">
        <v>3928</v>
      </c>
      <c r="G17" s="80"/>
      <c r="H17" s="80">
        <v>100</v>
      </c>
      <c r="I17" s="1" t="s">
        <v>3929</v>
      </c>
      <c r="J17" s="163"/>
      <c r="K17" s="80"/>
      <c r="L17" s="80"/>
      <c r="M17" s="1"/>
      <c r="N17" s="1"/>
      <c r="O17" s="1"/>
      <c r="P17" s="1"/>
      <c r="Q17" s="1"/>
      <c r="R17" s="80">
        <v>100</v>
      </c>
      <c r="S17" s="1"/>
      <c r="T17" s="1"/>
      <c r="U17" s="1"/>
      <c r="V17" s="1"/>
      <c r="W17" s="1"/>
      <c r="X17" s="1"/>
    </row>
    <row r="18" spans="1:24" ht="42.75">
      <c r="A18" s="1" t="s">
        <v>239</v>
      </c>
      <c r="B18" s="1" t="s">
        <v>240</v>
      </c>
      <c r="C18" s="1" t="s">
        <v>3927</v>
      </c>
      <c r="D18" s="5">
        <v>46143</v>
      </c>
      <c r="E18" s="5">
        <v>46143</v>
      </c>
      <c r="F18" s="120" t="s">
        <v>3930</v>
      </c>
      <c r="G18" s="80"/>
      <c r="H18" s="80">
        <v>10000</v>
      </c>
      <c r="I18" s="1" t="s">
        <v>3931</v>
      </c>
      <c r="J18" s="163"/>
      <c r="K18" s="80"/>
      <c r="L18" s="80"/>
      <c r="M18" s="1"/>
      <c r="N18" s="1"/>
      <c r="O18" s="1"/>
      <c r="P18" s="1"/>
      <c r="Q18" s="1"/>
      <c r="R18" s="80">
        <v>10000</v>
      </c>
      <c r="S18" s="1"/>
      <c r="T18" s="80"/>
      <c r="U18" s="80"/>
      <c r="V18" s="80"/>
      <c r="W18" s="1"/>
      <c r="X18" s="1"/>
    </row>
    <row r="19" spans="1:24" ht="42.75">
      <c r="A19" s="1" t="s">
        <v>239</v>
      </c>
      <c r="B19" s="1" t="s">
        <v>240</v>
      </c>
      <c r="C19" s="1" t="s">
        <v>3932</v>
      </c>
      <c r="D19" s="5">
        <v>46144</v>
      </c>
      <c r="E19" s="5">
        <v>46144</v>
      </c>
      <c r="F19" s="120" t="s">
        <v>3933</v>
      </c>
      <c r="G19" s="80"/>
      <c r="H19" s="80">
        <v>200</v>
      </c>
      <c r="I19" s="1" t="s">
        <v>3934</v>
      </c>
      <c r="J19" s="163"/>
      <c r="K19" s="1"/>
      <c r="L19" s="80"/>
      <c r="M19" s="80">
        <v>200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42.75">
      <c r="A20" s="1" t="s">
        <v>239</v>
      </c>
      <c r="B20" s="1" t="s">
        <v>240</v>
      </c>
      <c r="C20" s="1" t="s">
        <v>3932</v>
      </c>
      <c r="D20" s="5">
        <v>46144</v>
      </c>
      <c r="E20" s="5">
        <v>46144</v>
      </c>
      <c r="F20" s="120" t="s">
        <v>3935</v>
      </c>
      <c r="G20" s="80"/>
      <c r="H20" s="80">
        <v>17500</v>
      </c>
      <c r="I20" s="1" t="s">
        <v>3936</v>
      </c>
      <c r="J20" s="163"/>
      <c r="K20" s="1"/>
      <c r="L20" s="80"/>
      <c r="M20" s="80">
        <v>17500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42.75">
      <c r="A21" s="1" t="s">
        <v>239</v>
      </c>
      <c r="B21" s="1" t="s">
        <v>240</v>
      </c>
      <c r="C21" s="1" t="s">
        <v>3937</v>
      </c>
      <c r="D21" s="5">
        <v>46144</v>
      </c>
      <c r="E21" s="5">
        <v>46144</v>
      </c>
      <c r="F21" s="120" t="s">
        <v>4207</v>
      </c>
      <c r="G21" s="80">
        <v>330000</v>
      </c>
      <c r="H21" s="80"/>
      <c r="I21" s="1" t="s">
        <v>3938</v>
      </c>
      <c r="J21" s="163">
        <v>330000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8.5">
      <c r="A22" s="1" t="s">
        <v>239</v>
      </c>
      <c r="B22" s="1" t="s">
        <v>240</v>
      </c>
      <c r="C22" s="1" t="s">
        <v>3939</v>
      </c>
      <c r="D22" s="5">
        <v>46144</v>
      </c>
      <c r="E22" s="5">
        <v>46144</v>
      </c>
      <c r="F22" s="120" t="s">
        <v>4206</v>
      </c>
      <c r="G22" s="80">
        <v>660000</v>
      </c>
      <c r="H22" s="80"/>
      <c r="I22" s="1" t="s">
        <v>3940</v>
      </c>
      <c r="J22" s="163">
        <v>660000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2.75">
      <c r="A23" s="1" t="s">
        <v>239</v>
      </c>
      <c r="B23" s="1" t="s">
        <v>240</v>
      </c>
      <c r="C23" s="1" t="s">
        <v>3941</v>
      </c>
      <c r="D23" s="5">
        <v>46144</v>
      </c>
      <c r="E23" s="5">
        <v>46144</v>
      </c>
      <c r="F23" s="120" t="s">
        <v>3942</v>
      </c>
      <c r="G23" s="80"/>
      <c r="H23" s="80">
        <v>65000</v>
      </c>
      <c r="I23" s="1" t="s">
        <v>3943</v>
      </c>
      <c r="J23" s="16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>
        <v>65000</v>
      </c>
    </row>
    <row r="24" spans="1:24" ht="42.75">
      <c r="A24" s="1" t="s">
        <v>239</v>
      </c>
      <c r="B24" s="1" t="s">
        <v>240</v>
      </c>
      <c r="C24" s="1" t="s">
        <v>3944</v>
      </c>
      <c r="D24" s="5">
        <v>46145</v>
      </c>
      <c r="E24" s="5">
        <v>46145</v>
      </c>
      <c r="F24" s="120" t="s">
        <v>4205</v>
      </c>
      <c r="G24" s="80">
        <v>1000000</v>
      </c>
      <c r="H24" s="80"/>
      <c r="I24" s="1" t="s">
        <v>3945</v>
      </c>
      <c r="J24" s="163">
        <v>1000000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42.75">
      <c r="A25" s="1" t="s">
        <v>239</v>
      </c>
      <c r="B25" s="1" t="s">
        <v>240</v>
      </c>
      <c r="C25" s="1" t="s">
        <v>3946</v>
      </c>
      <c r="D25" s="5">
        <v>46145</v>
      </c>
      <c r="E25" s="5">
        <v>46145</v>
      </c>
      <c r="F25" s="120" t="s">
        <v>3947</v>
      </c>
      <c r="G25" s="80"/>
      <c r="H25" s="80">
        <v>200</v>
      </c>
      <c r="I25" s="1" t="s">
        <v>3948</v>
      </c>
      <c r="J25" s="16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80">
        <v>200</v>
      </c>
    </row>
    <row r="26" spans="1:24" ht="42.75">
      <c r="A26" s="1" t="s">
        <v>239</v>
      </c>
      <c r="B26" s="1" t="s">
        <v>240</v>
      </c>
      <c r="C26" s="1" t="s">
        <v>3946</v>
      </c>
      <c r="D26" s="5">
        <v>46145</v>
      </c>
      <c r="E26" s="5">
        <v>46145</v>
      </c>
      <c r="F26" s="120" t="s">
        <v>3949</v>
      </c>
      <c r="G26" s="80"/>
      <c r="H26" s="80">
        <v>64000</v>
      </c>
      <c r="I26" s="1" t="s">
        <v>3950</v>
      </c>
      <c r="J26" s="16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80">
        <v>64000</v>
      </c>
    </row>
    <row r="27" spans="1:24" ht="42.75">
      <c r="A27" s="1" t="s">
        <v>239</v>
      </c>
      <c r="B27" s="1" t="s">
        <v>240</v>
      </c>
      <c r="C27" s="1" t="s">
        <v>3951</v>
      </c>
      <c r="D27" s="5">
        <v>46145</v>
      </c>
      <c r="E27" s="5">
        <v>46145</v>
      </c>
      <c r="F27" s="120" t="s">
        <v>3952</v>
      </c>
      <c r="G27" s="80"/>
      <c r="H27" s="80">
        <v>200</v>
      </c>
      <c r="I27" s="1" t="s">
        <v>3953</v>
      </c>
      <c r="J27" s="163"/>
      <c r="K27" s="1"/>
      <c r="L27" s="1"/>
      <c r="M27" s="1"/>
      <c r="N27" s="1"/>
      <c r="O27" s="1"/>
      <c r="P27" s="1"/>
      <c r="Q27" s="1"/>
      <c r="R27" s="1"/>
      <c r="S27" s="80">
        <v>200</v>
      </c>
      <c r="T27" s="1"/>
      <c r="U27" s="1"/>
      <c r="V27" s="1"/>
      <c r="W27" s="1"/>
      <c r="X27" s="1"/>
    </row>
    <row r="28" spans="1:24" ht="42.75">
      <c r="A28" s="1" t="s">
        <v>239</v>
      </c>
      <c r="B28" s="1" t="s">
        <v>240</v>
      </c>
      <c r="C28" s="1" t="s">
        <v>3951</v>
      </c>
      <c r="D28" s="5">
        <v>46145</v>
      </c>
      <c r="E28" s="5">
        <v>46145</v>
      </c>
      <c r="F28" s="120" t="s">
        <v>3954</v>
      </c>
      <c r="G28" s="80"/>
      <c r="H28" s="80">
        <v>14000</v>
      </c>
      <c r="I28" s="1" t="s">
        <v>3955</v>
      </c>
      <c r="J28" s="163"/>
      <c r="K28" s="1"/>
      <c r="L28" s="1"/>
      <c r="M28" s="1"/>
      <c r="N28" s="1"/>
      <c r="O28" s="1"/>
      <c r="P28" s="1"/>
      <c r="Q28" s="1"/>
      <c r="R28" s="1"/>
      <c r="S28" s="80">
        <v>14000</v>
      </c>
      <c r="T28" s="1"/>
      <c r="U28" s="1"/>
      <c r="V28" s="1"/>
      <c r="W28" s="1"/>
      <c r="X28" s="1"/>
    </row>
    <row r="29" spans="1:24" ht="28.5">
      <c r="A29" s="1" t="s">
        <v>239</v>
      </c>
      <c r="B29" s="1" t="s">
        <v>240</v>
      </c>
      <c r="C29" s="1" t="s">
        <v>3956</v>
      </c>
      <c r="D29" s="5">
        <v>46145</v>
      </c>
      <c r="E29" s="5">
        <v>46145</v>
      </c>
      <c r="F29" s="120" t="s">
        <v>4211</v>
      </c>
      <c r="G29" s="80">
        <v>330000</v>
      </c>
      <c r="H29" s="80"/>
      <c r="I29" s="1" t="s">
        <v>3957</v>
      </c>
      <c r="J29" s="163">
        <v>330000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2.75">
      <c r="A30" s="1" t="s">
        <v>239</v>
      </c>
      <c r="B30" s="1" t="s">
        <v>240</v>
      </c>
      <c r="C30" s="1" t="s">
        <v>3958</v>
      </c>
      <c r="D30" s="5">
        <v>46146</v>
      </c>
      <c r="E30" s="5">
        <v>46146</v>
      </c>
      <c r="F30" s="120" t="s">
        <v>3959</v>
      </c>
      <c r="G30" s="80"/>
      <c r="H30" s="80">
        <v>250</v>
      </c>
      <c r="I30" s="1" t="s">
        <v>3960</v>
      </c>
      <c r="J30" s="163"/>
      <c r="K30" s="1"/>
      <c r="L30" s="1"/>
      <c r="M30" s="1"/>
      <c r="N30" s="80">
        <v>250</v>
      </c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2.75">
      <c r="A31" s="1" t="s">
        <v>239</v>
      </c>
      <c r="B31" s="1" t="s">
        <v>240</v>
      </c>
      <c r="C31" s="1" t="s">
        <v>3958</v>
      </c>
      <c r="D31" s="5">
        <v>46146</v>
      </c>
      <c r="E31" s="5">
        <v>46146</v>
      </c>
      <c r="F31" s="120" t="s">
        <v>3961</v>
      </c>
      <c r="G31" s="80"/>
      <c r="H31" s="80">
        <v>60000</v>
      </c>
      <c r="I31" s="1" t="s">
        <v>3962</v>
      </c>
      <c r="J31" s="163"/>
      <c r="K31" s="1"/>
      <c r="L31" s="1"/>
      <c r="M31" s="1"/>
      <c r="N31" s="80">
        <v>60000</v>
      </c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8.5">
      <c r="A32" s="1" t="s">
        <v>239</v>
      </c>
      <c r="B32" s="1" t="s">
        <v>240</v>
      </c>
      <c r="C32" s="1" t="s">
        <v>3963</v>
      </c>
      <c r="D32" s="5">
        <v>46146</v>
      </c>
      <c r="E32" s="5">
        <v>46146</v>
      </c>
      <c r="F32" s="120" t="s">
        <v>4212</v>
      </c>
      <c r="G32" s="80">
        <v>350000</v>
      </c>
      <c r="H32" s="80"/>
      <c r="I32" s="1" t="s">
        <v>3964</v>
      </c>
      <c r="J32" s="163">
        <v>350000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2.75">
      <c r="A33" s="1" t="s">
        <v>239</v>
      </c>
      <c r="B33" s="1" t="s">
        <v>240</v>
      </c>
      <c r="C33" s="1" t="s">
        <v>3965</v>
      </c>
      <c r="D33" s="5">
        <v>46147</v>
      </c>
      <c r="E33" s="5">
        <v>46147</v>
      </c>
      <c r="F33" s="120" t="s">
        <v>3966</v>
      </c>
      <c r="G33" s="80"/>
      <c r="H33" s="80">
        <v>100</v>
      </c>
      <c r="I33" s="1" t="s">
        <v>3967</v>
      </c>
      <c r="J33" s="163"/>
      <c r="K33" s="1"/>
      <c r="L33" s="1"/>
      <c r="M33" s="1"/>
      <c r="N33" s="80">
        <v>100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2.75">
      <c r="A34" s="1" t="s">
        <v>239</v>
      </c>
      <c r="B34" s="1" t="s">
        <v>240</v>
      </c>
      <c r="C34" s="1" t="s">
        <v>3965</v>
      </c>
      <c r="D34" s="5">
        <v>46147</v>
      </c>
      <c r="E34" s="5">
        <v>46147</v>
      </c>
      <c r="F34" s="120" t="s">
        <v>3968</v>
      </c>
      <c r="G34" s="80"/>
      <c r="H34" s="80">
        <v>10000</v>
      </c>
      <c r="I34" s="1" t="s">
        <v>3969</v>
      </c>
      <c r="J34" s="163"/>
      <c r="K34" s="1"/>
      <c r="L34" s="1"/>
      <c r="M34" s="1"/>
      <c r="N34" s="80">
        <v>10000</v>
      </c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2.75">
      <c r="A35" s="1" t="s">
        <v>239</v>
      </c>
      <c r="B35" s="1" t="s">
        <v>240</v>
      </c>
      <c r="C35" s="1" t="s">
        <v>3970</v>
      </c>
      <c r="D35" s="5">
        <v>46147</v>
      </c>
      <c r="E35" s="5">
        <v>46147</v>
      </c>
      <c r="F35" s="120" t="s">
        <v>2320</v>
      </c>
      <c r="G35" s="80">
        <v>330000</v>
      </c>
      <c r="H35" s="80"/>
      <c r="I35" s="1" t="s">
        <v>3971</v>
      </c>
      <c r="J35" s="163">
        <v>330000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2.75">
      <c r="A36" s="1" t="s">
        <v>239</v>
      </c>
      <c r="B36" s="1" t="s">
        <v>240</v>
      </c>
      <c r="C36" s="1" t="s">
        <v>3972</v>
      </c>
      <c r="D36" s="5">
        <v>46147</v>
      </c>
      <c r="E36" s="5">
        <v>46147</v>
      </c>
      <c r="F36" s="120" t="s">
        <v>4213</v>
      </c>
      <c r="G36" s="80">
        <v>250000</v>
      </c>
      <c r="H36" s="80"/>
      <c r="I36" s="1" t="s">
        <v>3973</v>
      </c>
      <c r="J36" s="163">
        <v>250000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2.75">
      <c r="A37" s="1" t="s">
        <v>239</v>
      </c>
      <c r="B37" s="1" t="s">
        <v>240</v>
      </c>
      <c r="C37" s="1" t="s">
        <v>3974</v>
      </c>
      <c r="D37" s="5">
        <v>46147</v>
      </c>
      <c r="E37" s="5">
        <v>46147</v>
      </c>
      <c r="F37" s="120" t="s">
        <v>4214</v>
      </c>
      <c r="G37" s="80">
        <v>330000</v>
      </c>
      <c r="H37" s="80"/>
      <c r="I37" s="1" t="s">
        <v>3975</v>
      </c>
      <c r="J37" s="163">
        <v>330000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2.75">
      <c r="A38" s="1" t="s">
        <v>239</v>
      </c>
      <c r="B38" s="1" t="s">
        <v>240</v>
      </c>
      <c r="C38" s="1" t="s">
        <v>3976</v>
      </c>
      <c r="D38" s="5">
        <v>46147</v>
      </c>
      <c r="E38" s="5">
        <v>46147</v>
      </c>
      <c r="F38" s="120" t="s">
        <v>4204</v>
      </c>
      <c r="G38" s="80">
        <v>800000</v>
      </c>
      <c r="H38" s="80"/>
      <c r="I38" s="1" t="s">
        <v>3977</v>
      </c>
      <c r="J38" s="163">
        <v>800000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2.75">
      <c r="A39" s="1" t="s">
        <v>239</v>
      </c>
      <c r="B39" s="1" t="s">
        <v>240</v>
      </c>
      <c r="C39" s="1" t="s">
        <v>3978</v>
      </c>
      <c r="D39" s="5">
        <v>46148</v>
      </c>
      <c r="E39" s="5">
        <v>46148</v>
      </c>
      <c r="F39" s="120" t="s">
        <v>4215</v>
      </c>
      <c r="G39" s="80">
        <v>320000</v>
      </c>
      <c r="H39" s="80"/>
      <c r="I39" s="1" t="s">
        <v>3979</v>
      </c>
      <c r="J39" s="163">
        <v>320000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57">
      <c r="A40" s="1" t="s">
        <v>239</v>
      </c>
      <c r="B40" s="1" t="s">
        <v>240</v>
      </c>
      <c r="C40" s="1" t="s">
        <v>3980</v>
      </c>
      <c r="D40" s="5">
        <v>46148</v>
      </c>
      <c r="E40" s="5">
        <v>46148</v>
      </c>
      <c r="F40" s="120" t="s">
        <v>3981</v>
      </c>
      <c r="G40" s="80"/>
      <c r="H40" s="80">
        <v>80000</v>
      </c>
      <c r="I40" s="1" t="s">
        <v>3982</v>
      </c>
      <c r="J40" s="163"/>
      <c r="K40" s="1"/>
      <c r="L40" s="80"/>
      <c r="M40" s="1"/>
      <c r="N40" s="1"/>
      <c r="O40" s="1"/>
      <c r="P40" s="1"/>
      <c r="Q40" s="1"/>
      <c r="R40" s="1">
        <v>80000</v>
      </c>
      <c r="S40" s="1"/>
      <c r="T40" s="1"/>
      <c r="U40" s="1"/>
      <c r="V40" s="1"/>
      <c r="W40" s="1"/>
      <c r="X40" s="1"/>
    </row>
    <row r="41" spans="1:24" ht="28.5">
      <c r="A41" s="1" t="s">
        <v>2518</v>
      </c>
      <c r="B41" s="1" t="s">
        <v>240</v>
      </c>
      <c r="C41" s="1" t="s">
        <v>3983</v>
      </c>
      <c r="D41" s="5">
        <v>46148</v>
      </c>
      <c r="E41" s="5">
        <v>46148</v>
      </c>
      <c r="F41" s="120" t="s">
        <v>4216</v>
      </c>
      <c r="G41" s="80">
        <v>370000</v>
      </c>
      <c r="H41" s="80"/>
      <c r="I41" s="1" t="s">
        <v>3984</v>
      </c>
      <c r="J41" s="163">
        <v>370000</v>
      </c>
      <c r="K41" s="1"/>
      <c r="L41" s="8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2.75">
      <c r="A42" s="1" t="s">
        <v>239</v>
      </c>
      <c r="B42" s="1" t="s">
        <v>240</v>
      </c>
      <c r="C42" s="1" t="s">
        <v>3985</v>
      </c>
      <c r="D42" s="5">
        <v>46148</v>
      </c>
      <c r="E42" s="5">
        <v>46148</v>
      </c>
      <c r="F42" s="120" t="s">
        <v>4217</v>
      </c>
      <c r="G42" s="80">
        <v>400000</v>
      </c>
      <c r="H42" s="80"/>
      <c r="I42" s="1" t="s">
        <v>3986</v>
      </c>
      <c r="J42" s="163">
        <v>400000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2.75">
      <c r="A43" s="1" t="s">
        <v>239</v>
      </c>
      <c r="B43" s="1" t="s">
        <v>240</v>
      </c>
      <c r="C43" s="1" t="s">
        <v>3987</v>
      </c>
      <c r="D43" s="5">
        <v>46149</v>
      </c>
      <c r="E43" s="5">
        <v>46149</v>
      </c>
      <c r="F43" s="120" t="s">
        <v>3988</v>
      </c>
      <c r="G43" s="80"/>
      <c r="H43" s="80">
        <v>200</v>
      </c>
      <c r="I43" s="1" t="s">
        <v>3989</v>
      </c>
      <c r="J43" s="163"/>
      <c r="K43" s="1"/>
      <c r="L43" s="1"/>
      <c r="M43" s="1"/>
      <c r="N43" s="1"/>
      <c r="O43" s="1"/>
      <c r="P43" s="1"/>
      <c r="Q43" s="80">
        <v>200</v>
      </c>
      <c r="R43" s="1"/>
      <c r="S43" s="1"/>
      <c r="T43" s="1"/>
      <c r="U43" s="1"/>
      <c r="V43" s="1"/>
      <c r="W43" s="1"/>
      <c r="X43" s="1"/>
    </row>
    <row r="44" spans="1:24" ht="57">
      <c r="A44" s="1" t="s">
        <v>239</v>
      </c>
      <c r="B44" s="1" t="s">
        <v>240</v>
      </c>
      <c r="C44" s="1" t="s">
        <v>3987</v>
      </c>
      <c r="D44" s="5">
        <v>46149</v>
      </c>
      <c r="E44" s="5">
        <v>46149</v>
      </c>
      <c r="F44" s="120" t="s">
        <v>3990</v>
      </c>
      <c r="G44" s="80"/>
      <c r="H44" s="80">
        <v>97300</v>
      </c>
      <c r="I44" s="1" t="s">
        <v>3991</v>
      </c>
      <c r="J44" s="163"/>
      <c r="K44" s="1"/>
      <c r="L44" s="1"/>
      <c r="M44" s="1"/>
      <c r="N44" s="1"/>
      <c r="O44" s="1"/>
      <c r="P44" s="1"/>
      <c r="Q44" s="80">
        <v>97300</v>
      </c>
      <c r="R44" s="1"/>
      <c r="S44" s="1"/>
      <c r="T44" s="1"/>
      <c r="U44" s="1"/>
      <c r="V44" s="1"/>
      <c r="W44" s="1"/>
      <c r="X44" s="1"/>
    </row>
    <row r="45" spans="1:24" ht="57">
      <c r="A45" s="1" t="s">
        <v>239</v>
      </c>
      <c r="B45" s="1" t="s">
        <v>240</v>
      </c>
      <c r="C45" s="1" t="s">
        <v>3992</v>
      </c>
      <c r="D45" s="5">
        <v>46149</v>
      </c>
      <c r="E45" s="5">
        <v>46149</v>
      </c>
      <c r="F45" s="120" t="s">
        <v>3993</v>
      </c>
      <c r="G45" s="80"/>
      <c r="H45" s="80">
        <v>100</v>
      </c>
      <c r="I45" s="1" t="s">
        <v>3994</v>
      </c>
      <c r="J45" s="163"/>
      <c r="K45" s="1"/>
      <c r="L45" s="1"/>
      <c r="M45" s="1"/>
      <c r="N45" s="1"/>
      <c r="O45" s="1"/>
      <c r="P45" s="1"/>
      <c r="Q45" s="1"/>
      <c r="R45" s="80">
        <v>100</v>
      </c>
      <c r="S45" s="1"/>
      <c r="T45" s="1"/>
      <c r="U45" s="1"/>
      <c r="V45" s="1"/>
      <c r="W45" s="1"/>
      <c r="X45" s="1"/>
    </row>
    <row r="46" spans="1:24" ht="57">
      <c r="A46" s="1" t="s">
        <v>239</v>
      </c>
      <c r="B46" s="1" t="s">
        <v>240</v>
      </c>
      <c r="C46" s="1" t="s">
        <v>3992</v>
      </c>
      <c r="D46" s="5">
        <v>46149</v>
      </c>
      <c r="E46" s="5">
        <v>46149</v>
      </c>
      <c r="F46" s="120" t="s">
        <v>3995</v>
      </c>
      <c r="G46" s="80"/>
      <c r="H46" s="80">
        <v>200000</v>
      </c>
      <c r="I46" s="1" t="s">
        <v>3996</v>
      </c>
      <c r="J46" s="163"/>
      <c r="K46" s="1"/>
      <c r="L46" s="1"/>
      <c r="M46" s="1"/>
      <c r="N46" s="1"/>
      <c r="O46" s="1"/>
      <c r="P46" s="1"/>
      <c r="Q46" s="1"/>
      <c r="R46" s="80">
        <v>200000</v>
      </c>
      <c r="S46" s="1"/>
      <c r="T46" s="1"/>
      <c r="U46" s="1"/>
      <c r="V46" s="1"/>
      <c r="W46" s="1"/>
      <c r="X46" s="1"/>
    </row>
    <row r="47" spans="1:24" ht="28.5">
      <c r="A47" s="1" t="s">
        <v>239</v>
      </c>
      <c r="B47" s="1" t="s">
        <v>240</v>
      </c>
      <c r="C47" s="1" t="s">
        <v>3997</v>
      </c>
      <c r="D47" s="5">
        <v>46149</v>
      </c>
      <c r="E47" s="5">
        <v>46149</v>
      </c>
      <c r="F47" s="120" t="s">
        <v>4223</v>
      </c>
      <c r="G47" s="80"/>
      <c r="H47" s="80">
        <v>100</v>
      </c>
      <c r="I47" s="1" t="s">
        <v>3998</v>
      </c>
      <c r="J47" s="163"/>
      <c r="K47" s="1"/>
      <c r="L47" s="1"/>
      <c r="M47" s="1"/>
      <c r="N47" s="1"/>
      <c r="O47" s="1"/>
      <c r="P47" s="1"/>
      <c r="Q47" s="1"/>
      <c r="R47" s="1"/>
      <c r="S47" s="80">
        <v>100</v>
      </c>
      <c r="T47" s="1"/>
      <c r="U47" s="1"/>
      <c r="V47" s="1"/>
      <c r="W47" s="1"/>
      <c r="X47" s="1"/>
    </row>
    <row r="48" spans="1:24" ht="28.5">
      <c r="A48" s="1" t="s">
        <v>239</v>
      </c>
      <c r="B48" s="1" t="s">
        <v>240</v>
      </c>
      <c r="C48" s="1" t="s">
        <v>3997</v>
      </c>
      <c r="D48" s="5">
        <v>46149</v>
      </c>
      <c r="E48" s="5">
        <v>46149</v>
      </c>
      <c r="F48" s="120" t="s">
        <v>4224</v>
      </c>
      <c r="G48" s="80"/>
      <c r="H48" s="80">
        <v>44984</v>
      </c>
      <c r="I48" s="1" t="s">
        <v>3999</v>
      </c>
      <c r="J48" s="163"/>
      <c r="K48" s="1"/>
      <c r="L48" s="1"/>
      <c r="M48" s="1"/>
      <c r="N48" s="1"/>
      <c r="O48" s="1"/>
      <c r="P48" s="1"/>
      <c r="Q48" s="1"/>
      <c r="R48" s="1"/>
      <c r="S48" s="80">
        <v>44984</v>
      </c>
      <c r="T48" s="1"/>
      <c r="U48" s="1"/>
      <c r="V48" s="1"/>
      <c r="W48" s="1"/>
      <c r="X48" s="1"/>
    </row>
    <row r="49" spans="1:26" ht="42.75">
      <c r="A49" s="1" t="s">
        <v>239</v>
      </c>
      <c r="B49" s="1" t="s">
        <v>240</v>
      </c>
      <c r="C49" s="1" t="s">
        <v>4000</v>
      </c>
      <c r="D49" s="5">
        <v>46149</v>
      </c>
      <c r="E49" s="5">
        <v>46149</v>
      </c>
      <c r="F49" s="120" t="s">
        <v>4201</v>
      </c>
      <c r="G49" s="80">
        <v>50000</v>
      </c>
      <c r="H49" s="80"/>
      <c r="I49" s="1" t="s">
        <v>4001</v>
      </c>
      <c r="J49" s="163">
        <v>50000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6" ht="42.75">
      <c r="A50" s="1" t="s">
        <v>540</v>
      </c>
      <c r="B50" s="1" t="s">
        <v>240</v>
      </c>
      <c r="C50" s="1" t="s">
        <v>4002</v>
      </c>
      <c r="D50" s="5">
        <v>46150</v>
      </c>
      <c r="E50" s="5">
        <v>46150</v>
      </c>
      <c r="F50" s="120" t="s">
        <v>1611</v>
      </c>
      <c r="G50" s="80">
        <v>330000</v>
      </c>
      <c r="H50" s="80"/>
      <c r="I50" s="1" t="s">
        <v>4003</v>
      </c>
      <c r="J50" s="163">
        <v>330000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6" ht="42.75">
      <c r="A51" s="1" t="s">
        <v>239</v>
      </c>
      <c r="B51" s="1" t="s">
        <v>240</v>
      </c>
      <c r="C51" s="1" t="s">
        <v>4004</v>
      </c>
      <c r="D51" s="5">
        <v>46150</v>
      </c>
      <c r="E51" s="5">
        <v>46150</v>
      </c>
      <c r="F51" s="120" t="s">
        <v>4005</v>
      </c>
      <c r="G51" s="80"/>
      <c r="H51" s="80">
        <v>200</v>
      </c>
      <c r="I51" s="1" t="s">
        <v>4006</v>
      </c>
      <c r="J51" s="163"/>
      <c r="K51" s="1"/>
      <c r="L51" s="1"/>
      <c r="M51" s="1"/>
      <c r="N51" s="1"/>
      <c r="O51" s="1"/>
      <c r="P51" s="1"/>
      <c r="Q51" s="80">
        <v>200</v>
      </c>
      <c r="R51" s="1"/>
      <c r="S51" s="1"/>
      <c r="T51" s="1"/>
      <c r="U51" s="1"/>
      <c r="V51" s="1"/>
      <c r="W51" s="1"/>
      <c r="X51" s="1"/>
    </row>
    <row r="52" spans="1:26" ht="42.75">
      <c r="A52" s="1" t="s">
        <v>239</v>
      </c>
      <c r="B52" s="1" t="s">
        <v>240</v>
      </c>
      <c r="C52" s="1" t="s">
        <v>4004</v>
      </c>
      <c r="D52" s="5">
        <v>46150</v>
      </c>
      <c r="E52" s="5">
        <v>46150</v>
      </c>
      <c r="F52" s="120" t="s">
        <v>4007</v>
      </c>
      <c r="G52" s="80"/>
      <c r="H52" s="80">
        <v>48350</v>
      </c>
      <c r="I52" s="1" t="s">
        <v>4008</v>
      </c>
      <c r="J52" s="163"/>
      <c r="K52" s="1"/>
      <c r="L52" s="1"/>
      <c r="M52" s="1"/>
      <c r="N52" s="1"/>
      <c r="O52" s="1"/>
      <c r="P52" s="1"/>
      <c r="Q52" s="80">
        <v>48350</v>
      </c>
      <c r="R52" s="1"/>
      <c r="S52" s="1"/>
      <c r="T52" s="1"/>
      <c r="U52" s="1"/>
      <c r="V52" s="1"/>
      <c r="W52" s="1"/>
      <c r="X52" s="1"/>
    </row>
    <row r="53" spans="1:26" ht="42.75">
      <c r="A53" s="1" t="s">
        <v>239</v>
      </c>
      <c r="B53" s="1" t="s">
        <v>240</v>
      </c>
      <c r="C53" s="1" t="s">
        <v>4009</v>
      </c>
      <c r="D53" s="5">
        <v>46151</v>
      </c>
      <c r="E53" s="5">
        <v>46151</v>
      </c>
      <c r="F53" s="120" t="s">
        <v>4010</v>
      </c>
      <c r="G53" s="80"/>
      <c r="H53" s="80">
        <v>200</v>
      </c>
      <c r="I53" s="1" t="s">
        <v>4011</v>
      </c>
      <c r="J53" s="163"/>
      <c r="K53" s="1"/>
      <c r="L53" s="1"/>
      <c r="M53" s="1"/>
      <c r="N53" s="1"/>
      <c r="O53" s="1"/>
      <c r="P53" s="80">
        <v>200</v>
      </c>
      <c r="Q53" s="1"/>
      <c r="R53" s="1"/>
      <c r="S53" s="1"/>
      <c r="T53" s="1"/>
      <c r="U53" s="1"/>
      <c r="V53" s="1"/>
      <c r="W53" s="1"/>
      <c r="X53" s="1"/>
    </row>
    <row r="54" spans="1:26" ht="42.75">
      <c r="A54" s="1" t="s">
        <v>239</v>
      </c>
      <c r="B54" s="1" t="s">
        <v>240</v>
      </c>
      <c r="C54" s="1" t="s">
        <v>4009</v>
      </c>
      <c r="D54" s="5">
        <v>46151</v>
      </c>
      <c r="E54" s="5">
        <v>46151</v>
      </c>
      <c r="F54" s="120" t="s">
        <v>4012</v>
      </c>
      <c r="G54" s="80"/>
      <c r="H54" s="80">
        <v>25000</v>
      </c>
      <c r="I54" s="1" t="s">
        <v>4013</v>
      </c>
      <c r="J54" s="163"/>
      <c r="K54" s="1"/>
      <c r="L54" s="1"/>
      <c r="M54" s="1"/>
      <c r="N54" s="1"/>
      <c r="O54" s="1"/>
      <c r="P54" s="80">
        <v>25000</v>
      </c>
      <c r="Q54" s="1"/>
      <c r="R54" s="1"/>
      <c r="S54" s="1"/>
      <c r="T54" s="1"/>
      <c r="U54" s="1"/>
      <c r="V54" s="1"/>
      <c r="W54" s="1"/>
      <c r="X54" s="1"/>
    </row>
    <row r="55" spans="1:26" ht="57">
      <c r="A55" s="1" t="s">
        <v>239</v>
      </c>
      <c r="B55" s="1" t="s">
        <v>240</v>
      </c>
      <c r="C55" s="1" t="s">
        <v>4014</v>
      </c>
      <c r="D55" s="5">
        <v>46151</v>
      </c>
      <c r="E55" s="5">
        <v>46151</v>
      </c>
      <c r="F55" s="120" t="s">
        <v>4202</v>
      </c>
      <c r="G55" s="80">
        <v>500000</v>
      </c>
      <c r="H55" s="80"/>
      <c r="I55" s="1" t="s">
        <v>4015</v>
      </c>
      <c r="J55" s="163">
        <v>500000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6" ht="42.75">
      <c r="A56" s="1" t="s">
        <v>239</v>
      </c>
      <c r="B56" s="1" t="s">
        <v>240</v>
      </c>
      <c r="C56" s="1" t="s">
        <v>4016</v>
      </c>
      <c r="D56" s="5">
        <v>46151</v>
      </c>
      <c r="E56" s="5">
        <v>46151</v>
      </c>
      <c r="F56" s="120" t="s">
        <v>4203</v>
      </c>
      <c r="G56" s="80">
        <v>160000</v>
      </c>
      <c r="H56" s="80"/>
      <c r="I56" s="1" t="s">
        <v>4017</v>
      </c>
      <c r="J56" s="163">
        <v>160000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6" ht="42.75">
      <c r="A57" s="1" t="s">
        <v>239</v>
      </c>
      <c r="B57" s="1" t="s">
        <v>240</v>
      </c>
      <c r="C57" s="1" t="s">
        <v>4018</v>
      </c>
      <c r="D57" s="5">
        <v>46151</v>
      </c>
      <c r="E57" s="5">
        <v>46151</v>
      </c>
      <c r="F57" s="120" t="s">
        <v>4019</v>
      </c>
      <c r="G57" s="80"/>
      <c r="H57" s="80">
        <v>200</v>
      </c>
      <c r="I57" s="1" t="s">
        <v>4020</v>
      </c>
      <c r="J57" s="163"/>
      <c r="K57" s="1"/>
      <c r="L57" s="1"/>
      <c r="M57" s="1"/>
      <c r="N57" s="80">
        <v>200</v>
      </c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6" ht="57">
      <c r="A58" s="1" t="s">
        <v>239</v>
      </c>
      <c r="B58" s="1" t="s">
        <v>240</v>
      </c>
      <c r="C58" s="1" t="s">
        <v>4018</v>
      </c>
      <c r="D58" s="5">
        <v>46151</v>
      </c>
      <c r="E58" s="5">
        <v>46151</v>
      </c>
      <c r="F58" s="120" t="s">
        <v>4021</v>
      </c>
      <c r="G58" s="80"/>
      <c r="H58" s="80">
        <v>40000</v>
      </c>
      <c r="I58" s="1" t="s">
        <v>4022</v>
      </c>
      <c r="J58" s="163"/>
      <c r="K58" s="1"/>
      <c r="L58" s="1"/>
      <c r="M58" s="1"/>
      <c r="N58" s="80">
        <v>40000</v>
      </c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6" ht="42.75">
      <c r="A59" s="1" t="s">
        <v>239</v>
      </c>
      <c r="B59" s="1" t="s">
        <v>240</v>
      </c>
      <c r="C59" s="1" t="s">
        <v>4023</v>
      </c>
      <c r="D59" s="5">
        <v>46151</v>
      </c>
      <c r="E59" s="167">
        <v>46151</v>
      </c>
      <c r="F59" s="123" t="s">
        <v>4218</v>
      </c>
      <c r="G59" s="118">
        <v>175000</v>
      </c>
      <c r="H59" s="118"/>
      <c r="I59" s="48" t="s">
        <v>4024</v>
      </c>
      <c r="J59" s="168">
        <v>175000</v>
      </c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r="60" spans="1:26">
      <c r="E60" s="1"/>
      <c r="F60" s="120" t="s">
        <v>51</v>
      </c>
      <c r="G60" s="80">
        <f>SUM(G2:G59)</f>
        <v>7755000</v>
      </c>
      <c r="H60" s="80">
        <f>SUM(H2:H59)</f>
        <v>1769584</v>
      </c>
      <c r="I60" s="1"/>
      <c r="J60" s="80">
        <f>SUM(J2:J59)</f>
        <v>7755000</v>
      </c>
      <c r="K60" s="80">
        <f t="shared" ref="K60:X60" si="0">SUM(K2:K59)</f>
        <v>0</v>
      </c>
      <c r="L60" s="80">
        <f t="shared" si="0"/>
        <v>0</v>
      </c>
      <c r="M60" s="80">
        <f t="shared" si="0"/>
        <v>17700</v>
      </c>
      <c r="N60" s="80">
        <f t="shared" si="0"/>
        <v>280850</v>
      </c>
      <c r="O60" s="80">
        <f t="shared" si="0"/>
        <v>487350</v>
      </c>
      <c r="P60" s="80">
        <f t="shared" si="0"/>
        <v>25200</v>
      </c>
      <c r="Q60" s="80">
        <f t="shared" si="0"/>
        <v>146050</v>
      </c>
      <c r="R60" s="80">
        <f t="shared" si="0"/>
        <v>362600</v>
      </c>
      <c r="S60" s="80">
        <f t="shared" si="0"/>
        <v>129284</v>
      </c>
      <c r="T60" s="80">
        <f t="shared" si="0"/>
        <v>0</v>
      </c>
      <c r="U60" s="80">
        <f t="shared" si="0"/>
        <v>0</v>
      </c>
      <c r="V60" s="80">
        <f t="shared" si="0"/>
        <v>0</v>
      </c>
      <c r="W60" s="80">
        <f t="shared" si="0"/>
        <v>191350</v>
      </c>
      <c r="X60" s="80">
        <f t="shared" si="0"/>
        <v>129200</v>
      </c>
      <c r="Y60" s="169">
        <f>SUM(M60:X60)</f>
        <v>1769584</v>
      </c>
      <c r="Z60" s="166">
        <f>+Y60-H60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opLeftCell="A137" workbookViewId="0">
      <selection activeCell="F132" sqref="F132"/>
    </sheetView>
  </sheetViews>
  <sheetFormatPr defaultRowHeight="14.25"/>
  <cols>
    <col min="4" max="4" width="15.25" customWidth="1"/>
    <col min="5" max="5" width="16.25" customWidth="1"/>
    <col min="6" max="6" width="64.75" style="122" customWidth="1"/>
    <col min="7" max="7" width="17.125" customWidth="1"/>
    <col min="8" max="8" width="18.5" customWidth="1"/>
  </cols>
  <sheetData>
    <row r="1" spans="1:9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s="122" t="s">
        <v>228</v>
      </c>
      <c r="G1" t="s">
        <v>229</v>
      </c>
      <c r="H1" t="s">
        <v>230</v>
      </c>
      <c r="I1" t="s">
        <v>231</v>
      </c>
    </row>
    <row r="2" spans="1:9" ht="28.5">
      <c r="A2" t="s">
        <v>239</v>
      </c>
      <c r="B2" t="s">
        <v>240</v>
      </c>
      <c r="C2" t="s">
        <v>3894</v>
      </c>
      <c r="D2" s="7">
        <v>46143</v>
      </c>
      <c r="E2" s="7">
        <v>46143</v>
      </c>
      <c r="F2" s="122" t="s">
        <v>3895</v>
      </c>
      <c r="H2" t="s">
        <v>254</v>
      </c>
      <c r="I2" t="s">
        <v>3896</v>
      </c>
    </row>
    <row r="3" spans="1:9" ht="28.5">
      <c r="A3" t="s">
        <v>239</v>
      </c>
      <c r="B3" t="s">
        <v>240</v>
      </c>
      <c r="C3" t="s">
        <v>3894</v>
      </c>
      <c r="D3" s="7">
        <v>46143</v>
      </c>
      <c r="E3" s="7">
        <v>46143</v>
      </c>
      <c r="F3" s="122" t="s">
        <v>3897</v>
      </c>
      <c r="H3" t="s">
        <v>533</v>
      </c>
      <c r="I3" t="s">
        <v>3898</v>
      </c>
    </row>
    <row r="4" spans="1:9" ht="28.5">
      <c r="A4" t="s">
        <v>239</v>
      </c>
      <c r="B4" t="s">
        <v>240</v>
      </c>
      <c r="C4" t="s">
        <v>3899</v>
      </c>
      <c r="D4" s="7">
        <v>46143</v>
      </c>
      <c r="E4" s="7">
        <v>46143</v>
      </c>
      <c r="F4" s="122" t="s">
        <v>3900</v>
      </c>
      <c r="H4" t="s">
        <v>261</v>
      </c>
      <c r="I4" t="s">
        <v>3901</v>
      </c>
    </row>
    <row r="5" spans="1:9" ht="28.5">
      <c r="A5" t="s">
        <v>239</v>
      </c>
      <c r="B5" t="s">
        <v>240</v>
      </c>
      <c r="C5" t="s">
        <v>3899</v>
      </c>
      <c r="D5" s="7">
        <v>46143</v>
      </c>
      <c r="E5" s="7">
        <v>46143</v>
      </c>
      <c r="F5" s="122" t="s">
        <v>3902</v>
      </c>
      <c r="H5" t="s">
        <v>3393</v>
      </c>
      <c r="I5" t="s">
        <v>3903</v>
      </c>
    </row>
    <row r="6" spans="1:9" ht="28.5">
      <c r="A6" t="s">
        <v>239</v>
      </c>
      <c r="B6" t="s">
        <v>240</v>
      </c>
      <c r="C6" t="s">
        <v>3904</v>
      </c>
      <c r="D6" s="7">
        <v>46143</v>
      </c>
      <c r="E6" s="7">
        <v>46143</v>
      </c>
      <c r="F6" s="122" t="s">
        <v>2705</v>
      </c>
      <c r="H6" t="s">
        <v>243</v>
      </c>
      <c r="I6" t="s">
        <v>3905</v>
      </c>
    </row>
    <row r="7" spans="1:9" ht="28.5">
      <c r="A7" t="s">
        <v>239</v>
      </c>
      <c r="B7" t="s">
        <v>240</v>
      </c>
      <c r="C7" t="s">
        <v>3904</v>
      </c>
      <c r="D7" s="7">
        <v>46143</v>
      </c>
      <c r="E7" s="7">
        <v>46143</v>
      </c>
      <c r="F7" s="122" t="s">
        <v>2707</v>
      </c>
      <c r="H7" t="s">
        <v>1472</v>
      </c>
      <c r="I7" t="s">
        <v>3906</v>
      </c>
    </row>
    <row r="8" spans="1:9" ht="42.75">
      <c r="A8" t="s">
        <v>239</v>
      </c>
      <c r="B8" t="s">
        <v>240</v>
      </c>
      <c r="C8" t="s">
        <v>3907</v>
      </c>
      <c r="D8" s="7">
        <v>46143</v>
      </c>
      <c r="E8" s="7">
        <v>46143</v>
      </c>
      <c r="F8" s="122" t="s">
        <v>2802</v>
      </c>
      <c r="H8" t="s">
        <v>423</v>
      </c>
      <c r="I8" t="s">
        <v>3908</v>
      </c>
    </row>
    <row r="9" spans="1:9" ht="28.5">
      <c r="A9" t="s">
        <v>239</v>
      </c>
      <c r="B9" t="s">
        <v>240</v>
      </c>
      <c r="C9" t="s">
        <v>3909</v>
      </c>
      <c r="D9" s="7">
        <v>46143</v>
      </c>
      <c r="E9" s="7">
        <v>46143</v>
      </c>
      <c r="F9" s="120" t="s">
        <v>4210</v>
      </c>
      <c r="G9" t="s">
        <v>4275</v>
      </c>
      <c r="I9" t="s">
        <v>3910</v>
      </c>
    </row>
    <row r="10" spans="1:9" ht="28.5">
      <c r="A10" t="s">
        <v>239</v>
      </c>
      <c r="B10" t="s">
        <v>240</v>
      </c>
      <c r="C10" t="s">
        <v>3911</v>
      </c>
      <c r="D10" s="7">
        <v>46143</v>
      </c>
      <c r="E10" s="7">
        <v>46143</v>
      </c>
      <c r="F10" s="122" t="s">
        <v>3912</v>
      </c>
      <c r="H10" t="s">
        <v>261</v>
      </c>
      <c r="I10" t="s">
        <v>3913</v>
      </c>
    </row>
    <row r="11" spans="1:9" ht="28.5">
      <c r="A11" t="s">
        <v>239</v>
      </c>
      <c r="B11" t="s">
        <v>240</v>
      </c>
      <c r="C11" t="s">
        <v>3911</v>
      </c>
      <c r="D11" s="7">
        <v>46143</v>
      </c>
      <c r="E11" s="7">
        <v>46143</v>
      </c>
      <c r="F11" s="122" t="s">
        <v>4276</v>
      </c>
      <c r="H11" t="s">
        <v>4277</v>
      </c>
      <c r="I11" t="s">
        <v>3914</v>
      </c>
    </row>
    <row r="12" spans="1:9" ht="28.5">
      <c r="A12" t="s">
        <v>239</v>
      </c>
      <c r="B12" t="s">
        <v>240</v>
      </c>
      <c r="C12" t="s">
        <v>3915</v>
      </c>
      <c r="D12" s="7">
        <v>46143</v>
      </c>
      <c r="E12" s="7">
        <v>46143</v>
      </c>
      <c r="F12" s="120" t="s">
        <v>4208</v>
      </c>
      <c r="G12" t="s">
        <v>1557</v>
      </c>
      <c r="I12" t="s">
        <v>3916</v>
      </c>
    </row>
    <row r="13" spans="1:9" ht="28.5">
      <c r="A13" t="s">
        <v>239</v>
      </c>
      <c r="B13" t="s">
        <v>240</v>
      </c>
      <c r="C13" t="s">
        <v>3917</v>
      </c>
      <c r="D13" s="7">
        <v>46143</v>
      </c>
      <c r="E13" s="7">
        <v>46143</v>
      </c>
      <c r="F13" s="122" t="s">
        <v>3918</v>
      </c>
      <c r="H13" t="s">
        <v>261</v>
      </c>
      <c r="I13" t="s">
        <v>3919</v>
      </c>
    </row>
    <row r="14" spans="1:9" ht="28.5">
      <c r="A14" t="s">
        <v>239</v>
      </c>
      <c r="B14" t="s">
        <v>240</v>
      </c>
      <c r="C14" t="s">
        <v>3917</v>
      </c>
      <c r="D14" s="7">
        <v>46143</v>
      </c>
      <c r="E14" s="7">
        <v>46143</v>
      </c>
      <c r="F14" s="122" t="s">
        <v>3920</v>
      </c>
      <c r="H14" t="s">
        <v>264</v>
      </c>
      <c r="I14" t="s">
        <v>3921</v>
      </c>
    </row>
    <row r="15" spans="1:9" ht="28.5">
      <c r="A15" t="s">
        <v>239</v>
      </c>
      <c r="B15" t="s">
        <v>240</v>
      </c>
      <c r="C15" t="s">
        <v>3922</v>
      </c>
      <c r="D15" s="7">
        <v>46143</v>
      </c>
      <c r="E15" s="7">
        <v>46143</v>
      </c>
      <c r="F15" s="122" t="s">
        <v>3923</v>
      </c>
      <c r="H15" t="s">
        <v>243</v>
      </c>
      <c r="I15" t="s">
        <v>3924</v>
      </c>
    </row>
    <row r="16" spans="1:9" ht="28.5">
      <c r="A16" t="s">
        <v>239</v>
      </c>
      <c r="B16" t="s">
        <v>240</v>
      </c>
      <c r="C16" t="s">
        <v>3922</v>
      </c>
      <c r="D16" s="7">
        <v>46143</v>
      </c>
      <c r="E16" s="7">
        <v>46143</v>
      </c>
      <c r="F16" s="122" t="s">
        <v>3925</v>
      </c>
      <c r="H16" t="s">
        <v>4279</v>
      </c>
      <c r="I16" t="s">
        <v>3926</v>
      </c>
    </row>
    <row r="17" spans="1:9" ht="28.5">
      <c r="A17" t="s">
        <v>239</v>
      </c>
      <c r="B17" t="s">
        <v>240</v>
      </c>
      <c r="C17" t="s">
        <v>3927</v>
      </c>
      <c r="D17" s="7">
        <v>46143</v>
      </c>
      <c r="E17" s="7">
        <v>46143</v>
      </c>
      <c r="F17" s="122" t="s">
        <v>3928</v>
      </c>
      <c r="H17" t="s">
        <v>254</v>
      </c>
      <c r="I17" t="s">
        <v>3929</v>
      </c>
    </row>
    <row r="18" spans="1:9" ht="42.75">
      <c r="A18" t="s">
        <v>239</v>
      </c>
      <c r="B18" t="s">
        <v>240</v>
      </c>
      <c r="C18" t="s">
        <v>3927</v>
      </c>
      <c r="D18" s="7">
        <v>46143</v>
      </c>
      <c r="E18" s="7">
        <v>46143</v>
      </c>
      <c r="F18" s="122" t="s">
        <v>3930</v>
      </c>
      <c r="H18" t="s">
        <v>295</v>
      </c>
      <c r="I18" t="s">
        <v>3931</v>
      </c>
    </row>
    <row r="19" spans="1:9" ht="28.5">
      <c r="A19" t="s">
        <v>239</v>
      </c>
      <c r="B19" t="s">
        <v>240</v>
      </c>
      <c r="C19" t="s">
        <v>3932</v>
      </c>
      <c r="D19" s="7">
        <v>46144</v>
      </c>
      <c r="E19" s="7">
        <v>46144</v>
      </c>
      <c r="F19" s="122" t="s">
        <v>3933</v>
      </c>
      <c r="H19" t="s">
        <v>261</v>
      </c>
      <c r="I19" t="s">
        <v>3934</v>
      </c>
    </row>
    <row r="20" spans="1:9" ht="42.75">
      <c r="A20" t="s">
        <v>239</v>
      </c>
      <c r="B20" t="s">
        <v>240</v>
      </c>
      <c r="C20" t="s">
        <v>3932</v>
      </c>
      <c r="D20" s="7">
        <v>46144</v>
      </c>
      <c r="E20" s="7">
        <v>46144</v>
      </c>
      <c r="F20" s="122" t="s">
        <v>3935</v>
      </c>
      <c r="H20" t="s">
        <v>940</v>
      </c>
      <c r="I20" t="s">
        <v>3936</v>
      </c>
    </row>
    <row r="21" spans="1:9" ht="28.5">
      <c r="A21" t="s">
        <v>239</v>
      </c>
      <c r="B21" t="s">
        <v>240</v>
      </c>
      <c r="C21" t="s">
        <v>3937</v>
      </c>
      <c r="D21" s="7">
        <v>46144</v>
      </c>
      <c r="E21" s="7">
        <v>46144</v>
      </c>
      <c r="F21" s="120" t="s">
        <v>4207</v>
      </c>
      <c r="G21" t="s">
        <v>1557</v>
      </c>
      <c r="I21" t="s">
        <v>3938</v>
      </c>
    </row>
    <row r="22" spans="1:9" ht="28.5">
      <c r="A22" t="s">
        <v>239</v>
      </c>
      <c r="B22" t="s">
        <v>240</v>
      </c>
      <c r="C22" t="s">
        <v>3939</v>
      </c>
      <c r="D22" s="7">
        <v>46144</v>
      </c>
      <c r="E22" s="7">
        <v>46144</v>
      </c>
      <c r="F22" s="122" t="s">
        <v>4281</v>
      </c>
      <c r="G22" t="s">
        <v>517</v>
      </c>
      <c r="I22" t="s">
        <v>3940</v>
      </c>
    </row>
    <row r="23" spans="1:9" ht="28.5">
      <c r="A23" t="s">
        <v>239</v>
      </c>
      <c r="B23" t="s">
        <v>240</v>
      </c>
      <c r="C23" t="s">
        <v>3941</v>
      </c>
      <c r="D23" s="7">
        <v>46144</v>
      </c>
      <c r="E23" s="7">
        <v>46144</v>
      </c>
      <c r="F23" s="122" t="s">
        <v>3942</v>
      </c>
      <c r="H23" t="s">
        <v>978</v>
      </c>
      <c r="I23" t="s">
        <v>3943</v>
      </c>
    </row>
    <row r="24" spans="1:9" ht="28.5">
      <c r="A24" t="s">
        <v>239</v>
      </c>
      <c r="B24" t="s">
        <v>240</v>
      </c>
      <c r="C24" t="s">
        <v>3944</v>
      </c>
      <c r="D24" s="7">
        <v>46145</v>
      </c>
      <c r="E24" s="7">
        <v>46145</v>
      </c>
      <c r="F24" s="122" t="s">
        <v>4839</v>
      </c>
      <c r="G24" t="s">
        <v>671</v>
      </c>
      <c r="I24" t="s">
        <v>3945</v>
      </c>
    </row>
    <row r="25" spans="1:9" ht="28.5">
      <c r="A25" t="s">
        <v>239</v>
      </c>
      <c r="B25" t="s">
        <v>240</v>
      </c>
      <c r="C25" t="s">
        <v>3946</v>
      </c>
      <c r="D25" s="7">
        <v>46145</v>
      </c>
      <c r="E25" s="7">
        <v>46145</v>
      </c>
      <c r="F25" s="122" t="s">
        <v>3947</v>
      </c>
      <c r="H25" t="s">
        <v>261</v>
      </c>
      <c r="I25" t="s">
        <v>3948</v>
      </c>
    </row>
    <row r="26" spans="1:9" ht="28.5">
      <c r="A26" t="s">
        <v>239</v>
      </c>
      <c r="B26" t="s">
        <v>240</v>
      </c>
      <c r="C26" t="s">
        <v>3946</v>
      </c>
      <c r="D26" s="7">
        <v>46145</v>
      </c>
      <c r="E26" s="7">
        <v>46145</v>
      </c>
      <c r="F26" s="122" t="s">
        <v>3949</v>
      </c>
      <c r="H26" t="s">
        <v>4283</v>
      </c>
      <c r="I26" t="s">
        <v>3950</v>
      </c>
    </row>
    <row r="27" spans="1:9" ht="28.5">
      <c r="A27" t="s">
        <v>239</v>
      </c>
      <c r="B27" t="s">
        <v>240</v>
      </c>
      <c r="C27" t="s">
        <v>3951</v>
      </c>
      <c r="D27" s="7">
        <v>46145</v>
      </c>
      <c r="E27" s="7">
        <v>46145</v>
      </c>
      <c r="F27" s="122" t="s">
        <v>3952</v>
      </c>
      <c r="H27" t="s">
        <v>261</v>
      </c>
      <c r="I27" t="s">
        <v>3953</v>
      </c>
    </row>
    <row r="28" spans="1:9" ht="28.5">
      <c r="A28" t="s">
        <v>239</v>
      </c>
      <c r="B28" t="s">
        <v>240</v>
      </c>
      <c r="C28" t="s">
        <v>3951</v>
      </c>
      <c r="D28" s="7">
        <v>46145</v>
      </c>
      <c r="E28" s="7">
        <v>46145</v>
      </c>
      <c r="F28" s="122" t="s">
        <v>3954</v>
      </c>
      <c r="H28" t="s">
        <v>319</v>
      </c>
      <c r="I28" t="s">
        <v>3955</v>
      </c>
    </row>
    <row r="29" spans="1:9" ht="28.5">
      <c r="A29" t="s">
        <v>239</v>
      </c>
      <c r="B29" t="s">
        <v>240</v>
      </c>
      <c r="C29" t="s">
        <v>3956</v>
      </c>
      <c r="D29" s="7">
        <v>46145</v>
      </c>
      <c r="E29" s="7">
        <v>46145</v>
      </c>
      <c r="F29" s="122" t="s">
        <v>4840</v>
      </c>
      <c r="G29" t="s">
        <v>1557</v>
      </c>
      <c r="I29" t="s">
        <v>3957</v>
      </c>
    </row>
    <row r="30" spans="1:9" ht="28.5">
      <c r="A30" t="s">
        <v>239</v>
      </c>
      <c r="B30" t="s">
        <v>240</v>
      </c>
      <c r="C30" t="s">
        <v>3958</v>
      </c>
      <c r="D30" s="7">
        <v>46146</v>
      </c>
      <c r="E30" s="7">
        <v>46146</v>
      </c>
      <c r="F30" s="122" t="s">
        <v>3959</v>
      </c>
      <c r="H30" t="s">
        <v>4285</v>
      </c>
      <c r="I30" t="s">
        <v>3960</v>
      </c>
    </row>
    <row r="31" spans="1:9" ht="28.5">
      <c r="A31" t="s">
        <v>239</v>
      </c>
      <c r="B31" t="s">
        <v>240</v>
      </c>
      <c r="C31" t="s">
        <v>3958</v>
      </c>
      <c r="D31" s="7">
        <v>46146</v>
      </c>
      <c r="E31" s="7">
        <v>46146</v>
      </c>
      <c r="F31" s="122" t="s">
        <v>3961</v>
      </c>
      <c r="H31" t="s">
        <v>374</v>
      </c>
      <c r="I31" t="s">
        <v>3962</v>
      </c>
    </row>
    <row r="32" spans="1:9" ht="28.5">
      <c r="A32" t="s">
        <v>239</v>
      </c>
      <c r="B32" t="s">
        <v>240</v>
      </c>
      <c r="C32" t="s">
        <v>3963</v>
      </c>
      <c r="D32" s="7">
        <v>46146</v>
      </c>
      <c r="E32" s="7">
        <v>46146</v>
      </c>
      <c r="F32" s="122" t="s">
        <v>4888</v>
      </c>
      <c r="G32" t="s">
        <v>1044</v>
      </c>
      <c r="I32" t="s">
        <v>3964</v>
      </c>
    </row>
    <row r="33" spans="1:9" ht="28.5">
      <c r="A33" t="s">
        <v>239</v>
      </c>
      <c r="B33" t="s">
        <v>240</v>
      </c>
      <c r="C33" t="s">
        <v>3965</v>
      </c>
      <c r="D33" s="7">
        <v>46147</v>
      </c>
      <c r="E33" s="7">
        <v>46147</v>
      </c>
      <c r="F33" s="122" t="s">
        <v>3966</v>
      </c>
      <c r="H33" t="s">
        <v>254</v>
      </c>
      <c r="I33" t="s">
        <v>3967</v>
      </c>
    </row>
    <row r="34" spans="1:9" ht="28.5">
      <c r="A34" t="s">
        <v>239</v>
      </c>
      <c r="B34" t="s">
        <v>240</v>
      </c>
      <c r="C34" t="s">
        <v>3965</v>
      </c>
      <c r="D34" s="7">
        <v>46147</v>
      </c>
      <c r="E34" s="7">
        <v>46147</v>
      </c>
      <c r="F34" s="122" t="s">
        <v>3968</v>
      </c>
      <c r="H34" t="s">
        <v>295</v>
      </c>
      <c r="I34" t="s">
        <v>3969</v>
      </c>
    </row>
    <row r="35" spans="1:9" ht="28.5">
      <c r="A35" t="s">
        <v>239</v>
      </c>
      <c r="B35" t="s">
        <v>240</v>
      </c>
      <c r="C35" t="s">
        <v>3970</v>
      </c>
      <c r="D35" s="7">
        <v>46147</v>
      </c>
      <c r="E35" s="7">
        <v>46147</v>
      </c>
      <c r="F35" s="122" t="s">
        <v>2320</v>
      </c>
      <c r="G35" t="s">
        <v>1557</v>
      </c>
      <c r="I35" t="s">
        <v>3971</v>
      </c>
    </row>
    <row r="36" spans="1:9" ht="28.5">
      <c r="A36" t="s">
        <v>239</v>
      </c>
      <c r="B36" t="s">
        <v>240</v>
      </c>
      <c r="C36" t="s">
        <v>3972</v>
      </c>
      <c r="D36" s="7">
        <v>46147</v>
      </c>
      <c r="E36" s="7">
        <v>46147</v>
      </c>
      <c r="F36" s="122" t="s">
        <v>4841</v>
      </c>
      <c r="G36" t="s">
        <v>580</v>
      </c>
      <c r="I36" t="s">
        <v>3973</v>
      </c>
    </row>
    <row r="37" spans="1:9" ht="28.5">
      <c r="A37" t="s">
        <v>239</v>
      </c>
      <c r="B37" t="s">
        <v>240</v>
      </c>
      <c r="C37" t="s">
        <v>3974</v>
      </c>
      <c r="D37" s="7">
        <v>46147</v>
      </c>
      <c r="E37" s="7">
        <v>46147</v>
      </c>
      <c r="F37" s="122" t="s">
        <v>4842</v>
      </c>
      <c r="G37" t="s">
        <v>1557</v>
      </c>
      <c r="I37" t="s">
        <v>3975</v>
      </c>
    </row>
    <row r="38" spans="1:9" ht="28.5">
      <c r="A38" t="s">
        <v>239</v>
      </c>
      <c r="B38" t="s">
        <v>240</v>
      </c>
      <c r="C38" t="s">
        <v>3976</v>
      </c>
      <c r="D38" s="7">
        <v>46147</v>
      </c>
      <c r="E38" s="7">
        <v>46147</v>
      </c>
      <c r="F38" s="122" t="s">
        <v>4843</v>
      </c>
      <c r="G38" t="s">
        <v>4289</v>
      </c>
      <c r="I38" t="s">
        <v>3977</v>
      </c>
    </row>
    <row r="39" spans="1:9" ht="28.5">
      <c r="A39" t="s">
        <v>239</v>
      </c>
      <c r="B39" t="s">
        <v>240</v>
      </c>
      <c r="C39" t="s">
        <v>3978</v>
      </c>
      <c r="D39" s="7">
        <v>46148</v>
      </c>
      <c r="E39" s="7">
        <v>46148</v>
      </c>
      <c r="F39" s="122" t="s">
        <v>4844</v>
      </c>
      <c r="G39" t="s">
        <v>4291</v>
      </c>
      <c r="I39" t="s">
        <v>3979</v>
      </c>
    </row>
    <row r="40" spans="1:9" ht="42.75">
      <c r="A40" t="s">
        <v>239</v>
      </c>
      <c r="B40" t="s">
        <v>240</v>
      </c>
      <c r="C40" t="s">
        <v>3980</v>
      </c>
      <c r="D40" s="7">
        <v>46148</v>
      </c>
      <c r="E40" s="7">
        <v>46148</v>
      </c>
      <c r="F40" s="122" t="s">
        <v>3981</v>
      </c>
      <c r="H40" t="s">
        <v>533</v>
      </c>
      <c r="I40" t="s">
        <v>3982</v>
      </c>
    </row>
    <row r="41" spans="1:9" ht="28.5">
      <c r="A41" t="s">
        <v>2518</v>
      </c>
      <c r="B41" t="s">
        <v>240</v>
      </c>
      <c r="C41" t="s">
        <v>3983</v>
      </c>
      <c r="D41" s="7">
        <v>46148</v>
      </c>
      <c r="E41" s="7">
        <v>46148</v>
      </c>
      <c r="F41" s="122" t="s">
        <v>4845</v>
      </c>
      <c r="G41" t="s">
        <v>3248</v>
      </c>
      <c r="I41" t="s">
        <v>3984</v>
      </c>
    </row>
    <row r="42" spans="1:9" ht="28.5">
      <c r="A42" t="s">
        <v>239</v>
      </c>
      <c r="B42" t="s">
        <v>240</v>
      </c>
      <c r="C42" t="s">
        <v>3985</v>
      </c>
      <c r="D42" s="7">
        <v>46148</v>
      </c>
      <c r="E42" s="7">
        <v>46148</v>
      </c>
      <c r="F42" s="122" t="s">
        <v>4217</v>
      </c>
      <c r="G42" t="s">
        <v>1476</v>
      </c>
      <c r="I42" t="s">
        <v>3986</v>
      </c>
    </row>
    <row r="43" spans="1:9" ht="28.5">
      <c r="A43" t="s">
        <v>239</v>
      </c>
      <c r="B43" t="s">
        <v>240</v>
      </c>
      <c r="C43" t="s">
        <v>3987</v>
      </c>
      <c r="D43" s="7">
        <v>46149</v>
      </c>
      <c r="E43" s="7">
        <v>46149</v>
      </c>
      <c r="F43" s="122" t="s">
        <v>3988</v>
      </c>
      <c r="H43" t="s">
        <v>261</v>
      </c>
      <c r="I43" t="s">
        <v>3989</v>
      </c>
    </row>
    <row r="44" spans="1:9" ht="42.75">
      <c r="A44" t="s">
        <v>239</v>
      </c>
      <c r="B44" t="s">
        <v>240</v>
      </c>
      <c r="C44" t="s">
        <v>3987</v>
      </c>
      <c r="D44" s="7">
        <v>46149</v>
      </c>
      <c r="E44" s="7">
        <v>46149</v>
      </c>
      <c r="F44" s="122" t="s">
        <v>3990</v>
      </c>
      <c r="H44" t="s">
        <v>4294</v>
      </c>
      <c r="I44" t="s">
        <v>3991</v>
      </c>
    </row>
    <row r="45" spans="1:9" ht="42.75">
      <c r="A45" t="s">
        <v>239</v>
      </c>
      <c r="B45" t="s">
        <v>240</v>
      </c>
      <c r="C45" t="s">
        <v>3992</v>
      </c>
      <c r="D45" s="7">
        <v>46149</v>
      </c>
      <c r="E45" s="7">
        <v>46149</v>
      </c>
      <c r="F45" s="122" t="s">
        <v>3993</v>
      </c>
      <c r="H45" t="s">
        <v>254</v>
      </c>
      <c r="I45" t="s">
        <v>3994</v>
      </c>
    </row>
    <row r="46" spans="1:9" ht="42.75">
      <c r="A46" t="s">
        <v>239</v>
      </c>
      <c r="B46" t="s">
        <v>240</v>
      </c>
      <c r="C46" t="s">
        <v>3992</v>
      </c>
      <c r="D46" s="7">
        <v>46149</v>
      </c>
      <c r="E46" s="7">
        <v>46149</v>
      </c>
      <c r="F46" s="122" t="s">
        <v>3995</v>
      </c>
      <c r="H46" t="s">
        <v>1545</v>
      </c>
      <c r="I46" t="s">
        <v>3996</v>
      </c>
    </row>
    <row r="47" spans="1:9">
      <c r="A47" t="s">
        <v>239</v>
      </c>
      <c r="B47" t="s">
        <v>240</v>
      </c>
      <c r="C47" t="s">
        <v>3997</v>
      </c>
      <c r="D47" s="7">
        <v>46149</v>
      </c>
      <c r="E47" s="7">
        <v>46149</v>
      </c>
      <c r="F47" s="122" t="s">
        <v>732</v>
      </c>
      <c r="H47" t="s">
        <v>254</v>
      </c>
      <c r="I47" t="s">
        <v>3998</v>
      </c>
    </row>
    <row r="48" spans="1:9" ht="28.5">
      <c r="A48" t="s">
        <v>239</v>
      </c>
      <c r="B48" t="s">
        <v>240</v>
      </c>
      <c r="C48" t="s">
        <v>3997</v>
      </c>
      <c r="D48" s="7">
        <v>46149</v>
      </c>
      <c r="E48" s="7">
        <v>46149</v>
      </c>
      <c r="F48" s="122" t="s">
        <v>734</v>
      </c>
      <c r="H48" t="s">
        <v>4295</v>
      </c>
      <c r="I48" t="s">
        <v>3999</v>
      </c>
    </row>
    <row r="49" spans="1:9">
      <c r="A49" t="s">
        <v>239</v>
      </c>
      <c r="B49" t="s">
        <v>240</v>
      </c>
      <c r="C49" t="s">
        <v>4000</v>
      </c>
      <c r="D49" s="7">
        <v>46149</v>
      </c>
      <c r="E49" s="7">
        <v>46149</v>
      </c>
      <c r="F49" s="122" t="s">
        <v>4296</v>
      </c>
      <c r="G49" t="s">
        <v>277</v>
      </c>
      <c r="I49" t="s">
        <v>4001</v>
      </c>
    </row>
    <row r="50" spans="1:9" ht="28.5">
      <c r="A50" t="s">
        <v>540</v>
      </c>
      <c r="B50" t="s">
        <v>240</v>
      </c>
      <c r="C50" t="s">
        <v>4002</v>
      </c>
      <c r="D50" s="7">
        <v>46150</v>
      </c>
      <c r="E50" s="7">
        <v>46150</v>
      </c>
      <c r="F50" s="122" t="s">
        <v>1611</v>
      </c>
      <c r="G50" t="s">
        <v>1557</v>
      </c>
      <c r="I50" t="s">
        <v>4003</v>
      </c>
    </row>
    <row r="51" spans="1:9" ht="28.5">
      <c r="A51" t="s">
        <v>239</v>
      </c>
      <c r="B51" t="s">
        <v>240</v>
      </c>
      <c r="C51" t="s">
        <v>4004</v>
      </c>
      <c r="D51" s="7">
        <v>46150</v>
      </c>
      <c r="E51" s="7">
        <v>46150</v>
      </c>
      <c r="F51" s="122" t="s">
        <v>4005</v>
      </c>
      <c r="H51" t="s">
        <v>261</v>
      </c>
      <c r="I51" t="s">
        <v>4006</v>
      </c>
    </row>
    <row r="52" spans="1:9" ht="28.5">
      <c r="A52" t="s">
        <v>239</v>
      </c>
      <c r="B52" t="s">
        <v>240</v>
      </c>
      <c r="C52" t="s">
        <v>4004</v>
      </c>
      <c r="D52" s="7">
        <v>46150</v>
      </c>
      <c r="E52" s="7">
        <v>46150</v>
      </c>
      <c r="F52" s="122" t="s">
        <v>4007</v>
      </c>
      <c r="H52" t="s">
        <v>4297</v>
      </c>
      <c r="I52" t="s">
        <v>4008</v>
      </c>
    </row>
    <row r="53" spans="1:9" ht="28.5">
      <c r="A53" t="s">
        <v>239</v>
      </c>
      <c r="B53" t="s">
        <v>240</v>
      </c>
      <c r="C53" t="s">
        <v>4009</v>
      </c>
      <c r="D53" s="7">
        <v>46151</v>
      </c>
      <c r="E53" s="7">
        <v>46151</v>
      </c>
      <c r="F53" s="122" t="s">
        <v>4010</v>
      </c>
      <c r="H53" t="s">
        <v>261</v>
      </c>
      <c r="I53" t="s">
        <v>4011</v>
      </c>
    </row>
    <row r="54" spans="1:9" ht="28.5">
      <c r="A54" t="s">
        <v>239</v>
      </c>
      <c r="B54" t="s">
        <v>240</v>
      </c>
      <c r="C54" t="s">
        <v>4009</v>
      </c>
      <c r="D54" s="7">
        <v>46151</v>
      </c>
      <c r="E54" s="7">
        <v>46151</v>
      </c>
      <c r="F54" s="122" t="s">
        <v>4012</v>
      </c>
      <c r="H54" t="s">
        <v>527</v>
      </c>
      <c r="I54" t="s">
        <v>4013</v>
      </c>
    </row>
    <row r="55" spans="1:9" ht="42.75">
      <c r="A55" t="s">
        <v>239</v>
      </c>
      <c r="B55" t="s">
        <v>240</v>
      </c>
      <c r="C55" t="s">
        <v>4014</v>
      </c>
      <c r="D55" s="7">
        <v>46151</v>
      </c>
      <c r="E55" s="7">
        <v>46151</v>
      </c>
      <c r="F55" s="122" t="s">
        <v>4298</v>
      </c>
      <c r="G55" t="s">
        <v>588</v>
      </c>
      <c r="I55" t="s">
        <v>4015</v>
      </c>
    </row>
    <row r="56" spans="1:9" ht="28.5">
      <c r="A56" t="s">
        <v>239</v>
      </c>
      <c r="B56" t="s">
        <v>240</v>
      </c>
      <c r="C56" t="s">
        <v>4016</v>
      </c>
      <c r="D56" s="7">
        <v>46151</v>
      </c>
      <c r="E56" s="7">
        <v>46151</v>
      </c>
      <c r="F56" s="122" t="s">
        <v>4299</v>
      </c>
      <c r="G56" t="s">
        <v>4300</v>
      </c>
      <c r="I56" t="s">
        <v>4017</v>
      </c>
    </row>
    <row r="57" spans="1:9" ht="28.5">
      <c r="A57" t="s">
        <v>239</v>
      </c>
      <c r="B57" t="s">
        <v>240</v>
      </c>
      <c r="C57" t="s">
        <v>4018</v>
      </c>
      <c r="D57" s="7">
        <v>46151</v>
      </c>
      <c r="E57" s="7">
        <v>46151</v>
      </c>
      <c r="F57" s="122" t="s">
        <v>4019</v>
      </c>
      <c r="H57" t="s">
        <v>261</v>
      </c>
      <c r="I57" t="s">
        <v>4020</v>
      </c>
    </row>
    <row r="58" spans="1:9" ht="42.75">
      <c r="A58" t="s">
        <v>239</v>
      </c>
      <c r="B58" t="s">
        <v>240</v>
      </c>
      <c r="C58" t="s">
        <v>4018</v>
      </c>
      <c r="D58" s="7">
        <v>46151</v>
      </c>
      <c r="E58" s="7">
        <v>46151</v>
      </c>
      <c r="F58" s="122" t="s">
        <v>4021</v>
      </c>
      <c r="H58" t="s">
        <v>313</v>
      </c>
      <c r="I58" t="s">
        <v>4022</v>
      </c>
    </row>
    <row r="59" spans="1:9" ht="28.5">
      <c r="A59" t="s">
        <v>239</v>
      </c>
      <c r="B59" t="s">
        <v>240</v>
      </c>
      <c r="C59" t="s">
        <v>4023</v>
      </c>
      <c r="D59" s="7">
        <v>46151</v>
      </c>
      <c r="E59" s="7">
        <v>46151</v>
      </c>
      <c r="F59" s="122" t="s">
        <v>4846</v>
      </c>
      <c r="G59" t="s">
        <v>4302</v>
      </c>
      <c r="I59" t="s">
        <v>4024</v>
      </c>
    </row>
    <row r="60" spans="1:9" ht="28.5">
      <c r="A60" t="s">
        <v>239</v>
      </c>
      <c r="B60" t="s">
        <v>240</v>
      </c>
      <c r="C60" t="s">
        <v>4303</v>
      </c>
      <c r="D60" s="7">
        <v>46153</v>
      </c>
      <c r="E60" s="7">
        <v>46153</v>
      </c>
      <c r="F60" s="122" t="s">
        <v>4847</v>
      </c>
      <c r="G60" t="s">
        <v>2085</v>
      </c>
      <c r="I60" t="s">
        <v>4304</v>
      </c>
    </row>
    <row r="61" spans="1:9" ht="28.5">
      <c r="A61" t="s">
        <v>239</v>
      </c>
      <c r="B61" t="s">
        <v>240</v>
      </c>
      <c r="C61" t="s">
        <v>4305</v>
      </c>
      <c r="D61" s="7">
        <v>46153</v>
      </c>
      <c r="E61" s="7">
        <v>46153</v>
      </c>
      <c r="F61" s="122" t="s">
        <v>4306</v>
      </c>
      <c r="H61" t="s">
        <v>261</v>
      </c>
      <c r="I61" t="s">
        <v>4307</v>
      </c>
    </row>
    <row r="62" spans="1:9" ht="28.5">
      <c r="A62" t="s">
        <v>239</v>
      </c>
      <c r="B62" t="s">
        <v>240</v>
      </c>
      <c r="C62" t="s">
        <v>4305</v>
      </c>
      <c r="D62" s="7">
        <v>46153</v>
      </c>
      <c r="E62" s="7">
        <v>46153</v>
      </c>
      <c r="F62" s="122" t="s">
        <v>4308</v>
      </c>
      <c r="H62" t="s">
        <v>467</v>
      </c>
      <c r="I62" t="s">
        <v>4309</v>
      </c>
    </row>
    <row r="63" spans="1:9" ht="28.5">
      <c r="A63" t="s">
        <v>239</v>
      </c>
      <c r="B63" t="s">
        <v>240</v>
      </c>
      <c r="C63" t="s">
        <v>4310</v>
      </c>
      <c r="D63" s="7">
        <v>46153</v>
      </c>
      <c r="E63" s="7">
        <v>46153</v>
      </c>
      <c r="F63" s="122" t="s">
        <v>4534</v>
      </c>
      <c r="G63" t="s">
        <v>1545</v>
      </c>
      <c r="I63" t="s">
        <v>4312</v>
      </c>
    </row>
    <row r="64" spans="1:9" ht="28.5">
      <c r="A64" t="s">
        <v>239</v>
      </c>
      <c r="B64" t="s">
        <v>240</v>
      </c>
      <c r="C64" t="s">
        <v>4313</v>
      </c>
      <c r="D64" s="7">
        <v>46154</v>
      </c>
      <c r="E64" s="7">
        <v>46154</v>
      </c>
      <c r="F64" s="122" t="s">
        <v>4314</v>
      </c>
      <c r="H64" t="s">
        <v>254</v>
      </c>
      <c r="I64" t="s">
        <v>4315</v>
      </c>
    </row>
    <row r="65" spans="1:9" ht="42.75">
      <c r="A65" t="s">
        <v>239</v>
      </c>
      <c r="B65" t="s">
        <v>240</v>
      </c>
      <c r="C65" t="s">
        <v>4313</v>
      </c>
      <c r="D65" s="7">
        <v>46154</v>
      </c>
      <c r="E65" s="7">
        <v>46154</v>
      </c>
      <c r="F65" s="122" t="s">
        <v>4316</v>
      </c>
      <c r="H65" t="s">
        <v>295</v>
      </c>
      <c r="I65" t="s">
        <v>4317</v>
      </c>
    </row>
    <row r="66" spans="1:9" ht="28.5">
      <c r="A66" t="s">
        <v>239</v>
      </c>
      <c r="B66" t="s">
        <v>240</v>
      </c>
      <c r="C66" t="s">
        <v>4318</v>
      </c>
      <c r="D66" s="7">
        <v>46155</v>
      </c>
      <c r="E66" s="7">
        <v>46155</v>
      </c>
      <c r="F66" s="122" t="s">
        <v>4534</v>
      </c>
      <c r="G66" t="s">
        <v>283</v>
      </c>
      <c r="I66" t="s">
        <v>4319</v>
      </c>
    </row>
    <row r="67" spans="1:9" ht="28.5">
      <c r="A67" t="s">
        <v>239</v>
      </c>
      <c r="B67" t="s">
        <v>240</v>
      </c>
      <c r="C67" t="s">
        <v>4320</v>
      </c>
      <c r="D67" s="7">
        <v>46156</v>
      </c>
      <c r="E67" s="7">
        <v>46156</v>
      </c>
      <c r="F67" s="122" t="s">
        <v>4321</v>
      </c>
      <c r="H67" t="s">
        <v>4322</v>
      </c>
      <c r="I67" t="s">
        <v>4323</v>
      </c>
    </row>
    <row r="68" spans="1:9" ht="42.75">
      <c r="A68" t="s">
        <v>239</v>
      </c>
      <c r="B68" t="s">
        <v>240</v>
      </c>
      <c r="C68" t="s">
        <v>4324</v>
      </c>
      <c r="D68" s="7">
        <v>46156</v>
      </c>
      <c r="E68" s="7">
        <v>46156</v>
      </c>
      <c r="F68" s="122" t="s">
        <v>4325</v>
      </c>
      <c r="H68" t="s">
        <v>4326</v>
      </c>
      <c r="I68" t="s">
        <v>4327</v>
      </c>
    </row>
    <row r="69" spans="1:9" ht="28.5">
      <c r="A69" t="s">
        <v>239</v>
      </c>
      <c r="B69" t="s">
        <v>240</v>
      </c>
      <c r="C69" t="s">
        <v>4328</v>
      </c>
      <c r="D69" s="7">
        <v>46157</v>
      </c>
      <c r="E69" s="7">
        <v>46157</v>
      </c>
      <c r="F69" s="122" t="s">
        <v>4329</v>
      </c>
      <c r="H69" t="s">
        <v>261</v>
      </c>
      <c r="I69" t="s">
        <v>4330</v>
      </c>
    </row>
    <row r="70" spans="1:9" ht="42.75">
      <c r="A70" t="s">
        <v>239</v>
      </c>
      <c r="B70" t="s">
        <v>240</v>
      </c>
      <c r="C70" t="s">
        <v>4328</v>
      </c>
      <c r="D70" s="7">
        <v>46157</v>
      </c>
      <c r="E70" s="7">
        <v>46157</v>
      </c>
      <c r="F70" s="122" t="s">
        <v>4331</v>
      </c>
      <c r="H70" t="s">
        <v>433</v>
      </c>
      <c r="I70" t="s">
        <v>4332</v>
      </c>
    </row>
    <row r="71" spans="1:9" ht="28.5">
      <c r="A71" t="s">
        <v>239</v>
      </c>
      <c r="B71" t="s">
        <v>240</v>
      </c>
      <c r="C71" t="s">
        <v>4333</v>
      </c>
      <c r="D71" s="7">
        <v>46158</v>
      </c>
      <c r="E71" s="7">
        <v>46158</v>
      </c>
      <c r="F71" s="122" t="s">
        <v>4334</v>
      </c>
      <c r="G71" t="s">
        <v>4335</v>
      </c>
      <c r="I71" t="s">
        <v>4336</v>
      </c>
    </row>
    <row r="72" spans="1:9" ht="28.5">
      <c r="A72" t="s">
        <v>239</v>
      </c>
      <c r="B72" t="s">
        <v>240</v>
      </c>
      <c r="C72" t="s">
        <v>4337</v>
      </c>
      <c r="D72" s="7">
        <v>46158</v>
      </c>
      <c r="E72" s="7">
        <v>46158</v>
      </c>
      <c r="F72" s="122" t="s">
        <v>4338</v>
      </c>
      <c r="H72" t="s">
        <v>4339</v>
      </c>
      <c r="I72" t="s">
        <v>4340</v>
      </c>
    </row>
    <row r="73" spans="1:9" ht="28.5">
      <c r="A73" t="s">
        <v>239</v>
      </c>
      <c r="B73" t="s">
        <v>240</v>
      </c>
      <c r="C73" t="s">
        <v>4341</v>
      </c>
      <c r="D73" s="7">
        <v>46158</v>
      </c>
      <c r="E73" s="7">
        <v>46158</v>
      </c>
      <c r="F73" s="122" t="s">
        <v>4342</v>
      </c>
      <c r="H73" t="s">
        <v>261</v>
      </c>
      <c r="I73" t="s">
        <v>4343</v>
      </c>
    </row>
    <row r="74" spans="1:9" ht="28.5">
      <c r="A74" t="s">
        <v>239</v>
      </c>
      <c r="B74" t="s">
        <v>240</v>
      </c>
      <c r="C74" t="s">
        <v>4341</v>
      </c>
      <c r="D74" s="7">
        <v>46158</v>
      </c>
      <c r="E74" s="7">
        <v>46158</v>
      </c>
      <c r="F74" s="122" t="s">
        <v>4344</v>
      </c>
      <c r="H74" t="s">
        <v>527</v>
      </c>
      <c r="I74" t="s">
        <v>4345</v>
      </c>
    </row>
    <row r="75" spans="1:9" ht="28.5">
      <c r="A75" t="s">
        <v>239</v>
      </c>
      <c r="B75" t="s">
        <v>240</v>
      </c>
      <c r="C75" t="s">
        <v>4346</v>
      </c>
      <c r="D75" s="7">
        <v>46159</v>
      </c>
      <c r="E75" s="7">
        <v>46159</v>
      </c>
      <c r="F75" s="122" t="s">
        <v>4347</v>
      </c>
      <c r="H75" t="s">
        <v>261</v>
      </c>
      <c r="I75" t="s">
        <v>4348</v>
      </c>
    </row>
    <row r="76" spans="1:9" ht="28.5">
      <c r="A76" t="s">
        <v>239</v>
      </c>
      <c r="B76" t="s">
        <v>240</v>
      </c>
      <c r="C76" t="s">
        <v>4346</v>
      </c>
      <c r="D76" s="7">
        <v>46159</v>
      </c>
      <c r="E76" s="7">
        <v>46159</v>
      </c>
      <c r="F76" s="122" t="s">
        <v>4349</v>
      </c>
      <c r="H76" t="s">
        <v>433</v>
      </c>
      <c r="I76" t="s">
        <v>4350</v>
      </c>
    </row>
    <row r="77" spans="1:9" ht="28.5">
      <c r="A77" t="s">
        <v>239</v>
      </c>
      <c r="B77" t="s">
        <v>240</v>
      </c>
      <c r="C77" t="s">
        <v>4351</v>
      </c>
      <c r="D77" s="7">
        <v>46159</v>
      </c>
      <c r="E77" s="7">
        <v>46159</v>
      </c>
      <c r="F77" s="122" t="s">
        <v>2497</v>
      </c>
      <c r="H77" t="s">
        <v>313</v>
      </c>
      <c r="I77" t="s">
        <v>4352</v>
      </c>
    </row>
    <row r="78" spans="1:9" ht="28.5">
      <c r="A78" t="s">
        <v>239</v>
      </c>
      <c r="B78" t="s">
        <v>240</v>
      </c>
      <c r="C78" t="s">
        <v>4353</v>
      </c>
      <c r="D78" s="7">
        <v>46160</v>
      </c>
      <c r="E78" s="7">
        <v>46160</v>
      </c>
      <c r="F78" s="122" t="s">
        <v>4848</v>
      </c>
      <c r="G78" t="s">
        <v>897</v>
      </c>
      <c r="I78" t="s">
        <v>4355</v>
      </c>
    </row>
    <row r="79" spans="1:9" ht="28.5">
      <c r="A79" t="s">
        <v>239</v>
      </c>
      <c r="B79" t="s">
        <v>240</v>
      </c>
      <c r="C79" t="s">
        <v>4356</v>
      </c>
      <c r="D79" s="7">
        <v>46160</v>
      </c>
      <c r="E79" s="7">
        <v>46160</v>
      </c>
      <c r="F79" s="122" t="s">
        <v>4357</v>
      </c>
      <c r="H79" t="s">
        <v>261</v>
      </c>
      <c r="I79" t="s">
        <v>4358</v>
      </c>
    </row>
    <row r="80" spans="1:9" ht="42.75">
      <c r="A80" t="s">
        <v>239</v>
      </c>
      <c r="B80" t="s">
        <v>240</v>
      </c>
      <c r="C80" t="s">
        <v>4356</v>
      </c>
      <c r="D80" s="7">
        <v>46160</v>
      </c>
      <c r="E80" s="7">
        <v>46160</v>
      </c>
      <c r="F80" s="122" t="s">
        <v>4359</v>
      </c>
      <c r="H80" t="s">
        <v>4360</v>
      </c>
      <c r="I80" t="s">
        <v>4361</v>
      </c>
    </row>
    <row r="81" spans="1:9" ht="28.5">
      <c r="A81" t="s">
        <v>239</v>
      </c>
      <c r="B81" t="s">
        <v>240</v>
      </c>
      <c r="C81" t="s">
        <v>4362</v>
      </c>
      <c r="D81" s="7">
        <v>46160</v>
      </c>
      <c r="E81" s="7">
        <v>46160</v>
      </c>
      <c r="F81" s="122" t="s">
        <v>4363</v>
      </c>
      <c r="H81" t="s">
        <v>254</v>
      </c>
      <c r="I81" t="s">
        <v>4364</v>
      </c>
    </row>
    <row r="82" spans="1:9" ht="42.75">
      <c r="A82" t="s">
        <v>239</v>
      </c>
      <c r="B82" t="s">
        <v>240</v>
      </c>
      <c r="C82" t="s">
        <v>4362</v>
      </c>
      <c r="D82" s="7">
        <v>46160</v>
      </c>
      <c r="E82" s="7">
        <v>46160</v>
      </c>
      <c r="F82" s="122" t="s">
        <v>4365</v>
      </c>
      <c r="H82" t="s">
        <v>903</v>
      </c>
      <c r="I82" t="s">
        <v>4366</v>
      </c>
    </row>
    <row r="83" spans="1:9" ht="28.5">
      <c r="A83" t="s">
        <v>239</v>
      </c>
      <c r="B83" t="s">
        <v>240</v>
      </c>
      <c r="C83" t="s">
        <v>4367</v>
      </c>
      <c r="D83" s="7">
        <v>46160</v>
      </c>
      <c r="E83" s="7">
        <v>46160</v>
      </c>
      <c r="F83" s="122" t="s">
        <v>4368</v>
      </c>
      <c r="H83" t="s">
        <v>261</v>
      </c>
      <c r="I83" t="s">
        <v>4369</v>
      </c>
    </row>
    <row r="84" spans="1:9" ht="28.5">
      <c r="A84" t="s">
        <v>239</v>
      </c>
      <c r="B84" t="s">
        <v>240</v>
      </c>
      <c r="C84" t="s">
        <v>4367</v>
      </c>
      <c r="D84" s="7">
        <v>46160</v>
      </c>
      <c r="E84" s="7">
        <v>46160</v>
      </c>
      <c r="F84" s="122" t="s">
        <v>4370</v>
      </c>
      <c r="H84" t="s">
        <v>4326</v>
      </c>
      <c r="I84" t="s">
        <v>4371</v>
      </c>
    </row>
    <row r="85" spans="1:9" ht="28.5">
      <c r="A85" t="s">
        <v>239</v>
      </c>
      <c r="B85" t="s">
        <v>240</v>
      </c>
      <c r="C85" t="s">
        <v>4372</v>
      </c>
      <c r="D85" s="7">
        <v>46160</v>
      </c>
      <c r="E85" s="7">
        <v>46160</v>
      </c>
      <c r="F85" s="122" t="s">
        <v>4373</v>
      </c>
      <c r="H85" t="s">
        <v>254</v>
      </c>
      <c r="I85" t="s">
        <v>4374</v>
      </c>
    </row>
    <row r="86" spans="1:9" ht="28.5">
      <c r="A86" t="s">
        <v>239</v>
      </c>
      <c r="B86" t="s">
        <v>240</v>
      </c>
      <c r="C86" t="s">
        <v>4372</v>
      </c>
      <c r="D86" s="7">
        <v>46160</v>
      </c>
      <c r="E86" s="7">
        <v>46160</v>
      </c>
      <c r="F86" s="122" t="s">
        <v>4375</v>
      </c>
      <c r="H86" t="s">
        <v>1032</v>
      </c>
      <c r="I86" t="s">
        <v>4376</v>
      </c>
    </row>
    <row r="87" spans="1:9" ht="28.5">
      <c r="A87" t="s">
        <v>239</v>
      </c>
      <c r="B87" t="s">
        <v>240</v>
      </c>
      <c r="C87" t="s">
        <v>4377</v>
      </c>
      <c r="D87" s="7">
        <v>46160</v>
      </c>
      <c r="E87" s="7">
        <v>46160</v>
      </c>
      <c r="F87" s="122" t="s">
        <v>4378</v>
      </c>
      <c r="H87" t="s">
        <v>2153</v>
      </c>
      <c r="I87" t="s">
        <v>4379</v>
      </c>
    </row>
    <row r="88" spans="1:9" ht="42.75">
      <c r="A88" t="s">
        <v>239</v>
      </c>
      <c r="B88" t="s">
        <v>240</v>
      </c>
      <c r="C88" t="s">
        <v>4380</v>
      </c>
      <c r="D88" s="7">
        <v>46160</v>
      </c>
      <c r="E88" s="7">
        <v>46160</v>
      </c>
      <c r="F88" s="122" t="s">
        <v>4381</v>
      </c>
      <c r="H88" t="s">
        <v>313</v>
      </c>
      <c r="I88" t="s">
        <v>4382</v>
      </c>
    </row>
    <row r="89" spans="1:9" ht="28.5">
      <c r="A89" t="s">
        <v>239</v>
      </c>
      <c r="B89" t="s">
        <v>240</v>
      </c>
      <c r="C89" t="s">
        <v>4383</v>
      </c>
      <c r="D89" s="7">
        <v>46160</v>
      </c>
      <c r="E89" s="7">
        <v>46160</v>
      </c>
      <c r="F89" s="122" t="s">
        <v>4384</v>
      </c>
      <c r="H89" t="s">
        <v>1839</v>
      </c>
      <c r="I89" t="s">
        <v>4385</v>
      </c>
    </row>
    <row r="90" spans="1:9" ht="28.5">
      <c r="A90" t="s">
        <v>239</v>
      </c>
      <c r="B90" t="s">
        <v>240</v>
      </c>
      <c r="C90" t="s">
        <v>4383</v>
      </c>
      <c r="D90" s="7">
        <v>46160</v>
      </c>
      <c r="E90" s="7">
        <v>46160</v>
      </c>
      <c r="F90" s="122" t="s">
        <v>4386</v>
      </c>
      <c r="H90" t="s">
        <v>4387</v>
      </c>
      <c r="I90" t="s">
        <v>4388</v>
      </c>
    </row>
    <row r="91" spans="1:9" ht="28.5">
      <c r="A91" t="s">
        <v>239</v>
      </c>
      <c r="B91" t="s">
        <v>240</v>
      </c>
      <c r="C91" t="s">
        <v>4389</v>
      </c>
      <c r="D91" s="7">
        <v>46161</v>
      </c>
      <c r="E91" s="7">
        <v>46161</v>
      </c>
      <c r="F91" s="122" t="s">
        <v>4390</v>
      </c>
      <c r="G91" t="s">
        <v>4387</v>
      </c>
      <c r="I91" t="s">
        <v>4385</v>
      </c>
    </row>
    <row r="92" spans="1:9" ht="28.5">
      <c r="A92" t="s">
        <v>239</v>
      </c>
      <c r="B92" t="s">
        <v>240</v>
      </c>
      <c r="C92" t="s">
        <v>4391</v>
      </c>
      <c r="D92" s="7">
        <v>46161</v>
      </c>
      <c r="E92" s="7">
        <v>46161</v>
      </c>
      <c r="F92" s="122" t="s">
        <v>4392</v>
      </c>
      <c r="H92" t="s">
        <v>1839</v>
      </c>
      <c r="I92" t="s">
        <v>4393</v>
      </c>
    </row>
    <row r="93" spans="1:9" ht="28.5">
      <c r="A93" t="s">
        <v>239</v>
      </c>
      <c r="B93" t="s">
        <v>240</v>
      </c>
      <c r="C93" t="s">
        <v>4391</v>
      </c>
      <c r="D93" s="7">
        <v>46161</v>
      </c>
      <c r="E93" s="7">
        <v>46161</v>
      </c>
      <c r="F93" s="122" t="s">
        <v>4394</v>
      </c>
      <c r="H93" t="s">
        <v>4395</v>
      </c>
      <c r="I93" t="s">
        <v>4396</v>
      </c>
    </row>
    <row r="94" spans="1:9" ht="28.5">
      <c r="A94" t="s">
        <v>239</v>
      </c>
      <c r="B94" t="s">
        <v>240</v>
      </c>
      <c r="C94" t="s">
        <v>4397</v>
      </c>
      <c r="D94" s="7">
        <v>46161</v>
      </c>
      <c r="E94" s="7">
        <v>46161</v>
      </c>
      <c r="F94" s="122" t="s">
        <v>4398</v>
      </c>
      <c r="H94" t="s">
        <v>261</v>
      </c>
      <c r="I94" t="s">
        <v>4399</v>
      </c>
    </row>
    <row r="95" spans="1:9" ht="42.75">
      <c r="A95" t="s">
        <v>239</v>
      </c>
      <c r="B95" t="s">
        <v>240</v>
      </c>
      <c r="C95" t="s">
        <v>4397</v>
      </c>
      <c r="D95" s="7">
        <v>46161</v>
      </c>
      <c r="E95" s="7">
        <v>46161</v>
      </c>
      <c r="F95" s="122" t="s">
        <v>4400</v>
      </c>
      <c r="H95" t="s">
        <v>630</v>
      </c>
      <c r="I95" t="s">
        <v>4401</v>
      </c>
    </row>
    <row r="96" spans="1:9" ht="28.5">
      <c r="A96" t="s">
        <v>239</v>
      </c>
      <c r="B96" t="s">
        <v>240</v>
      </c>
      <c r="C96" t="s">
        <v>4402</v>
      </c>
      <c r="D96" s="7">
        <v>46162</v>
      </c>
      <c r="E96" s="7">
        <v>46162</v>
      </c>
      <c r="F96" s="122" t="s">
        <v>4403</v>
      </c>
      <c r="H96" t="s">
        <v>254</v>
      </c>
      <c r="I96" t="s">
        <v>4404</v>
      </c>
    </row>
    <row r="97" spans="1:9" ht="28.5">
      <c r="A97" t="s">
        <v>239</v>
      </c>
      <c r="B97" t="s">
        <v>240</v>
      </c>
      <c r="C97" t="s">
        <v>4402</v>
      </c>
      <c r="D97" s="7">
        <v>46162</v>
      </c>
      <c r="E97" s="7">
        <v>46162</v>
      </c>
      <c r="F97" s="122" t="s">
        <v>4405</v>
      </c>
      <c r="H97" t="s">
        <v>1170</v>
      </c>
      <c r="I97" t="s">
        <v>4406</v>
      </c>
    </row>
    <row r="98" spans="1:9" ht="42.75">
      <c r="A98" t="s">
        <v>239</v>
      </c>
      <c r="B98" t="s">
        <v>240</v>
      </c>
      <c r="C98" t="s">
        <v>4407</v>
      </c>
      <c r="D98" s="7">
        <v>46162</v>
      </c>
      <c r="E98" s="7">
        <v>46162</v>
      </c>
      <c r="F98" s="122" t="s">
        <v>4408</v>
      </c>
      <c r="H98" t="s">
        <v>264</v>
      </c>
      <c r="I98" t="s">
        <v>4409</v>
      </c>
    </row>
    <row r="99" spans="1:9" ht="28.5">
      <c r="A99" t="s">
        <v>239</v>
      </c>
      <c r="B99" t="s">
        <v>240</v>
      </c>
      <c r="C99" t="s">
        <v>4410</v>
      </c>
      <c r="D99" s="7">
        <v>46162</v>
      </c>
      <c r="E99" s="7">
        <v>46162</v>
      </c>
      <c r="F99" s="122" t="s">
        <v>4411</v>
      </c>
      <c r="H99" t="s">
        <v>261</v>
      </c>
      <c r="I99" t="s">
        <v>4412</v>
      </c>
    </row>
    <row r="100" spans="1:9" ht="42.75">
      <c r="A100" t="s">
        <v>239</v>
      </c>
      <c r="B100" t="s">
        <v>240</v>
      </c>
      <c r="C100" t="s">
        <v>4410</v>
      </c>
      <c r="D100" s="7">
        <v>46162</v>
      </c>
      <c r="E100" s="7">
        <v>46162</v>
      </c>
      <c r="F100" s="122" t="s">
        <v>4413</v>
      </c>
      <c r="H100" t="s">
        <v>527</v>
      </c>
      <c r="I100" t="s">
        <v>4414</v>
      </c>
    </row>
    <row r="101" spans="1:9" ht="28.5">
      <c r="A101" t="s">
        <v>239</v>
      </c>
      <c r="B101" t="s">
        <v>240</v>
      </c>
      <c r="C101" t="s">
        <v>4415</v>
      </c>
      <c r="D101" s="7">
        <v>46162</v>
      </c>
      <c r="E101" s="7">
        <v>46162</v>
      </c>
      <c r="F101" s="122" t="s">
        <v>859</v>
      </c>
      <c r="H101" t="s">
        <v>254</v>
      </c>
      <c r="I101" t="s">
        <v>4416</v>
      </c>
    </row>
    <row r="102" spans="1:9" ht="28.5">
      <c r="A102" t="s">
        <v>239</v>
      </c>
      <c r="B102" t="s">
        <v>240</v>
      </c>
      <c r="C102" t="s">
        <v>4415</v>
      </c>
      <c r="D102" s="7">
        <v>46162</v>
      </c>
      <c r="E102" s="7">
        <v>46162</v>
      </c>
      <c r="F102" s="122" t="s">
        <v>861</v>
      </c>
      <c r="H102" t="s">
        <v>756</v>
      </c>
      <c r="I102" t="s">
        <v>4417</v>
      </c>
    </row>
    <row r="103" spans="1:9" ht="28.5">
      <c r="A103" t="s">
        <v>239</v>
      </c>
      <c r="B103" t="s">
        <v>240</v>
      </c>
      <c r="C103" t="s">
        <v>4418</v>
      </c>
      <c r="D103" s="7">
        <v>46163</v>
      </c>
      <c r="E103" s="7">
        <v>46163</v>
      </c>
      <c r="F103" s="122" t="s">
        <v>4419</v>
      </c>
      <c r="H103" t="s">
        <v>261</v>
      </c>
      <c r="I103" t="s">
        <v>4420</v>
      </c>
    </row>
    <row r="104" spans="1:9" ht="28.5">
      <c r="A104" t="s">
        <v>239</v>
      </c>
      <c r="B104" t="s">
        <v>240</v>
      </c>
      <c r="C104" t="s">
        <v>4418</v>
      </c>
      <c r="D104" s="7">
        <v>46163</v>
      </c>
      <c r="E104" s="7">
        <v>46163</v>
      </c>
      <c r="F104" s="122" t="s">
        <v>4421</v>
      </c>
      <c r="H104" t="s">
        <v>4422</v>
      </c>
      <c r="I104" t="s">
        <v>4423</v>
      </c>
    </row>
    <row r="105" spans="1:9" ht="28.5">
      <c r="A105" t="s">
        <v>239</v>
      </c>
      <c r="B105" t="s">
        <v>240</v>
      </c>
      <c r="C105" t="s">
        <v>4424</v>
      </c>
      <c r="D105" s="7">
        <v>46163</v>
      </c>
      <c r="E105" s="7">
        <v>46163</v>
      </c>
      <c r="F105" s="122" t="s">
        <v>4425</v>
      </c>
      <c r="H105" t="s">
        <v>261</v>
      </c>
      <c r="I105" t="s">
        <v>4426</v>
      </c>
    </row>
    <row r="106" spans="1:9" ht="42.75">
      <c r="A106" t="s">
        <v>239</v>
      </c>
      <c r="B106" t="s">
        <v>240</v>
      </c>
      <c r="C106" t="s">
        <v>4424</v>
      </c>
      <c r="D106" s="7">
        <v>46163</v>
      </c>
      <c r="E106" s="7">
        <v>46163</v>
      </c>
      <c r="F106" s="122" t="s">
        <v>4427</v>
      </c>
      <c r="H106" t="s">
        <v>433</v>
      </c>
      <c r="I106" t="s">
        <v>4428</v>
      </c>
    </row>
    <row r="107" spans="1:9" ht="28.5">
      <c r="A107" t="s">
        <v>239</v>
      </c>
      <c r="B107" t="s">
        <v>240</v>
      </c>
      <c r="C107" t="s">
        <v>4429</v>
      </c>
      <c r="D107" s="7">
        <v>46164</v>
      </c>
      <c r="E107" s="7">
        <v>46164</v>
      </c>
      <c r="F107" s="122" t="s">
        <v>4849</v>
      </c>
      <c r="G107" t="s">
        <v>4430</v>
      </c>
      <c r="I107" t="s">
        <v>4431</v>
      </c>
    </row>
    <row r="108" spans="1:9" ht="42.75">
      <c r="A108" t="s">
        <v>239</v>
      </c>
      <c r="B108" t="s">
        <v>240</v>
      </c>
      <c r="C108" t="s">
        <v>4432</v>
      </c>
      <c r="D108" s="7">
        <v>46164</v>
      </c>
      <c r="E108" s="7">
        <v>46164</v>
      </c>
      <c r="F108" s="122" t="s">
        <v>4433</v>
      </c>
      <c r="H108" t="s">
        <v>261</v>
      </c>
      <c r="I108" t="s">
        <v>4434</v>
      </c>
    </row>
    <row r="109" spans="1:9" ht="28.5">
      <c r="A109" t="s">
        <v>239</v>
      </c>
      <c r="B109" t="s">
        <v>240</v>
      </c>
      <c r="C109" t="s">
        <v>4432</v>
      </c>
      <c r="D109" s="7">
        <v>46164</v>
      </c>
      <c r="E109" s="7">
        <v>46164</v>
      </c>
      <c r="F109" s="122" t="s">
        <v>4435</v>
      </c>
      <c r="H109" t="s">
        <v>1032</v>
      </c>
      <c r="I109" t="s">
        <v>4436</v>
      </c>
    </row>
    <row r="110" spans="1:9" ht="42.75">
      <c r="A110" t="s">
        <v>239</v>
      </c>
      <c r="B110" t="s">
        <v>240</v>
      </c>
      <c r="C110" t="s">
        <v>4437</v>
      </c>
      <c r="D110" s="7">
        <v>46164</v>
      </c>
      <c r="E110" s="7">
        <v>46164</v>
      </c>
      <c r="F110" s="122" t="s">
        <v>4438</v>
      </c>
      <c r="H110" t="s">
        <v>261</v>
      </c>
      <c r="I110" t="s">
        <v>4439</v>
      </c>
    </row>
    <row r="111" spans="1:9" ht="28.5">
      <c r="A111" t="s">
        <v>239</v>
      </c>
      <c r="B111" t="s">
        <v>240</v>
      </c>
      <c r="C111" t="s">
        <v>4437</v>
      </c>
      <c r="D111" s="7">
        <v>46164</v>
      </c>
      <c r="E111" s="7">
        <v>46164</v>
      </c>
      <c r="F111" s="122" t="s">
        <v>4440</v>
      </c>
      <c r="H111" t="s">
        <v>4441</v>
      </c>
      <c r="I111" t="s">
        <v>4442</v>
      </c>
    </row>
    <row r="112" spans="1:9" ht="42.75">
      <c r="A112" t="s">
        <v>239</v>
      </c>
      <c r="B112" t="s">
        <v>240</v>
      </c>
      <c r="C112" t="s">
        <v>4443</v>
      </c>
      <c r="D112" s="7">
        <v>46164</v>
      </c>
      <c r="E112" s="7">
        <v>46164</v>
      </c>
      <c r="F112" s="122" t="s">
        <v>4444</v>
      </c>
      <c r="H112" t="s">
        <v>261</v>
      </c>
      <c r="I112" t="s">
        <v>4445</v>
      </c>
    </row>
    <row r="113" spans="1:9" ht="28.5">
      <c r="A113" t="s">
        <v>239</v>
      </c>
      <c r="B113" t="s">
        <v>240</v>
      </c>
      <c r="C113" t="s">
        <v>4443</v>
      </c>
      <c r="D113" s="7">
        <v>46164</v>
      </c>
      <c r="E113" s="7">
        <v>46164</v>
      </c>
      <c r="F113" s="122" t="s">
        <v>4446</v>
      </c>
      <c r="H113" t="s">
        <v>4447</v>
      </c>
      <c r="I113" t="s">
        <v>4448</v>
      </c>
    </row>
    <row r="114" spans="1:9" ht="42.75">
      <c r="A114" t="s">
        <v>239</v>
      </c>
      <c r="B114" t="s">
        <v>240</v>
      </c>
      <c r="C114" t="s">
        <v>4449</v>
      </c>
      <c r="D114" s="7">
        <v>46164</v>
      </c>
      <c r="E114" s="7">
        <v>46164</v>
      </c>
      <c r="F114" s="122" t="s">
        <v>4450</v>
      </c>
      <c r="H114" t="s">
        <v>261</v>
      </c>
      <c r="I114" t="s">
        <v>4451</v>
      </c>
    </row>
    <row r="115" spans="1:9" ht="28.5">
      <c r="A115" t="s">
        <v>239</v>
      </c>
      <c r="B115" t="s">
        <v>240</v>
      </c>
      <c r="C115" t="s">
        <v>4449</v>
      </c>
      <c r="D115" s="7">
        <v>46164</v>
      </c>
      <c r="E115" s="7">
        <v>46164</v>
      </c>
      <c r="F115" s="122" t="s">
        <v>4452</v>
      </c>
      <c r="H115" t="s">
        <v>4453</v>
      </c>
      <c r="I115" t="s">
        <v>4454</v>
      </c>
    </row>
    <row r="116" spans="1:9" ht="28.5">
      <c r="A116" t="s">
        <v>239</v>
      </c>
      <c r="B116" t="s">
        <v>240</v>
      </c>
      <c r="C116" t="s">
        <v>4455</v>
      </c>
      <c r="D116" s="7">
        <v>46164</v>
      </c>
      <c r="E116" s="7">
        <v>46164</v>
      </c>
      <c r="F116" s="122" t="s">
        <v>4456</v>
      </c>
      <c r="H116" t="s">
        <v>254</v>
      </c>
      <c r="I116" t="s">
        <v>4457</v>
      </c>
    </row>
    <row r="117" spans="1:9" ht="42.75">
      <c r="A117" t="s">
        <v>239</v>
      </c>
      <c r="B117" t="s">
        <v>240</v>
      </c>
      <c r="C117" t="s">
        <v>4455</v>
      </c>
      <c r="D117" s="7">
        <v>46164</v>
      </c>
      <c r="E117" s="7">
        <v>46164</v>
      </c>
      <c r="F117" s="122" t="s">
        <v>4458</v>
      </c>
      <c r="H117" t="s">
        <v>756</v>
      </c>
      <c r="I117" t="s">
        <v>4459</v>
      </c>
    </row>
    <row r="118" spans="1:9" ht="28.5">
      <c r="A118" t="s">
        <v>239</v>
      </c>
      <c r="B118" t="s">
        <v>240</v>
      </c>
      <c r="C118" t="s">
        <v>4460</v>
      </c>
      <c r="D118" s="7">
        <v>46165</v>
      </c>
      <c r="E118" s="7">
        <v>46165</v>
      </c>
      <c r="F118" s="122" t="s">
        <v>4461</v>
      </c>
      <c r="H118" t="s">
        <v>254</v>
      </c>
      <c r="I118" t="s">
        <v>4462</v>
      </c>
    </row>
    <row r="119" spans="1:9" ht="42.75">
      <c r="A119" t="s">
        <v>239</v>
      </c>
      <c r="B119" t="s">
        <v>240</v>
      </c>
      <c r="C119" t="s">
        <v>4460</v>
      </c>
      <c r="D119" s="7">
        <v>46165</v>
      </c>
      <c r="E119" s="7">
        <v>46165</v>
      </c>
      <c r="F119" s="122" t="s">
        <v>4463</v>
      </c>
      <c r="H119" t="s">
        <v>277</v>
      </c>
      <c r="I119" t="s">
        <v>4464</v>
      </c>
    </row>
    <row r="120" spans="1:9" ht="42.75">
      <c r="A120" t="s">
        <v>239</v>
      </c>
      <c r="B120" t="s">
        <v>240</v>
      </c>
      <c r="C120" t="s">
        <v>4465</v>
      </c>
      <c r="D120" s="7">
        <v>46165</v>
      </c>
      <c r="E120" s="7">
        <v>46165</v>
      </c>
      <c r="F120" s="122" t="s">
        <v>4466</v>
      </c>
      <c r="H120" t="s">
        <v>4467</v>
      </c>
      <c r="I120" t="s">
        <v>4468</v>
      </c>
    </row>
    <row r="121" spans="1:9" ht="42.75">
      <c r="A121" t="s">
        <v>239</v>
      </c>
      <c r="B121" t="s">
        <v>240</v>
      </c>
      <c r="C121" t="s">
        <v>4469</v>
      </c>
      <c r="D121" s="7">
        <v>46165</v>
      </c>
      <c r="E121" s="7">
        <v>46165</v>
      </c>
      <c r="F121" s="122" t="s">
        <v>4470</v>
      </c>
      <c r="H121" t="s">
        <v>433</v>
      </c>
      <c r="I121" t="s">
        <v>4471</v>
      </c>
    </row>
    <row r="122" spans="1:9" ht="28.5">
      <c r="A122" t="s">
        <v>239</v>
      </c>
      <c r="B122" t="s">
        <v>240</v>
      </c>
      <c r="C122" t="s">
        <v>4472</v>
      </c>
      <c r="D122" s="7">
        <v>46165</v>
      </c>
      <c r="E122" s="7">
        <v>46165</v>
      </c>
      <c r="F122" s="122" t="s">
        <v>4473</v>
      </c>
      <c r="H122" t="s">
        <v>4474</v>
      </c>
      <c r="I122" t="s">
        <v>4475</v>
      </c>
    </row>
    <row r="123" spans="1:9" ht="28.5">
      <c r="A123" t="s">
        <v>239</v>
      </c>
      <c r="B123" t="s">
        <v>240</v>
      </c>
      <c r="C123" t="s">
        <v>4476</v>
      </c>
      <c r="D123" s="7">
        <v>46165</v>
      </c>
      <c r="E123" s="7">
        <v>46165</v>
      </c>
      <c r="F123" s="122" t="s">
        <v>4477</v>
      </c>
      <c r="H123" t="s">
        <v>261</v>
      </c>
      <c r="I123" t="s">
        <v>4478</v>
      </c>
    </row>
    <row r="124" spans="1:9" ht="42.75">
      <c r="A124" t="s">
        <v>239</v>
      </c>
      <c r="B124" t="s">
        <v>240</v>
      </c>
      <c r="C124" t="s">
        <v>4476</v>
      </c>
      <c r="D124" s="7">
        <v>46165</v>
      </c>
      <c r="E124" s="7">
        <v>46165</v>
      </c>
      <c r="F124" s="122" t="s">
        <v>4479</v>
      </c>
      <c r="H124" t="s">
        <v>1344</v>
      </c>
      <c r="I124" t="s">
        <v>4480</v>
      </c>
    </row>
    <row r="125" spans="1:9">
      <c r="A125" t="s">
        <v>239</v>
      </c>
      <c r="B125" t="s">
        <v>240</v>
      </c>
      <c r="C125" t="s">
        <v>4481</v>
      </c>
      <c r="D125" s="7">
        <v>46167</v>
      </c>
      <c r="E125" s="7">
        <v>46167</v>
      </c>
      <c r="F125" s="122" t="s">
        <v>732</v>
      </c>
      <c r="H125" t="s">
        <v>254</v>
      </c>
      <c r="I125" t="s">
        <v>4482</v>
      </c>
    </row>
    <row r="126" spans="1:9" ht="28.5">
      <c r="A126" t="s">
        <v>239</v>
      </c>
      <c r="B126" t="s">
        <v>240</v>
      </c>
      <c r="C126" t="s">
        <v>4481</v>
      </c>
      <c r="D126" s="7">
        <v>46167</v>
      </c>
      <c r="E126" s="7">
        <v>46167</v>
      </c>
      <c r="F126" s="122" t="s">
        <v>734</v>
      </c>
      <c r="H126" t="s">
        <v>4483</v>
      </c>
      <c r="I126" t="s">
        <v>4484</v>
      </c>
    </row>
    <row r="127" spans="1:9">
      <c r="A127" t="s">
        <v>239</v>
      </c>
      <c r="B127" t="s">
        <v>240</v>
      </c>
      <c r="C127" t="s">
        <v>4485</v>
      </c>
      <c r="D127" s="7">
        <v>46167</v>
      </c>
      <c r="E127" s="7">
        <v>46167</v>
      </c>
      <c r="F127" s="122" t="s">
        <v>738</v>
      </c>
      <c r="H127" t="s">
        <v>254</v>
      </c>
      <c r="I127" t="s">
        <v>4486</v>
      </c>
    </row>
    <row r="128" spans="1:9" ht="28.5">
      <c r="A128" t="s">
        <v>239</v>
      </c>
      <c r="B128" t="s">
        <v>240</v>
      </c>
      <c r="C128" t="s">
        <v>4485</v>
      </c>
      <c r="D128" s="7">
        <v>46167</v>
      </c>
      <c r="E128" s="7">
        <v>46167</v>
      </c>
      <c r="F128" s="122" t="s">
        <v>740</v>
      </c>
      <c r="H128" t="s">
        <v>4487</v>
      </c>
      <c r="I128" t="s">
        <v>4488</v>
      </c>
    </row>
    <row r="129" spans="1:9" ht="42.75">
      <c r="A129" t="s">
        <v>239</v>
      </c>
      <c r="B129" t="s">
        <v>240</v>
      </c>
      <c r="C129" t="s">
        <v>4489</v>
      </c>
      <c r="D129" s="7">
        <v>46167</v>
      </c>
      <c r="E129" s="7">
        <v>46167</v>
      </c>
      <c r="F129" s="122" t="s">
        <v>4490</v>
      </c>
      <c r="H129" t="s">
        <v>4491</v>
      </c>
      <c r="I129" t="s">
        <v>4492</v>
      </c>
    </row>
    <row r="130" spans="1:9" ht="28.5">
      <c r="A130" t="s">
        <v>239</v>
      </c>
      <c r="B130" t="s">
        <v>240</v>
      </c>
      <c r="C130" t="s">
        <v>4493</v>
      </c>
      <c r="D130" s="7">
        <v>46168</v>
      </c>
      <c r="E130" s="7">
        <v>46168</v>
      </c>
      <c r="F130" s="122" t="s">
        <v>4494</v>
      </c>
      <c r="H130" t="s">
        <v>261</v>
      </c>
      <c r="I130" t="s">
        <v>4495</v>
      </c>
    </row>
    <row r="131" spans="1:9" ht="42.75">
      <c r="A131" t="s">
        <v>239</v>
      </c>
      <c r="B131" t="s">
        <v>240</v>
      </c>
      <c r="C131" t="s">
        <v>4493</v>
      </c>
      <c r="D131" s="7">
        <v>46168</v>
      </c>
      <c r="E131" s="7">
        <v>46168</v>
      </c>
      <c r="F131" s="122" t="s">
        <v>4496</v>
      </c>
      <c r="H131" t="s">
        <v>4497</v>
      </c>
      <c r="I131" t="s">
        <v>4498</v>
      </c>
    </row>
    <row r="132" spans="1:9" ht="28.5">
      <c r="A132" t="s">
        <v>239</v>
      </c>
      <c r="B132" t="s">
        <v>240</v>
      </c>
      <c r="C132" t="s">
        <v>4499</v>
      </c>
      <c r="D132" s="7">
        <v>46171</v>
      </c>
      <c r="E132" s="7">
        <v>46171</v>
      </c>
      <c r="F132" s="122" t="s">
        <v>4889</v>
      </c>
      <c r="G132" t="s">
        <v>833</v>
      </c>
      <c r="I132" t="s">
        <v>4501</v>
      </c>
    </row>
    <row r="133" spans="1:9" ht="28.5">
      <c r="A133" t="s">
        <v>239</v>
      </c>
      <c r="B133" t="s">
        <v>240</v>
      </c>
      <c r="C133" t="s">
        <v>4502</v>
      </c>
      <c r="D133" s="7">
        <v>46172</v>
      </c>
      <c r="E133" s="7">
        <v>46172</v>
      </c>
      <c r="F133" s="122" t="s">
        <v>4503</v>
      </c>
      <c r="H133" t="s">
        <v>261</v>
      </c>
      <c r="I133" t="s">
        <v>4504</v>
      </c>
    </row>
    <row r="134" spans="1:9" ht="42.75">
      <c r="A134" t="s">
        <v>239</v>
      </c>
      <c r="B134" t="s">
        <v>240</v>
      </c>
      <c r="C134" t="s">
        <v>4502</v>
      </c>
      <c r="D134" s="7">
        <v>46172</v>
      </c>
      <c r="E134" s="7">
        <v>46172</v>
      </c>
      <c r="F134" s="122" t="s">
        <v>4505</v>
      </c>
      <c r="H134" t="s">
        <v>277</v>
      </c>
      <c r="I134" t="s">
        <v>4506</v>
      </c>
    </row>
    <row r="135" spans="1:9" ht="28.5">
      <c r="A135" t="s">
        <v>239</v>
      </c>
      <c r="B135" t="s">
        <v>240</v>
      </c>
      <c r="C135" t="s">
        <v>4507</v>
      </c>
      <c r="D135" s="7">
        <v>46172</v>
      </c>
      <c r="E135" s="7">
        <v>46172</v>
      </c>
      <c r="F135" s="122" t="s">
        <v>4508</v>
      </c>
      <c r="G135" t="s">
        <v>433</v>
      </c>
      <c r="I135" t="s">
        <v>4509</v>
      </c>
    </row>
    <row r="136" spans="1:9" ht="28.5">
      <c r="A136" t="s">
        <v>239</v>
      </c>
      <c r="B136" t="s">
        <v>240</v>
      </c>
      <c r="C136" t="s">
        <v>4510</v>
      </c>
      <c r="D136" s="7">
        <v>46172</v>
      </c>
      <c r="E136" s="7">
        <v>46172</v>
      </c>
      <c r="F136" s="122" t="s">
        <v>2705</v>
      </c>
      <c r="H136" t="s">
        <v>243</v>
      </c>
      <c r="I136" t="s">
        <v>4511</v>
      </c>
    </row>
    <row r="137" spans="1:9" ht="28.5">
      <c r="A137" t="s">
        <v>239</v>
      </c>
      <c r="B137" t="s">
        <v>240</v>
      </c>
      <c r="C137" t="s">
        <v>4510</v>
      </c>
      <c r="D137" s="7">
        <v>46172</v>
      </c>
      <c r="E137" s="7">
        <v>46172</v>
      </c>
      <c r="F137" s="122" t="s">
        <v>2707</v>
      </c>
      <c r="H137" t="s">
        <v>1472</v>
      </c>
      <c r="I137" t="s">
        <v>4512</v>
      </c>
    </row>
    <row r="138" spans="1:9" ht="28.5">
      <c r="A138" t="s">
        <v>239</v>
      </c>
      <c r="B138" t="s">
        <v>240</v>
      </c>
      <c r="C138" t="s">
        <v>4513</v>
      </c>
      <c r="D138" s="7">
        <v>46172</v>
      </c>
      <c r="E138" s="7">
        <v>46172</v>
      </c>
      <c r="F138" s="122" t="s">
        <v>4514</v>
      </c>
      <c r="H138" t="s">
        <v>1839</v>
      </c>
      <c r="I138" t="s">
        <v>4515</v>
      </c>
    </row>
    <row r="139" spans="1:9" ht="28.5">
      <c r="A139" t="s">
        <v>239</v>
      </c>
      <c r="B139" t="s">
        <v>240</v>
      </c>
      <c r="C139" t="s">
        <v>4513</v>
      </c>
      <c r="D139" s="7">
        <v>46172</v>
      </c>
      <c r="E139" s="7">
        <v>46172</v>
      </c>
      <c r="F139" s="122" t="s">
        <v>4516</v>
      </c>
      <c r="H139" t="s">
        <v>833</v>
      </c>
      <c r="I139" t="s">
        <v>4517</v>
      </c>
    </row>
    <row r="140" spans="1:9" ht="28.5">
      <c r="A140" t="s">
        <v>239</v>
      </c>
      <c r="B140" t="s">
        <v>240</v>
      </c>
      <c r="C140" t="s">
        <v>4518</v>
      </c>
      <c r="D140" s="7">
        <v>46172</v>
      </c>
      <c r="E140" s="7">
        <v>46172</v>
      </c>
      <c r="F140" s="122" t="s">
        <v>4519</v>
      </c>
      <c r="H140" t="s">
        <v>254</v>
      </c>
      <c r="I140" t="s">
        <v>4520</v>
      </c>
    </row>
    <row r="141" spans="1:9" ht="28.5">
      <c r="A141" t="s">
        <v>239</v>
      </c>
      <c r="B141" t="s">
        <v>240</v>
      </c>
      <c r="C141" t="s">
        <v>4518</v>
      </c>
      <c r="D141" s="7">
        <v>46172</v>
      </c>
      <c r="E141" s="7">
        <v>46172</v>
      </c>
      <c r="F141" s="122" t="s">
        <v>4521</v>
      </c>
      <c r="H141" t="s">
        <v>423</v>
      </c>
      <c r="I141" t="s">
        <v>4522</v>
      </c>
    </row>
    <row r="142" spans="1:9" ht="28.5">
      <c r="A142" t="s">
        <v>239</v>
      </c>
      <c r="B142" t="s">
        <v>240</v>
      </c>
      <c r="C142" t="s">
        <v>4523</v>
      </c>
      <c r="D142" s="7">
        <v>46172</v>
      </c>
      <c r="E142" s="7">
        <v>46172</v>
      </c>
      <c r="F142" s="122" t="s">
        <v>4524</v>
      </c>
      <c r="H142" t="s">
        <v>261</v>
      </c>
      <c r="I142" t="s">
        <v>4525</v>
      </c>
    </row>
    <row r="143" spans="1:9" ht="28.5">
      <c r="A143" t="s">
        <v>239</v>
      </c>
      <c r="B143" t="s">
        <v>240</v>
      </c>
      <c r="C143" t="s">
        <v>4523</v>
      </c>
      <c r="D143" s="7">
        <v>46172</v>
      </c>
      <c r="E143" s="7">
        <v>46172</v>
      </c>
      <c r="F143" s="122" t="s">
        <v>4526</v>
      </c>
      <c r="H143" t="s">
        <v>3393</v>
      </c>
      <c r="I143" t="s">
        <v>4527</v>
      </c>
    </row>
    <row r="144" spans="1:9">
      <c r="B144" t="s">
        <v>240</v>
      </c>
      <c r="C144" t="s">
        <v>4528</v>
      </c>
      <c r="D144" s="7">
        <v>46173</v>
      </c>
      <c r="E144" s="7">
        <v>46173</v>
      </c>
      <c r="F144" s="122" t="s">
        <v>4529</v>
      </c>
      <c r="H144" t="s">
        <v>250</v>
      </c>
      <c r="I144" t="s">
        <v>4530</v>
      </c>
    </row>
    <row r="145" spans="1:9">
      <c r="A145" t="s">
        <v>239</v>
      </c>
      <c r="B145" t="s">
        <v>240</v>
      </c>
      <c r="C145" t="s">
        <v>4531</v>
      </c>
      <c r="D145" s="7">
        <v>46173</v>
      </c>
      <c r="E145" s="7">
        <v>46173</v>
      </c>
      <c r="F145" s="122" t="s">
        <v>948</v>
      </c>
      <c r="H145" t="s">
        <v>4532</v>
      </c>
      <c r="I145" t="s">
        <v>4533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opLeftCell="G23" zoomScaleNormal="100" workbookViewId="0">
      <selection activeCell="F32" sqref="F32"/>
    </sheetView>
  </sheetViews>
  <sheetFormatPr defaultRowHeight="14.25"/>
  <cols>
    <col min="1" max="1" width="18" customWidth="1"/>
    <col min="2" max="2" width="7.375" customWidth="1"/>
    <col min="3" max="3" width="18" customWidth="1"/>
    <col min="4" max="4" width="12.125" customWidth="1"/>
    <col min="5" max="5" width="16.125" customWidth="1"/>
    <col min="6" max="6" width="110.625" customWidth="1"/>
    <col min="7" max="7" width="13.5" customWidth="1"/>
    <col min="8" max="8" width="14" customWidth="1"/>
    <col min="9" max="9" width="17.25" customWidth="1"/>
  </cols>
  <sheetData>
    <row r="1" spans="1:9" ht="15">
      <c r="A1" s="175" t="s">
        <v>223</v>
      </c>
      <c r="B1" s="175" t="s">
        <v>224</v>
      </c>
      <c r="C1" s="175" t="s">
        <v>225</v>
      </c>
      <c r="D1" s="175" t="s">
        <v>226</v>
      </c>
      <c r="E1" s="175" t="s">
        <v>227</v>
      </c>
      <c r="F1" s="176" t="s">
        <v>228</v>
      </c>
      <c r="G1" s="176" t="s">
        <v>229</v>
      </c>
      <c r="H1" s="176" t="s">
        <v>230</v>
      </c>
      <c r="I1" s="176" t="s">
        <v>231</v>
      </c>
    </row>
    <row r="2" spans="1:9">
      <c r="A2" t="s">
        <v>4535</v>
      </c>
      <c r="B2" t="s">
        <v>240</v>
      </c>
      <c r="C2" t="s">
        <v>3894</v>
      </c>
      <c r="D2" s="177">
        <v>46143</v>
      </c>
      <c r="E2" s="177">
        <v>46143</v>
      </c>
      <c r="F2" s="120" t="s">
        <v>3895</v>
      </c>
      <c r="G2" s="178"/>
      <c r="H2" s="178">
        <v>100</v>
      </c>
      <c r="I2" s="178">
        <v>2932018</v>
      </c>
    </row>
    <row r="3" spans="1:9">
      <c r="A3" t="s">
        <v>4535</v>
      </c>
      <c r="B3" t="s">
        <v>240</v>
      </c>
      <c r="C3" t="s">
        <v>3894</v>
      </c>
      <c r="D3" s="177">
        <v>46143</v>
      </c>
      <c r="E3" s="177">
        <v>46143</v>
      </c>
      <c r="F3" s="120" t="s">
        <v>3897</v>
      </c>
      <c r="G3" s="178"/>
      <c r="H3" s="178">
        <v>80000</v>
      </c>
      <c r="I3" s="178">
        <v>2852018</v>
      </c>
    </row>
    <row r="4" spans="1:9">
      <c r="A4" t="s">
        <v>4535</v>
      </c>
      <c r="B4" t="s">
        <v>240</v>
      </c>
      <c r="C4" t="s">
        <v>3899</v>
      </c>
      <c r="D4" s="177">
        <v>46143</v>
      </c>
      <c r="E4" s="177">
        <v>46143</v>
      </c>
      <c r="F4" s="120" t="s">
        <v>3900</v>
      </c>
      <c r="G4" s="178"/>
      <c r="H4" s="178">
        <v>200</v>
      </c>
      <c r="I4" s="178">
        <v>2851818</v>
      </c>
    </row>
    <row r="5" spans="1:9" ht="28.5">
      <c r="A5" t="s">
        <v>4535</v>
      </c>
      <c r="B5" t="s">
        <v>240</v>
      </c>
      <c r="C5" t="s">
        <v>3899</v>
      </c>
      <c r="D5" s="177">
        <v>46143</v>
      </c>
      <c r="E5" s="177">
        <v>46143</v>
      </c>
      <c r="F5" s="120" t="s">
        <v>3902</v>
      </c>
      <c r="G5" s="178"/>
      <c r="H5" s="178">
        <v>90000</v>
      </c>
      <c r="I5" s="178">
        <v>2761818</v>
      </c>
    </row>
    <row r="6" spans="1:9">
      <c r="A6" t="s">
        <v>4535</v>
      </c>
      <c r="B6" t="s">
        <v>240</v>
      </c>
      <c r="C6" t="s">
        <v>3904</v>
      </c>
      <c r="D6" s="177">
        <v>46143</v>
      </c>
      <c r="E6" s="177">
        <v>46143</v>
      </c>
      <c r="F6" s="120" t="s">
        <v>2705</v>
      </c>
      <c r="G6" s="178"/>
      <c r="H6" s="178">
        <v>1350</v>
      </c>
      <c r="I6" s="178">
        <v>2760468</v>
      </c>
    </row>
    <row r="7" spans="1:9">
      <c r="A7" t="s">
        <v>4535</v>
      </c>
      <c r="B7" t="s">
        <v>240</v>
      </c>
      <c r="C7" t="s">
        <v>3904</v>
      </c>
      <c r="D7" s="177">
        <v>46143</v>
      </c>
      <c r="E7" s="177">
        <v>46143</v>
      </c>
      <c r="F7" s="120" t="s">
        <v>2707</v>
      </c>
      <c r="G7" s="178"/>
      <c r="H7" s="178">
        <v>486000</v>
      </c>
      <c r="I7" s="178">
        <v>2274468</v>
      </c>
    </row>
    <row r="8" spans="1:9" ht="28.5">
      <c r="A8" t="s">
        <v>4535</v>
      </c>
      <c r="B8" t="s">
        <v>240</v>
      </c>
      <c r="C8" t="s">
        <v>3907</v>
      </c>
      <c r="D8" s="177">
        <v>46143</v>
      </c>
      <c r="E8" s="177">
        <v>46143</v>
      </c>
      <c r="F8" s="120" t="s">
        <v>2802</v>
      </c>
      <c r="G8" s="178"/>
      <c r="H8" s="178">
        <v>70000</v>
      </c>
      <c r="I8" s="178">
        <v>2204468</v>
      </c>
    </row>
    <row r="9" spans="1:9">
      <c r="A9" t="s">
        <v>4535</v>
      </c>
      <c r="B9" t="s">
        <v>240</v>
      </c>
      <c r="C9" t="s">
        <v>3909</v>
      </c>
      <c r="D9" s="177">
        <v>46143</v>
      </c>
      <c r="E9" s="177">
        <v>46143</v>
      </c>
      <c r="F9" s="120" t="s">
        <v>3443</v>
      </c>
      <c r="G9" s="178">
        <v>740000</v>
      </c>
      <c r="H9" s="178"/>
      <c r="I9" s="178">
        <v>2944468</v>
      </c>
    </row>
    <row r="10" spans="1:9">
      <c r="A10" t="s">
        <v>4535</v>
      </c>
      <c r="B10" t="s">
        <v>240</v>
      </c>
      <c r="C10" t="s">
        <v>3911</v>
      </c>
      <c r="D10" s="177">
        <v>46143</v>
      </c>
      <c r="E10" s="177">
        <v>46143</v>
      </c>
      <c r="F10" s="120" t="s">
        <v>3912</v>
      </c>
      <c r="G10" s="178"/>
      <c r="H10" s="178">
        <v>200</v>
      </c>
      <c r="I10" s="178">
        <v>2944268</v>
      </c>
    </row>
    <row r="11" spans="1:9" ht="28.5">
      <c r="A11" t="s">
        <v>4535</v>
      </c>
      <c r="B11" t="s">
        <v>240</v>
      </c>
      <c r="C11" t="s">
        <v>3911</v>
      </c>
      <c r="D11" s="177">
        <v>46143</v>
      </c>
      <c r="E11" s="177">
        <v>46143</v>
      </c>
      <c r="F11" s="120" t="s">
        <v>4276</v>
      </c>
      <c r="G11" s="178"/>
      <c r="H11" s="178">
        <v>57000</v>
      </c>
      <c r="I11" s="178">
        <v>2887268</v>
      </c>
    </row>
    <row r="12" spans="1:9">
      <c r="A12" t="s">
        <v>4535</v>
      </c>
      <c r="B12" t="s">
        <v>240</v>
      </c>
      <c r="C12" t="s">
        <v>3915</v>
      </c>
      <c r="D12" s="177">
        <v>46143</v>
      </c>
      <c r="E12" s="177">
        <v>46143</v>
      </c>
      <c r="F12" s="120" t="s">
        <v>4278</v>
      </c>
      <c r="G12" s="178">
        <v>330000</v>
      </c>
      <c r="H12" s="178"/>
      <c r="I12" s="178">
        <v>3217268</v>
      </c>
    </row>
    <row r="13" spans="1:9">
      <c r="A13" t="s">
        <v>4535</v>
      </c>
      <c r="B13" t="s">
        <v>240</v>
      </c>
      <c r="C13" t="s">
        <v>3917</v>
      </c>
      <c r="D13" s="177">
        <v>46143</v>
      </c>
      <c r="E13" s="177">
        <v>46143</v>
      </c>
      <c r="F13" s="120" t="s">
        <v>3918</v>
      </c>
      <c r="G13" s="178"/>
      <c r="H13" s="178">
        <v>200</v>
      </c>
      <c r="I13" s="178">
        <v>3217068</v>
      </c>
    </row>
    <row r="14" spans="1:9" ht="28.5">
      <c r="A14" t="s">
        <v>4535</v>
      </c>
      <c r="B14" t="s">
        <v>240</v>
      </c>
      <c r="C14" t="s">
        <v>3917</v>
      </c>
      <c r="D14" s="177">
        <v>46143</v>
      </c>
      <c r="E14" s="177">
        <v>46143</v>
      </c>
      <c r="F14" s="120" t="s">
        <v>3920</v>
      </c>
      <c r="G14" s="178"/>
      <c r="H14" s="178">
        <v>15000</v>
      </c>
      <c r="I14" s="178">
        <v>3202068</v>
      </c>
    </row>
    <row r="15" spans="1:9">
      <c r="A15" t="s">
        <v>4535</v>
      </c>
      <c r="B15" t="s">
        <v>240</v>
      </c>
      <c r="C15" t="s">
        <v>3922</v>
      </c>
      <c r="D15" s="177">
        <v>46143</v>
      </c>
      <c r="E15" s="177">
        <v>46143</v>
      </c>
      <c r="F15" s="120" t="s">
        <v>3923</v>
      </c>
      <c r="G15" s="178"/>
      <c r="H15" s="178">
        <v>1350</v>
      </c>
      <c r="I15" s="178">
        <v>3200718</v>
      </c>
    </row>
    <row r="16" spans="1:9">
      <c r="A16" t="s">
        <v>4535</v>
      </c>
      <c r="B16" t="s">
        <v>240</v>
      </c>
      <c r="C16" t="s">
        <v>3922</v>
      </c>
      <c r="D16" s="177">
        <v>46143</v>
      </c>
      <c r="E16" s="177">
        <v>46143</v>
      </c>
      <c r="F16" s="120" t="s">
        <v>3925</v>
      </c>
      <c r="G16" s="178"/>
      <c r="H16" s="178">
        <v>190000</v>
      </c>
      <c r="I16" s="178">
        <v>3010718</v>
      </c>
    </row>
    <row r="17" spans="1:9" ht="28.5">
      <c r="A17" t="s">
        <v>4535</v>
      </c>
      <c r="B17" t="s">
        <v>240</v>
      </c>
      <c r="C17" t="s">
        <v>3927</v>
      </c>
      <c r="D17" s="177">
        <v>46143</v>
      </c>
      <c r="E17" s="177">
        <v>46143</v>
      </c>
      <c r="F17" s="120" t="s">
        <v>3928</v>
      </c>
      <c r="G17" s="178"/>
      <c r="H17" s="178">
        <v>100</v>
      </c>
      <c r="I17" s="178">
        <v>3010618</v>
      </c>
    </row>
    <row r="18" spans="1:9" ht="28.5">
      <c r="A18" t="s">
        <v>4535</v>
      </c>
      <c r="B18" t="s">
        <v>240</v>
      </c>
      <c r="C18" t="s">
        <v>3927</v>
      </c>
      <c r="D18" s="177">
        <v>46143</v>
      </c>
      <c r="E18" s="177">
        <v>46143</v>
      </c>
      <c r="F18" s="120" t="s">
        <v>3930</v>
      </c>
      <c r="G18" s="178"/>
      <c r="H18" s="178">
        <v>10000</v>
      </c>
      <c r="I18" s="178">
        <v>3000618</v>
      </c>
    </row>
    <row r="19" spans="1:9" ht="28.5">
      <c r="A19" t="s">
        <v>4535</v>
      </c>
      <c r="B19" t="s">
        <v>240</v>
      </c>
      <c r="C19" t="s">
        <v>3932</v>
      </c>
      <c r="D19" s="177">
        <v>46144</v>
      </c>
      <c r="E19" s="177">
        <v>46144</v>
      </c>
      <c r="F19" s="120" t="s">
        <v>3933</v>
      </c>
      <c r="G19" s="178"/>
      <c r="H19" s="178">
        <v>200</v>
      </c>
      <c r="I19" s="178">
        <v>3000418</v>
      </c>
    </row>
    <row r="20" spans="1:9" ht="28.5">
      <c r="A20" t="s">
        <v>4535</v>
      </c>
      <c r="B20" t="s">
        <v>240</v>
      </c>
      <c r="C20" t="s">
        <v>3932</v>
      </c>
      <c r="D20" s="177">
        <v>46144</v>
      </c>
      <c r="E20" s="177">
        <v>46144</v>
      </c>
      <c r="F20" s="120" t="s">
        <v>3935</v>
      </c>
      <c r="G20" s="178"/>
      <c r="H20" s="178">
        <v>17500</v>
      </c>
      <c r="I20" s="178">
        <v>2982918</v>
      </c>
    </row>
    <row r="21" spans="1:9">
      <c r="A21" t="s">
        <v>4535</v>
      </c>
      <c r="B21" t="s">
        <v>240</v>
      </c>
      <c r="C21" t="s">
        <v>3937</v>
      </c>
      <c r="D21" s="177">
        <v>46144</v>
      </c>
      <c r="E21" s="177">
        <v>46144</v>
      </c>
      <c r="F21" s="120" t="s">
        <v>4280</v>
      </c>
      <c r="G21" s="178">
        <v>330000</v>
      </c>
      <c r="H21" s="178"/>
      <c r="I21" s="178">
        <v>3312918</v>
      </c>
    </row>
    <row r="22" spans="1:9">
      <c r="A22" t="s">
        <v>4535</v>
      </c>
      <c r="B22" t="s">
        <v>240</v>
      </c>
      <c r="C22" t="s">
        <v>3939</v>
      </c>
      <c r="D22" s="177">
        <v>46144</v>
      </c>
      <c r="E22" s="177">
        <v>46144</v>
      </c>
      <c r="F22" s="120" t="s">
        <v>4281</v>
      </c>
      <c r="G22" s="178">
        <v>660000</v>
      </c>
      <c r="H22" s="178"/>
      <c r="I22" s="178">
        <v>3972918</v>
      </c>
    </row>
    <row r="23" spans="1:9" ht="28.5">
      <c r="A23" t="s">
        <v>4535</v>
      </c>
      <c r="B23" t="s">
        <v>240</v>
      </c>
      <c r="C23" t="s">
        <v>3941</v>
      </c>
      <c r="D23" s="177">
        <v>46144</v>
      </c>
      <c r="E23" s="177">
        <v>46144</v>
      </c>
      <c r="F23" s="120" t="s">
        <v>3942</v>
      </c>
      <c r="G23" s="178"/>
      <c r="H23" s="178">
        <v>65000</v>
      </c>
      <c r="I23" s="178">
        <v>3907918</v>
      </c>
    </row>
    <row r="24" spans="1:9">
      <c r="A24" t="s">
        <v>4535</v>
      </c>
      <c r="B24" t="s">
        <v>240</v>
      </c>
      <c r="C24" t="s">
        <v>3944</v>
      </c>
      <c r="D24" s="177">
        <v>46145</v>
      </c>
      <c r="E24" s="177">
        <v>46145</v>
      </c>
      <c r="F24" s="120" t="s">
        <v>4282</v>
      </c>
      <c r="G24" s="178">
        <v>1000000</v>
      </c>
      <c r="H24" s="178"/>
      <c r="I24" s="178">
        <v>4907918</v>
      </c>
    </row>
    <row r="25" spans="1:9">
      <c r="A25" t="s">
        <v>4535</v>
      </c>
      <c r="B25" t="s">
        <v>240</v>
      </c>
      <c r="C25" t="s">
        <v>3946</v>
      </c>
      <c r="D25" s="177">
        <v>46145</v>
      </c>
      <c r="E25" s="177">
        <v>46145</v>
      </c>
      <c r="F25" s="120" t="s">
        <v>3947</v>
      </c>
      <c r="G25" s="178"/>
      <c r="H25" s="178">
        <v>200</v>
      </c>
      <c r="I25" s="178">
        <v>4907718</v>
      </c>
    </row>
    <row r="26" spans="1:9" ht="28.5">
      <c r="A26" t="s">
        <v>4535</v>
      </c>
      <c r="B26" t="s">
        <v>240</v>
      </c>
      <c r="C26" t="s">
        <v>3946</v>
      </c>
      <c r="D26" s="177">
        <v>46145</v>
      </c>
      <c r="E26" s="177">
        <v>46145</v>
      </c>
      <c r="F26" s="120" t="s">
        <v>3949</v>
      </c>
      <c r="G26" s="178"/>
      <c r="H26" s="178">
        <v>64000</v>
      </c>
      <c r="I26" s="178">
        <v>4843718</v>
      </c>
    </row>
    <row r="27" spans="1:9">
      <c r="A27" t="s">
        <v>4535</v>
      </c>
      <c r="B27" t="s">
        <v>240</v>
      </c>
      <c r="C27" t="s">
        <v>3951</v>
      </c>
      <c r="D27" s="177">
        <v>46145</v>
      </c>
      <c r="E27" s="177">
        <v>46145</v>
      </c>
      <c r="F27" s="120" t="s">
        <v>3952</v>
      </c>
      <c r="G27" s="178"/>
      <c r="H27" s="178">
        <v>200</v>
      </c>
      <c r="I27" s="178">
        <v>4843518</v>
      </c>
    </row>
    <row r="28" spans="1:9" ht="28.5">
      <c r="A28" t="s">
        <v>4535</v>
      </c>
      <c r="B28" t="s">
        <v>240</v>
      </c>
      <c r="C28" t="s">
        <v>3951</v>
      </c>
      <c r="D28" s="177">
        <v>46145</v>
      </c>
      <c r="E28" s="177">
        <v>46145</v>
      </c>
      <c r="F28" s="120" t="s">
        <v>3954</v>
      </c>
      <c r="G28" s="178"/>
      <c r="H28" s="178">
        <v>14000</v>
      </c>
      <c r="I28" s="178">
        <v>4829518</v>
      </c>
    </row>
    <row r="29" spans="1:9">
      <c r="A29" t="s">
        <v>4535</v>
      </c>
      <c r="B29" t="s">
        <v>240</v>
      </c>
      <c r="C29" t="s">
        <v>3956</v>
      </c>
      <c r="D29" s="177">
        <v>46145</v>
      </c>
      <c r="E29" s="177">
        <v>46145</v>
      </c>
      <c r="F29" s="120" t="s">
        <v>4284</v>
      </c>
      <c r="G29" s="178">
        <v>330000</v>
      </c>
      <c r="H29" s="178"/>
      <c r="I29" s="178">
        <v>5159518</v>
      </c>
    </row>
    <row r="30" spans="1:9">
      <c r="A30" t="s">
        <v>4535</v>
      </c>
      <c r="B30" t="s">
        <v>240</v>
      </c>
      <c r="C30" t="s">
        <v>3958</v>
      </c>
      <c r="D30" s="177">
        <v>46146</v>
      </c>
      <c r="E30" s="177">
        <v>46146</v>
      </c>
      <c r="F30" s="120" t="s">
        <v>3959</v>
      </c>
      <c r="G30" s="178"/>
      <c r="H30" s="178">
        <v>250</v>
      </c>
      <c r="I30" s="178">
        <v>5159268</v>
      </c>
    </row>
    <row r="31" spans="1:9">
      <c r="A31" t="s">
        <v>4535</v>
      </c>
      <c r="B31" t="s">
        <v>240</v>
      </c>
      <c r="C31" t="s">
        <v>3958</v>
      </c>
      <c r="D31" s="177">
        <v>46146</v>
      </c>
      <c r="E31" s="177">
        <v>46146</v>
      </c>
      <c r="F31" s="120" t="s">
        <v>3961</v>
      </c>
      <c r="G31" s="178"/>
      <c r="H31" s="178">
        <v>60000</v>
      </c>
      <c r="I31" s="178">
        <v>5099268</v>
      </c>
    </row>
    <row r="32" spans="1:9">
      <c r="A32" t="s">
        <v>4535</v>
      </c>
      <c r="B32" t="s">
        <v>240</v>
      </c>
      <c r="C32" t="s">
        <v>3963</v>
      </c>
      <c r="D32" s="177">
        <v>46146</v>
      </c>
      <c r="E32" s="177">
        <v>46146</v>
      </c>
      <c r="F32" s="120" t="s">
        <v>4212</v>
      </c>
      <c r="G32" s="178">
        <v>350000</v>
      </c>
      <c r="H32" s="178"/>
      <c r="I32" s="178">
        <v>5449268</v>
      </c>
    </row>
    <row r="33" spans="1:9">
      <c r="A33" t="s">
        <v>4535</v>
      </c>
      <c r="B33" t="s">
        <v>240</v>
      </c>
      <c r="C33" t="s">
        <v>3965</v>
      </c>
      <c r="D33" s="177">
        <v>46147</v>
      </c>
      <c r="E33" s="177">
        <v>46147</v>
      </c>
      <c r="F33" s="120" t="s">
        <v>3966</v>
      </c>
      <c r="G33" s="178"/>
      <c r="H33" s="178">
        <v>100</v>
      </c>
      <c r="I33" s="178">
        <v>5449168</v>
      </c>
    </row>
    <row r="34" spans="1:9" ht="28.5">
      <c r="A34" t="s">
        <v>4535</v>
      </c>
      <c r="B34" t="s">
        <v>240</v>
      </c>
      <c r="C34" t="s">
        <v>3965</v>
      </c>
      <c r="D34" s="177">
        <v>46147</v>
      </c>
      <c r="E34" s="177">
        <v>46147</v>
      </c>
      <c r="F34" s="120" t="s">
        <v>3968</v>
      </c>
      <c r="G34" s="178"/>
      <c r="H34" s="178">
        <v>10000</v>
      </c>
      <c r="I34" s="178">
        <v>5439168</v>
      </c>
    </row>
    <row r="35" spans="1:9">
      <c r="A35" t="s">
        <v>4535</v>
      </c>
      <c r="B35" t="s">
        <v>240</v>
      </c>
      <c r="C35" t="s">
        <v>3970</v>
      </c>
      <c r="D35" s="177">
        <v>46147</v>
      </c>
      <c r="E35" s="177">
        <v>46147</v>
      </c>
      <c r="F35" s="120" t="s">
        <v>2624</v>
      </c>
      <c r="G35" s="178">
        <v>330000</v>
      </c>
      <c r="H35" s="178"/>
      <c r="I35" s="178">
        <v>5769168</v>
      </c>
    </row>
    <row r="36" spans="1:9">
      <c r="A36" t="s">
        <v>4535</v>
      </c>
      <c r="B36" t="s">
        <v>240</v>
      </c>
      <c r="C36" t="s">
        <v>3972</v>
      </c>
      <c r="D36" s="177">
        <v>46147</v>
      </c>
      <c r="E36" s="177">
        <v>46147</v>
      </c>
      <c r="F36" s="120" t="s">
        <v>4286</v>
      </c>
      <c r="G36" s="178">
        <v>250000</v>
      </c>
      <c r="H36" s="178"/>
      <c r="I36" s="178">
        <v>6019168</v>
      </c>
    </row>
    <row r="37" spans="1:9" ht="28.5">
      <c r="A37" t="s">
        <v>4535</v>
      </c>
      <c r="B37" t="s">
        <v>240</v>
      </c>
      <c r="C37" t="s">
        <v>3974</v>
      </c>
      <c r="D37" s="177">
        <v>46147</v>
      </c>
      <c r="E37" s="177">
        <v>46147</v>
      </c>
      <c r="F37" s="120" t="s">
        <v>4287</v>
      </c>
      <c r="G37" s="178">
        <v>330000</v>
      </c>
      <c r="H37" s="178"/>
      <c r="I37" s="178">
        <v>6349168</v>
      </c>
    </row>
    <row r="38" spans="1:9">
      <c r="A38" t="s">
        <v>4535</v>
      </c>
      <c r="B38" t="s">
        <v>240</v>
      </c>
      <c r="C38" t="s">
        <v>3976</v>
      </c>
      <c r="D38" s="177">
        <v>46147</v>
      </c>
      <c r="E38" s="177">
        <v>46147</v>
      </c>
      <c r="F38" s="120" t="s">
        <v>4288</v>
      </c>
      <c r="G38" s="178">
        <v>800000</v>
      </c>
      <c r="H38" s="178"/>
      <c r="I38" s="178">
        <v>7149168</v>
      </c>
    </row>
    <row r="39" spans="1:9">
      <c r="A39" t="s">
        <v>4535</v>
      </c>
      <c r="B39" t="s">
        <v>240</v>
      </c>
      <c r="C39" t="s">
        <v>3978</v>
      </c>
      <c r="D39" s="177">
        <v>46148</v>
      </c>
      <c r="E39" s="177">
        <v>46148</v>
      </c>
      <c r="F39" s="120" t="s">
        <v>4290</v>
      </c>
      <c r="G39" s="178">
        <v>320000</v>
      </c>
      <c r="H39" s="178"/>
      <c r="I39" s="178">
        <v>7469168</v>
      </c>
    </row>
    <row r="40" spans="1:9" ht="28.5">
      <c r="A40" t="s">
        <v>4535</v>
      </c>
      <c r="B40" t="s">
        <v>240</v>
      </c>
      <c r="C40" t="s">
        <v>3980</v>
      </c>
      <c r="D40" s="177">
        <v>46148</v>
      </c>
      <c r="E40" s="177">
        <v>46148</v>
      </c>
      <c r="F40" s="120" t="s">
        <v>3981</v>
      </c>
      <c r="G40" s="178"/>
      <c r="H40" s="178">
        <v>80000</v>
      </c>
      <c r="I40" s="178">
        <v>7389168</v>
      </c>
    </row>
    <row r="41" spans="1:9">
      <c r="A41" t="s">
        <v>4536</v>
      </c>
      <c r="B41" t="s">
        <v>240</v>
      </c>
      <c r="C41" t="s">
        <v>3983</v>
      </c>
      <c r="D41" s="177">
        <v>46148</v>
      </c>
      <c r="E41" s="177">
        <v>46148</v>
      </c>
      <c r="F41" s="120" t="s">
        <v>4292</v>
      </c>
      <c r="G41" s="178">
        <v>370000</v>
      </c>
      <c r="H41" s="178"/>
      <c r="I41" s="178">
        <v>7759168</v>
      </c>
    </row>
    <row r="42" spans="1:9">
      <c r="A42" t="s">
        <v>4535</v>
      </c>
      <c r="B42" t="s">
        <v>240</v>
      </c>
      <c r="C42" t="s">
        <v>3985</v>
      </c>
      <c r="D42" s="177">
        <v>46148</v>
      </c>
      <c r="E42" s="177">
        <v>46148</v>
      </c>
      <c r="F42" s="120" t="s">
        <v>4293</v>
      </c>
      <c r="G42" s="178">
        <v>400000</v>
      </c>
      <c r="H42" s="178"/>
      <c r="I42" s="178">
        <v>8159168</v>
      </c>
    </row>
    <row r="43" spans="1:9" ht="28.5">
      <c r="A43" t="s">
        <v>4535</v>
      </c>
      <c r="B43" t="s">
        <v>240</v>
      </c>
      <c r="C43" t="s">
        <v>3987</v>
      </c>
      <c r="D43" s="177">
        <v>46149</v>
      </c>
      <c r="E43" s="177">
        <v>46149</v>
      </c>
      <c r="F43" s="120" t="s">
        <v>3988</v>
      </c>
      <c r="G43" s="178"/>
      <c r="H43" s="178">
        <v>200</v>
      </c>
      <c r="I43" s="178">
        <v>8158968</v>
      </c>
    </row>
    <row r="44" spans="1:9" ht="28.5">
      <c r="A44" t="s">
        <v>4535</v>
      </c>
      <c r="B44" t="s">
        <v>240</v>
      </c>
      <c r="C44" t="s">
        <v>3987</v>
      </c>
      <c r="D44" s="177">
        <v>46149</v>
      </c>
      <c r="E44" s="177">
        <v>46149</v>
      </c>
      <c r="F44" s="120" t="s">
        <v>3990</v>
      </c>
      <c r="G44" s="178"/>
      <c r="H44" s="178">
        <v>97300</v>
      </c>
      <c r="I44" s="178">
        <v>8061668</v>
      </c>
    </row>
    <row r="45" spans="1:9" ht="28.5">
      <c r="A45" t="s">
        <v>4535</v>
      </c>
      <c r="B45" t="s">
        <v>240</v>
      </c>
      <c r="C45" t="s">
        <v>3992</v>
      </c>
      <c r="D45" s="177">
        <v>46149</v>
      </c>
      <c r="E45" s="177">
        <v>46149</v>
      </c>
      <c r="F45" s="120" t="s">
        <v>3993</v>
      </c>
      <c r="G45" s="178"/>
      <c r="H45" s="178">
        <v>100</v>
      </c>
      <c r="I45" s="178">
        <v>8061568</v>
      </c>
    </row>
    <row r="46" spans="1:9" ht="28.5">
      <c r="A46" t="s">
        <v>4535</v>
      </c>
      <c r="B46" t="s">
        <v>240</v>
      </c>
      <c r="C46" t="s">
        <v>3992</v>
      </c>
      <c r="D46" s="177">
        <v>46149</v>
      </c>
      <c r="E46" s="177">
        <v>46149</v>
      </c>
      <c r="F46" s="120" t="s">
        <v>3995</v>
      </c>
      <c r="G46" s="178"/>
      <c r="H46" s="178">
        <v>200000</v>
      </c>
      <c r="I46" s="178">
        <v>7861568</v>
      </c>
    </row>
    <row r="47" spans="1:9">
      <c r="A47" t="s">
        <v>4535</v>
      </c>
      <c r="B47" t="s">
        <v>240</v>
      </c>
      <c r="C47" t="s">
        <v>3997</v>
      </c>
      <c r="D47" s="177">
        <v>46149</v>
      </c>
      <c r="E47" s="177">
        <v>46149</v>
      </c>
      <c r="F47" s="120" t="s">
        <v>732</v>
      </c>
      <c r="G47" s="178"/>
      <c r="H47" s="178">
        <v>100</v>
      </c>
      <c r="I47" s="178">
        <v>7861468</v>
      </c>
    </row>
    <row r="48" spans="1:9">
      <c r="A48" t="s">
        <v>4535</v>
      </c>
      <c r="B48" t="s">
        <v>240</v>
      </c>
      <c r="C48" t="s">
        <v>3997</v>
      </c>
      <c r="D48" s="177">
        <v>46149</v>
      </c>
      <c r="E48" s="177">
        <v>46149</v>
      </c>
      <c r="F48" s="120" t="s">
        <v>734</v>
      </c>
      <c r="G48" s="178"/>
      <c r="H48" s="178">
        <v>44984</v>
      </c>
      <c r="I48" s="178">
        <v>7816484</v>
      </c>
    </row>
    <row r="49" spans="1:9">
      <c r="A49" t="s">
        <v>4535</v>
      </c>
      <c r="B49" t="s">
        <v>240</v>
      </c>
      <c r="C49" t="s">
        <v>4000</v>
      </c>
      <c r="D49" s="177">
        <v>46149</v>
      </c>
      <c r="E49" s="177">
        <v>46149</v>
      </c>
      <c r="F49" s="120" t="s">
        <v>4296</v>
      </c>
      <c r="G49" s="178">
        <v>50000</v>
      </c>
      <c r="H49" s="178"/>
      <c r="I49" s="178">
        <v>7866484</v>
      </c>
    </row>
    <row r="50" spans="1:9">
      <c r="A50" t="s">
        <v>4537</v>
      </c>
      <c r="B50" t="s">
        <v>240</v>
      </c>
      <c r="C50" t="s">
        <v>4002</v>
      </c>
      <c r="D50" s="177">
        <v>46150</v>
      </c>
      <c r="E50" s="177">
        <v>46150</v>
      </c>
      <c r="F50" s="120" t="s">
        <v>3280</v>
      </c>
      <c r="G50" s="178">
        <v>330000</v>
      </c>
      <c r="H50" s="178"/>
      <c r="I50" s="178">
        <v>8196484</v>
      </c>
    </row>
    <row r="51" spans="1:9">
      <c r="A51" t="s">
        <v>4535</v>
      </c>
      <c r="B51" t="s">
        <v>240</v>
      </c>
      <c r="C51" t="s">
        <v>4004</v>
      </c>
      <c r="D51" s="177">
        <v>46150</v>
      </c>
      <c r="E51" s="177">
        <v>46150</v>
      </c>
      <c r="F51" s="120" t="s">
        <v>4005</v>
      </c>
      <c r="G51" s="178"/>
      <c r="H51" s="178">
        <v>200</v>
      </c>
      <c r="I51" s="178">
        <v>8196284</v>
      </c>
    </row>
    <row r="52" spans="1:9" ht="28.5">
      <c r="A52" t="s">
        <v>4535</v>
      </c>
      <c r="B52" t="s">
        <v>240</v>
      </c>
      <c r="C52" t="s">
        <v>4004</v>
      </c>
      <c r="D52" s="177">
        <v>46150</v>
      </c>
      <c r="E52" s="177">
        <v>46150</v>
      </c>
      <c r="F52" s="120" t="s">
        <v>4007</v>
      </c>
      <c r="G52" s="178"/>
      <c r="H52" s="178">
        <v>48350</v>
      </c>
      <c r="I52" s="178">
        <v>8147934</v>
      </c>
    </row>
    <row r="53" spans="1:9" ht="28.5">
      <c r="A53" t="s">
        <v>4535</v>
      </c>
      <c r="B53" t="s">
        <v>240</v>
      </c>
      <c r="C53" t="s">
        <v>4009</v>
      </c>
      <c r="D53" s="177">
        <v>46151</v>
      </c>
      <c r="E53" s="177">
        <v>46151</v>
      </c>
      <c r="F53" s="120" t="s">
        <v>4010</v>
      </c>
      <c r="G53" s="178"/>
      <c r="H53" s="178">
        <v>200</v>
      </c>
      <c r="I53" s="178">
        <v>8147734</v>
      </c>
    </row>
    <row r="54" spans="1:9" ht="28.5">
      <c r="A54" t="s">
        <v>4535</v>
      </c>
      <c r="B54" t="s">
        <v>240</v>
      </c>
      <c r="C54" t="s">
        <v>4009</v>
      </c>
      <c r="D54" s="177">
        <v>46151</v>
      </c>
      <c r="E54" s="177">
        <v>46151</v>
      </c>
      <c r="F54" s="120" t="s">
        <v>4012</v>
      </c>
      <c r="G54" s="178"/>
      <c r="H54" s="178">
        <v>25000</v>
      </c>
      <c r="I54" s="178">
        <v>8122734</v>
      </c>
    </row>
    <row r="55" spans="1:9" ht="28.5">
      <c r="A55" t="s">
        <v>4535</v>
      </c>
      <c r="B55" t="s">
        <v>240</v>
      </c>
      <c r="C55" t="s">
        <v>4014</v>
      </c>
      <c r="D55" s="177">
        <v>46151</v>
      </c>
      <c r="E55" s="177">
        <v>46151</v>
      </c>
      <c r="F55" s="120" t="s">
        <v>4298</v>
      </c>
      <c r="G55" s="178">
        <v>500000</v>
      </c>
      <c r="H55" s="178"/>
      <c r="I55" s="178">
        <v>8622734</v>
      </c>
    </row>
    <row r="56" spans="1:9">
      <c r="A56" t="s">
        <v>4535</v>
      </c>
      <c r="B56" t="s">
        <v>240</v>
      </c>
      <c r="C56" t="s">
        <v>4016</v>
      </c>
      <c r="D56" s="177">
        <v>46151</v>
      </c>
      <c r="E56" s="177">
        <v>46151</v>
      </c>
      <c r="F56" s="120" t="s">
        <v>4299</v>
      </c>
      <c r="G56" s="178">
        <v>160000</v>
      </c>
      <c r="H56" s="178"/>
      <c r="I56" s="178">
        <v>8782734</v>
      </c>
    </row>
    <row r="57" spans="1:9" ht="28.5">
      <c r="A57" t="s">
        <v>4535</v>
      </c>
      <c r="B57" t="s">
        <v>240</v>
      </c>
      <c r="C57" t="s">
        <v>4018</v>
      </c>
      <c r="D57" s="177">
        <v>46151</v>
      </c>
      <c r="E57" s="177">
        <v>46151</v>
      </c>
      <c r="F57" s="120" t="s">
        <v>4019</v>
      </c>
      <c r="G57" s="178"/>
      <c r="H57" s="178">
        <v>200</v>
      </c>
      <c r="I57" s="178">
        <v>8782534</v>
      </c>
    </row>
    <row r="58" spans="1:9" ht="28.5">
      <c r="A58" t="s">
        <v>4535</v>
      </c>
      <c r="B58" t="s">
        <v>240</v>
      </c>
      <c r="C58" t="s">
        <v>4018</v>
      </c>
      <c r="D58" s="177">
        <v>46151</v>
      </c>
      <c r="E58" s="177">
        <v>46151</v>
      </c>
      <c r="F58" s="120" t="s">
        <v>4021</v>
      </c>
      <c r="G58" s="178"/>
      <c r="H58" s="178">
        <v>40000</v>
      </c>
      <c r="I58" s="178">
        <v>8742534</v>
      </c>
    </row>
    <row r="59" spans="1:9">
      <c r="A59" t="s">
        <v>4535</v>
      </c>
      <c r="B59" t="s">
        <v>240</v>
      </c>
      <c r="C59" t="s">
        <v>4023</v>
      </c>
      <c r="D59" s="177">
        <v>46151</v>
      </c>
      <c r="E59" s="177">
        <v>46151</v>
      </c>
      <c r="F59" s="120" t="s">
        <v>4301</v>
      </c>
      <c r="G59" s="178">
        <v>175000</v>
      </c>
      <c r="H59" s="178"/>
      <c r="I59" s="178">
        <v>8917534</v>
      </c>
    </row>
    <row r="60" spans="1:9">
      <c r="A60" t="s">
        <v>4535</v>
      </c>
      <c r="B60" t="s">
        <v>240</v>
      </c>
      <c r="C60" t="s">
        <v>4303</v>
      </c>
      <c r="D60" s="177">
        <v>46153</v>
      </c>
      <c r="E60" s="177">
        <v>46153</v>
      </c>
      <c r="F60" s="120" t="s">
        <v>1769</v>
      </c>
      <c r="G60" s="178">
        <v>550000</v>
      </c>
      <c r="H60" s="178"/>
      <c r="I60" s="178">
        <v>9467534</v>
      </c>
    </row>
    <row r="61" spans="1:9">
      <c r="A61" t="s">
        <v>4535</v>
      </c>
      <c r="B61" t="s">
        <v>240</v>
      </c>
      <c r="C61" t="s">
        <v>4305</v>
      </c>
      <c r="D61" s="177">
        <v>46153</v>
      </c>
      <c r="E61" s="177">
        <v>46153</v>
      </c>
      <c r="F61" s="120" t="s">
        <v>4306</v>
      </c>
      <c r="G61" s="178"/>
      <c r="H61" s="178">
        <v>200</v>
      </c>
      <c r="I61" s="178">
        <v>9467334</v>
      </c>
    </row>
    <row r="62" spans="1:9" ht="28.5">
      <c r="A62" t="s">
        <v>4535</v>
      </c>
      <c r="B62" t="s">
        <v>240</v>
      </c>
      <c r="C62" t="s">
        <v>4305</v>
      </c>
      <c r="D62" s="177">
        <v>46153</v>
      </c>
      <c r="E62" s="177">
        <v>46153</v>
      </c>
      <c r="F62" s="120" t="s">
        <v>4308</v>
      </c>
      <c r="G62" s="178"/>
      <c r="H62" s="178">
        <v>12000</v>
      </c>
      <c r="I62" s="178">
        <v>9455334</v>
      </c>
    </row>
    <row r="63" spans="1:9">
      <c r="A63" t="s">
        <v>4535</v>
      </c>
      <c r="B63" t="s">
        <v>240</v>
      </c>
      <c r="C63" t="s">
        <v>4310</v>
      </c>
      <c r="D63" s="177">
        <v>46153</v>
      </c>
      <c r="E63" s="177">
        <v>46153</v>
      </c>
      <c r="F63" s="120" t="s">
        <v>4311</v>
      </c>
      <c r="G63" s="178">
        <v>200000</v>
      </c>
      <c r="H63" s="178"/>
      <c r="I63" s="178">
        <v>9655334</v>
      </c>
    </row>
    <row r="64" spans="1:9">
      <c r="A64" t="s">
        <v>4535</v>
      </c>
      <c r="B64" t="s">
        <v>240</v>
      </c>
      <c r="C64" t="s">
        <v>4313</v>
      </c>
      <c r="D64" s="177">
        <v>46154</v>
      </c>
      <c r="E64" s="177">
        <v>46154</v>
      </c>
      <c r="F64" s="120" t="s">
        <v>4314</v>
      </c>
      <c r="G64" s="178"/>
      <c r="H64" s="178">
        <v>100</v>
      </c>
      <c r="I64" s="178">
        <v>9655234</v>
      </c>
    </row>
    <row r="65" spans="1:9" ht="28.5">
      <c r="A65" t="s">
        <v>4535</v>
      </c>
      <c r="B65" t="s">
        <v>240</v>
      </c>
      <c r="C65" t="s">
        <v>4313</v>
      </c>
      <c r="D65" s="177">
        <v>46154</v>
      </c>
      <c r="E65" s="177">
        <v>46154</v>
      </c>
      <c r="F65" s="120" t="s">
        <v>4316</v>
      </c>
      <c r="G65" s="178"/>
      <c r="H65" s="178">
        <v>10000</v>
      </c>
      <c r="I65" s="178">
        <v>9645234</v>
      </c>
    </row>
    <row r="66" spans="1:9">
      <c r="A66" t="s">
        <v>4535</v>
      </c>
      <c r="B66" t="s">
        <v>240</v>
      </c>
      <c r="C66" t="s">
        <v>4318</v>
      </c>
      <c r="D66" s="177">
        <v>46155</v>
      </c>
      <c r="E66" s="177">
        <v>46155</v>
      </c>
      <c r="F66" s="120" t="s">
        <v>4311</v>
      </c>
      <c r="G66" s="178">
        <v>130000</v>
      </c>
      <c r="H66" s="178"/>
      <c r="I66" s="178">
        <v>9775234</v>
      </c>
    </row>
    <row r="67" spans="1:9">
      <c r="A67" t="s">
        <v>4535</v>
      </c>
      <c r="B67" t="s">
        <v>240</v>
      </c>
      <c r="C67" t="s">
        <v>4320</v>
      </c>
      <c r="D67" s="177">
        <v>46156</v>
      </c>
      <c r="E67" s="177">
        <v>46156</v>
      </c>
      <c r="F67" s="120" t="s">
        <v>4321</v>
      </c>
      <c r="G67" s="178"/>
      <c r="H67" s="178">
        <v>116682</v>
      </c>
      <c r="I67" s="178">
        <v>9658552</v>
      </c>
    </row>
    <row r="68" spans="1:9" ht="28.5">
      <c r="A68" t="s">
        <v>4535</v>
      </c>
      <c r="B68" t="s">
        <v>240</v>
      </c>
      <c r="C68" t="s">
        <v>4324</v>
      </c>
      <c r="D68" s="177">
        <v>46156</v>
      </c>
      <c r="E68" s="177">
        <v>46156</v>
      </c>
      <c r="F68" s="120" t="s">
        <v>4325</v>
      </c>
      <c r="G68" s="178"/>
      <c r="H68" s="178">
        <v>45000</v>
      </c>
      <c r="I68" s="178">
        <v>9613552</v>
      </c>
    </row>
    <row r="69" spans="1:9">
      <c r="A69" t="s">
        <v>4535</v>
      </c>
      <c r="B69" t="s">
        <v>240</v>
      </c>
      <c r="C69" t="s">
        <v>4328</v>
      </c>
      <c r="D69" s="177">
        <v>46157</v>
      </c>
      <c r="E69" s="177">
        <v>46157</v>
      </c>
      <c r="F69" s="120" t="s">
        <v>4329</v>
      </c>
      <c r="G69" s="178"/>
      <c r="H69" s="178">
        <v>200</v>
      </c>
      <c r="I69" s="178">
        <v>9613352</v>
      </c>
    </row>
    <row r="70" spans="1:9" ht="28.5">
      <c r="A70" t="s">
        <v>4535</v>
      </c>
      <c r="B70" t="s">
        <v>240</v>
      </c>
      <c r="C70" t="s">
        <v>4328</v>
      </c>
      <c r="D70" s="177">
        <v>46157</v>
      </c>
      <c r="E70" s="177">
        <v>46157</v>
      </c>
      <c r="F70" s="120" t="s">
        <v>4331</v>
      </c>
      <c r="G70" s="178"/>
      <c r="H70" s="178">
        <v>30000</v>
      </c>
      <c r="I70" s="178">
        <v>9583352</v>
      </c>
    </row>
    <row r="71" spans="1:9" ht="28.5">
      <c r="A71" t="s">
        <v>4535</v>
      </c>
      <c r="B71" t="s">
        <v>240</v>
      </c>
      <c r="C71" t="s">
        <v>4333</v>
      </c>
      <c r="D71" s="177">
        <v>46158</v>
      </c>
      <c r="E71" s="177">
        <v>46158</v>
      </c>
      <c r="F71" s="120" t="s">
        <v>4334</v>
      </c>
      <c r="G71" s="178">
        <v>990000</v>
      </c>
      <c r="H71" s="178"/>
      <c r="I71" s="178">
        <v>10573352</v>
      </c>
    </row>
    <row r="72" spans="1:9" ht="28.5">
      <c r="A72" t="s">
        <v>4535</v>
      </c>
      <c r="B72" t="s">
        <v>240</v>
      </c>
      <c r="C72" t="s">
        <v>4337</v>
      </c>
      <c r="D72" s="177">
        <v>46158</v>
      </c>
      <c r="E72" s="177">
        <v>46158</v>
      </c>
      <c r="F72" s="120" t="s">
        <v>4338</v>
      </c>
      <c r="G72" s="178"/>
      <c r="H72" s="178">
        <v>80500</v>
      </c>
      <c r="I72" s="178">
        <v>10492852</v>
      </c>
    </row>
    <row r="73" spans="1:9">
      <c r="A73" t="s">
        <v>4535</v>
      </c>
      <c r="B73" t="s">
        <v>240</v>
      </c>
      <c r="C73" t="s">
        <v>4341</v>
      </c>
      <c r="D73" s="177">
        <v>46158</v>
      </c>
      <c r="E73" s="177">
        <v>46158</v>
      </c>
      <c r="F73" s="120" t="s">
        <v>4342</v>
      </c>
      <c r="G73" s="178"/>
      <c r="H73" s="178">
        <v>200</v>
      </c>
      <c r="I73" s="178">
        <v>10492652</v>
      </c>
    </row>
    <row r="74" spans="1:9">
      <c r="A74" t="s">
        <v>4535</v>
      </c>
      <c r="B74" t="s">
        <v>240</v>
      </c>
      <c r="C74" t="s">
        <v>4341</v>
      </c>
      <c r="D74" s="177">
        <v>46158</v>
      </c>
      <c r="E74" s="177">
        <v>46158</v>
      </c>
      <c r="F74" s="120" t="s">
        <v>4344</v>
      </c>
      <c r="G74" s="178"/>
      <c r="H74" s="178">
        <v>25000</v>
      </c>
      <c r="I74" s="178">
        <v>10467652</v>
      </c>
    </row>
    <row r="75" spans="1:9">
      <c r="A75" t="s">
        <v>4535</v>
      </c>
      <c r="B75" t="s">
        <v>240</v>
      </c>
      <c r="C75" t="s">
        <v>4346</v>
      </c>
      <c r="D75" s="177">
        <v>46159</v>
      </c>
      <c r="E75" s="177">
        <v>46159</v>
      </c>
      <c r="F75" s="120" t="s">
        <v>4347</v>
      </c>
      <c r="G75" s="178"/>
      <c r="H75" s="178">
        <v>200</v>
      </c>
      <c r="I75" s="178">
        <v>10467452</v>
      </c>
    </row>
    <row r="76" spans="1:9" ht="28.5">
      <c r="A76" t="s">
        <v>4535</v>
      </c>
      <c r="B76" t="s">
        <v>240</v>
      </c>
      <c r="C76" t="s">
        <v>4346</v>
      </c>
      <c r="D76" s="177">
        <v>46159</v>
      </c>
      <c r="E76" s="177">
        <v>46159</v>
      </c>
      <c r="F76" s="120" t="s">
        <v>4349</v>
      </c>
      <c r="G76" s="178"/>
      <c r="H76" s="178">
        <v>30000</v>
      </c>
      <c r="I76" s="178">
        <v>10437452</v>
      </c>
    </row>
    <row r="77" spans="1:9" ht="28.5">
      <c r="A77" t="s">
        <v>4535</v>
      </c>
      <c r="B77" t="s">
        <v>240</v>
      </c>
      <c r="C77" t="s">
        <v>4351</v>
      </c>
      <c r="D77" s="177">
        <v>46159</v>
      </c>
      <c r="E77" s="177">
        <v>46159</v>
      </c>
      <c r="F77" s="120" t="s">
        <v>2497</v>
      </c>
      <c r="G77" s="178"/>
      <c r="H77" s="178">
        <v>40000</v>
      </c>
      <c r="I77" s="178">
        <v>10397452</v>
      </c>
    </row>
    <row r="78" spans="1:9">
      <c r="A78" t="s">
        <v>4535</v>
      </c>
      <c r="B78" t="s">
        <v>240</v>
      </c>
      <c r="C78" t="s">
        <v>4353</v>
      </c>
      <c r="D78" s="177">
        <v>46160</v>
      </c>
      <c r="E78" s="177">
        <v>46160</v>
      </c>
      <c r="F78" s="120" t="s">
        <v>4354</v>
      </c>
      <c r="G78" s="178">
        <v>600000</v>
      </c>
      <c r="H78" s="178"/>
      <c r="I78" s="178">
        <v>10997452</v>
      </c>
    </row>
    <row r="79" spans="1:9" ht="28.5">
      <c r="A79" t="s">
        <v>4535</v>
      </c>
      <c r="B79" t="s">
        <v>240</v>
      </c>
      <c r="C79" t="s">
        <v>4356</v>
      </c>
      <c r="D79" s="177">
        <v>46160</v>
      </c>
      <c r="E79" s="177">
        <v>46160</v>
      </c>
      <c r="F79" s="120" t="s">
        <v>4357</v>
      </c>
      <c r="G79" s="178"/>
      <c r="H79" s="178">
        <v>200</v>
      </c>
      <c r="I79" s="178">
        <v>10997252</v>
      </c>
    </row>
    <row r="80" spans="1:9" ht="28.5">
      <c r="A80" t="s">
        <v>4535</v>
      </c>
      <c r="B80" t="s">
        <v>240</v>
      </c>
      <c r="C80" t="s">
        <v>4356</v>
      </c>
      <c r="D80" s="177">
        <v>46160</v>
      </c>
      <c r="E80" s="177">
        <v>46160</v>
      </c>
      <c r="F80" s="120" t="s">
        <v>4359</v>
      </c>
      <c r="G80" s="178"/>
      <c r="H80" s="178">
        <v>19000</v>
      </c>
      <c r="I80" s="178">
        <v>10978252</v>
      </c>
    </row>
    <row r="81" spans="1:9" ht="28.5">
      <c r="A81" t="s">
        <v>4535</v>
      </c>
      <c r="B81" t="s">
        <v>240</v>
      </c>
      <c r="C81" t="s">
        <v>4362</v>
      </c>
      <c r="D81" s="177">
        <v>46160</v>
      </c>
      <c r="E81" s="177">
        <v>46160</v>
      </c>
      <c r="F81" s="120" t="s">
        <v>4363</v>
      </c>
      <c r="G81" s="178"/>
      <c r="H81" s="178">
        <v>100</v>
      </c>
      <c r="I81" s="178">
        <v>10978152</v>
      </c>
    </row>
    <row r="82" spans="1:9" ht="28.5">
      <c r="A82" t="s">
        <v>4535</v>
      </c>
      <c r="B82" t="s">
        <v>240</v>
      </c>
      <c r="C82" t="s">
        <v>4362</v>
      </c>
      <c r="D82" s="177">
        <v>46160</v>
      </c>
      <c r="E82" s="177">
        <v>46160</v>
      </c>
      <c r="F82" s="120" t="s">
        <v>4365</v>
      </c>
      <c r="G82" s="178"/>
      <c r="H82" s="178">
        <v>6500</v>
      </c>
      <c r="I82" s="178">
        <v>10971652</v>
      </c>
    </row>
    <row r="83" spans="1:9">
      <c r="A83" t="s">
        <v>4535</v>
      </c>
      <c r="B83" t="s">
        <v>240</v>
      </c>
      <c r="C83" t="s">
        <v>4367</v>
      </c>
      <c r="D83" s="177">
        <v>46160</v>
      </c>
      <c r="E83" s="177">
        <v>46160</v>
      </c>
      <c r="F83" s="120" t="s">
        <v>4368</v>
      </c>
      <c r="G83" s="178"/>
      <c r="H83" s="178">
        <v>200</v>
      </c>
      <c r="I83" s="178">
        <v>10971452</v>
      </c>
    </row>
    <row r="84" spans="1:9" ht="28.5">
      <c r="A84" t="s">
        <v>4535</v>
      </c>
      <c r="B84" t="s">
        <v>240</v>
      </c>
      <c r="C84" t="s">
        <v>4367</v>
      </c>
      <c r="D84" s="177">
        <v>46160</v>
      </c>
      <c r="E84" s="177">
        <v>46160</v>
      </c>
      <c r="F84" s="120" t="s">
        <v>4370</v>
      </c>
      <c r="G84" s="178"/>
      <c r="H84" s="178">
        <v>45000</v>
      </c>
      <c r="I84" s="178">
        <v>10926452</v>
      </c>
    </row>
    <row r="85" spans="1:9">
      <c r="A85" t="s">
        <v>4535</v>
      </c>
      <c r="B85" t="s">
        <v>240</v>
      </c>
      <c r="C85" t="s">
        <v>4372</v>
      </c>
      <c r="D85" s="177">
        <v>46160</v>
      </c>
      <c r="E85" s="177">
        <v>46160</v>
      </c>
      <c r="F85" s="120" t="s">
        <v>4373</v>
      </c>
      <c r="G85" s="178"/>
      <c r="H85" s="178">
        <v>100</v>
      </c>
      <c r="I85" s="178">
        <v>10926352</v>
      </c>
    </row>
    <row r="86" spans="1:9" ht="28.5">
      <c r="A86" t="s">
        <v>4535</v>
      </c>
      <c r="B86" t="s">
        <v>240</v>
      </c>
      <c r="C86" t="s">
        <v>4372</v>
      </c>
      <c r="D86" s="177">
        <v>46160</v>
      </c>
      <c r="E86" s="177">
        <v>46160</v>
      </c>
      <c r="F86" s="120" t="s">
        <v>4375</v>
      </c>
      <c r="G86" s="178"/>
      <c r="H86" s="178">
        <v>3000</v>
      </c>
      <c r="I86" s="178">
        <v>10923352</v>
      </c>
    </row>
    <row r="87" spans="1:9" ht="28.5">
      <c r="A87" t="s">
        <v>4535</v>
      </c>
      <c r="B87" t="s">
        <v>240</v>
      </c>
      <c r="C87" t="s">
        <v>4377</v>
      </c>
      <c r="D87" s="177">
        <v>46160</v>
      </c>
      <c r="E87" s="177">
        <v>46160</v>
      </c>
      <c r="F87" s="120" t="s">
        <v>4378</v>
      </c>
      <c r="G87" s="178"/>
      <c r="H87" s="178">
        <v>7500</v>
      </c>
      <c r="I87" s="178">
        <v>10915852</v>
      </c>
    </row>
    <row r="88" spans="1:9" ht="28.5">
      <c r="A88" t="s">
        <v>4535</v>
      </c>
      <c r="B88" t="s">
        <v>240</v>
      </c>
      <c r="C88" t="s">
        <v>4380</v>
      </c>
      <c r="D88" s="177">
        <v>46160</v>
      </c>
      <c r="E88" s="177">
        <v>46160</v>
      </c>
      <c r="F88" s="120" t="s">
        <v>4381</v>
      </c>
      <c r="G88" s="178"/>
      <c r="H88" s="178">
        <v>40000</v>
      </c>
      <c r="I88" s="178">
        <v>10875852</v>
      </c>
    </row>
    <row r="89" spans="1:9">
      <c r="A89" t="s">
        <v>4535</v>
      </c>
      <c r="B89" t="s">
        <v>240</v>
      </c>
      <c r="C89" t="s">
        <v>4383</v>
      </c>
      <c r="D89" s="177">
        <v>46160</v>
      </c>
      <c r="E89" s="177">
        <v>46160</v>
      </c>
      <c r="F89" s="120" t="s">
        <v>4384</v>
      </c>
      <c r="G89" s="178"/>
      <c r="H89" s="178">
        <v>1000</v>
      </c>
      <c r="I89" s="178">
        <v>10874852</v>
      </c>
    </row>
    <row r="90" spans="1:9">
      <c r="A90" t="s">
        <v>4535</v>
      </c>
      <c r="B90" t="s">
        <v>240</v>
      </c>
      <c r="C90" t="s">
        <v>4383</v>
      </c>
      <c r="D90" s="177">
        <v>46160</v>
      </c>
      <c r="E90" s="177">
        <v>46160</v>
      </c>
      <c r="F90" s="120" t="s">
        <v>4386</v>
      </c>
      <c r="G90" s="178"/>
      <c r="H90" s="178">
        <v>317500</v>
      </c>
      <c r="I90" s="178">
        <v>10557352</v>
      </c>
    </row>
    <row r="91" spans="1:9">
      <c r="A91" t="s">
        <v>4535</v>
      </c>
      <c r="B91" t="s">
        <v>240</v>
      </c>
      <c r="C91" t="s">
        <v>4389</v>
      </c>
      <c r="D91" s="177">
        <v>46161</v>
      </c>
      <c r="E91" s="177">
        <v>46161</v>
      </c>
      <c r="F91" s="120" t="s">
        <v>4390</v>
      </c>
      <c r="G91" s="178">
        <v>317500</v>
      </c>
      <c r="H91" s="178"/>
      <c r="I91" s="178">
        <v>10874852</v>
      </c>
    </row>
    <row r="92" spans="1:9">
      <c r="A92" t="s">
        <v>4535</v>
      </c>
      <c r="B92" t="s">
        <v>240</v>
      </c>
      <c r="C92" t="s">
        <v>4391</v>
      </c>
      <c r="D92" s="177">
        <v>46161</v>
      </c>
      <c r="E92" s="177">
        <v>46161</v>
      </c>
      <c r="F92" s="120" t="s">
        <v>4392</v>
      </c>
      <c r="G92" s="178"/>
      <c r="H92" s="178">
        <v>1000</v>
      </c>
      <c r="I92" s="178">
        <v>10873852</v>
      </c>
    </row>
    <row r="93" spans="1:9">
      <c r="A93" t="s">
        <v>4535</v>
      </c>
      <c r="B93" t="s">
        <v>240</v>
      </c>
      <c r="C93" t="s">
        <v>4391</v>
      </c>
      <c r="D93" s="177">
        <v>46161</v>
      </c>
      <c r="E93" s="177">
        <v>46161</v>
      </c>
      <c r="F93" s="120" t="s">
        <v>4394</v>
      </c>
      <c r="G93" s="178"/>
      <c r="H93" s="178">
        <v>340000</v>
      </c>
      <c r="I93" s="178">
        <v>10533852</v>
      </c>
    </row>
    <row r="94" spans="1:9" ht="28.5">
      <c r="A94" t="s">
        <v>4535</v>
      </c>
      <c r="B94" t="s">
        <v>240</v>
      </c>
      <c r="C94" t="s">
        <v>4397</v>
      </c>
      <c r="D94" s="177">
        <v>46161</v>
      </c>
      <c r="E94" s="177">
        <v>46161</v>
      </c>
      <c r="F94" s="120" t="s">
        <v>4398</v>
      </c>
      <c r="G94" s="178"/>
      <c r="H94" s="178">
        <v>200</v>
      </c>
      <c r="I94" s="178">
        <v>10533652</v>
      </c>
    </row>
    <row r="95" spans="1:9" ht="28.5">
      <c r="A95" t="s">
        <v>4535</v>
      </c>
      <c r="B95" t="s">
        <v>240</v>
      </c>
      <c r="C95" t="s">
        <v>4397</v>
      </c>
      <c r="D95" s="177">
        <v>46161</v>
      </c>
      <c r="E95" s="177">
        <v>46161</v>
      </c>
      <c r="F95" s="120" t="s">
        <v>4400</v>
      </c>
      <c r="G95" s="178"/>
      <c r="H95" s="178">
        <v>20000</v>
      </c>
      <c r="I95" s="178">
        <v>10513652</v>
      </c>
    </row>
    <row r="96" spans="1:9">
      <c r="A96" t="s">
        <v>4535</v>
      </c>
      <c r="B96" t="s">
        <v>240</v>
      </c>
      <c r="C96" t="s">
        <v>4402</v>
      </c>
      <c r="D96" s="177">
        <v>46162</v>
      </c>
      <c r="E96" s="177">
        <v>46162</v>
      </c>
      <c r="F96" s="120" t="s">
        <v>4403</v>
      </c>
      <c r="G96" s="178"/>
      <c r="H96" s="178">
        <v>100</v>
      </c>
      <c r="I96" s="178">
        <v>10513552</v>
      </c>
    </row>
    <row r="97" spans="1:9" ht="28.5">
      <c r="A97" t="s">
        <v>4535</v>
      </c>
      <c r="B97" t="s">
        <v>240</v>
      </c>
      <c r="C97" t="s">
        <v>4402</v>
      </c>
      <c r="D97" s="177">
        <v>46162</v>
      </c>
      <c r="E97" s="177">
        <v>46162</v>
      </c>
      <c r="F97" s="120" t="s">
        <v>4405</v>
      </c>
      <c r="G97" s="178"/>
      <c r="H97" s="178">
        <v>7000</v>
      </c>
      <c r="I97" s="178">
        <v>10506552</v>
      </c>
    </row>
    <row r="98" spans="1:9" ht="28.5">
      <c r="A98" t="s">
        <v>4535</v>
      </c>
      <c r="B98" t="s">
        <v>240</v>
      </c>
      <c r="C98" t="s">
        <v>4407</v>
      </c>
      <c r="D98" s="177">
        <v>46162</v>
      </c>
      <c r="E98" s="177">
        <v>46162</v>
      </c>
      <c r="F98" s="120" t="s">
        <v>4408</v>
      </c>
      <c r="G98" s="178"/>
      <c r="H98" s="178">
        <v>15000</v>
      </c>
      <c r="I98" s="178">
        <v>10491552</v>
      </c>
    </row>
    <row r="99" spans="1:9" ht="28.5">
      <c r="A99" t="s">
        <v>4535</v>
      </c>
      <c r="B99" t="s">
        <v>240</v>
      </c>
      <c r="C99" t="s">
        <v>4410</v>
      </c>
      <c r="D99" s="177">
        <v>46162</v>
      </c>
      <c r="E99" s="177">
        <v>46162</v>
      </c>
      <c r="F99" s="120" t="s">
        <v>4411</v>
      </c>
      <c r="G99" s="178"/>
      <c r="H99" s="178">
        <v>200</v>
      </c>
      <c r="I99" s="178">
        <v>10491352</v>
      </c>
    </row>
    <row r="100" spans="1:9" ht="28.5">
      <c r="A100" t="s">
        <v>4535</v>
      </c>
      <c r="B100" t="s">
        <v>240</v>
      </c>
      <c r="C100" t="s">
        <v>4410</v>
      </c>
      <c r="D100" s="177">
        <v>46162</v>
      </c>
      <c r="E100" s="177">
        <v>46162</v>
      </c>
      <c r="F100" s="120" t="s">
        <v>4413</v>
      </c>
      <c r="G100" s="178"/>
      <c r="H100" s="178">
        <v>25000</v>
      </c>
      <c r="I100" s="178">
        <v>10466352</v>
      </c>
    </row>
    <row r="101" spans="1:9">
      <c r="A101" t="s">
        <v>4535</v>
      </c>
      <c r="B101" t="s">
        <v>240</v>
      </c>
      <c r="C101" t="s">
        <v>4415</v>
      </c>
      <c r="D101" s="177">
        <v>46162</v>
      </c>
      <c r="E101" s="177">
        <v>46162</v>
      </c>
      <c r="F101" s="120" t="s">
        <v>859</v>
      </c>
      <c r="G101" s="178"/>
      <c r="H101" s="178">
        <v>100</v>
      </c>
      <c r="I101" s="178">
        <v>10466252</v>
      </c>
    </row>
    <row r="102" spans="1:9" ht="28.5">
      <c r="A102" t="s">
        <v>4535</v>
      </c>
      <c r="B102" t="s">
        <v>240</v>
      </c>
      <c r="C102" t="s">
        <v>4415</v>
      </c>
      <c r="D102" s="177">
        <v>46162</v>
      </c>
      <c r="E102" s="177">
        <v>46162</v>
      </c>
      <c r="F102" s="120" t="s">
        <v>861</v>
      </c>
      <c r="G102" s="178"/>
      <c r="H102" s="178">
        <v>9000</v>
      </c>
      <c r="I102" s="178">
        <v>10457252</v>
      </c>
    </row>
    <row r="103" spans="1:9">
      <c r="A103" t="s">
        <v>4535</v>
      </c>
      <c r="B103" t="s">
        <v>240</v>
      </c>
      <c r="C103" t="s">
        <v>4418</v>
      </c>
      <c r="D103" s="177">
        <v>46163</v>
      </c>
      <c r="E103" s="177">
        <v>46163</v>
      </c>
      <c r="F103" s="120" t="s">
        <v>4419</v>
      </c>
      <c r="G103" s="178"/>
      <c r="H103" s="178">
        <v>200</v>
      </c>
      <c r="I103" s="178">
        <v>10457052</v>
      </c>
    </row>
    <row r="104" spans="1:9" ht="28.5">
      <c r="A104" t="s">
        <v>4535</v>
      </c>
      <c r="B104" t="s">
        <v>240</v>
      </c>
      <c r="C104" t="s">
        <v>4418</v>
      </c>
      <c r="D104" s="177">
        <v>46163</v>
      </c>
      <c r="E104" s="177">
        <v>46163</v>
      </c>
      <c r="F104" s="120" t="s">
        <v>4421</v>
      </c>
      <c r="G104" s="178"/>
      <c r="H104" s="178">
        <v>31000</v>
      </c>
      <c r="I104" s="178">
        <v>10426052</v>
      </c>
    </row>
    <row r="105" spans="1:9" ht="28.5">
      <c r="A105" t="s">
        <v>4535</v>
      </c>
      <c r="B105" t="s">
        <v>240</v>
      </c>
      <c r="C105" t="s">
        <v>4424</v>
      </c>
      <c r="D105" s="177">
        <v>46163</v>
      </c>
      <c r="E105" s="177">
        <v>46163</v>
      </c>
      <c r="F105" s="120" t="s">
        <v>4425</v>
      </c>
      <c r="G105" s="178"/>
      <c r="H105" s="178">
        <v>200</v>
      </c>
      <c r="I105" s="178">
        <v>10425852</v>
      </c>
    </row>
    <row r="106" spans="1:9" ht="28.5">
      <c r="A106" t="s">
        <v>4535</v>
      </c>
      <c r="B106" t="s">
        <v>240</v>
      </c>
      <c r="C106" t="s">
        <v>4424</v>
      </c>
      <c r="D106" s="177">
        <v>46163</v>
      </c>
      <c r="E106" s="177">
        <v>46163</v>
      </c>
      <c r="F106" s="120" t="s">
        <v>4427</v>
      </c>
      <c r="G106" s="178"/>
      <c r="H106" s="178">
        <v>30000</v>
      </c>
      <c r="I106" s="178">
        <v>10395852</v>
      </c>
    </row>
    <row r="107" spans="1:9">
      <c r="A107" t="s">
        <v>4535</v>
      </c>
      <c r="B107" t="s">
        <v>240</v>
      </c>
      <c r="C107" t="s">
        <v>4429</v>
      </c>
      <c r="D107" s="177">
        <v>46164</v>
      </c>
      <c r="E107" s="177">
        <v>46164</v>
      </c>
      <c r="F107" s="120" t="s">
        <v>4775</v>
      </c>
      <c r="G107" s="178">
        <v>430000</v>
      </c>
      <c r="H107" s="178"/>
      <c r="I107" s="178">
        <v>10825852</v>
      </c>
    </row>
    <row r="108" spans="1:9" ht="28.5">
      <c r="A108" t="s">
        <v>4535</v>
      </c>
      <c r="B108" t="s">
        <v>240</v>
      </c>
      <c r="C108" t="s">
        <v>4432</v>
      </c>
      <c r="D108" s="177">
        <v>46164</v>
      </c>
      <c r="E108" s="177">
        <v>46164</v>
      </c>
      <c r="F108" s="120" t="s">
        <v>4433</v>
      </c>
      <c r="G108" s="178"/>
      <c r="H108" s="178">
        <v>200</v>
      </c>
      <c r="I108" s="178">
        <v>10825652</v>
      </c>
    </row>
    <row r="109" spans="1:9" ht="28.5">
      <c r="A109" t="s">
        <v>4535</v>
      </c>
      <c r="B109" t="s">
        <v>240</v>
      </c>
      <c r="C109" t="s">
        <v>4432</v>
      </c>
      <c r="D109" s="177">
        <v>46164</v>
      </c>
      <c r="E109" s="177">
        <v>46164</v>
      </c>
      <c r="F109" s="120" t="s">
        <v>4435</v>
      </c>
      <c r="G109" s="178"/>
      <c r="H109" s="178">
        <v>3000</v>
      </c>
      <c r="I109" s="178">
        <v>10822652</v>
      </c>
    </row>
    <row r="110" spans="1:9" ht="28.5">
      <c r="A110" t="s">
        <v>4535</v>
      </c>
      <c r="B110" t="s">
        <v>240</v>
      </c>
      <c r="C110" t="s">
        <v>4437</v>
      </c>
      <c r="D110" s="177">
        <v>46164</v>
      </c>
      <c r="E110" s="177">
        <v>46164</v>
      </c>
      <c r="F110" s="120" t="s">
        <v>4438</v>
      </c>
      <c r="G110" s="178"/>
      <c r="H110" s="178">
        <v>200</v>
      </c>
      <c r="I110" s="178">
        <v>10822452</v>
      </c>
    </row>
    <row r="111" spans="1:9" ht="28.5">
      <c r="A111" t="s">
        <v>4535</v>
      </c>
      <c r="B111" t="s">
        <v>240</v>
      </c>
      <c r="C111" t="s">
        <v>4437</v>
      </c>
      <c r="D111" s="177">
        <v>46164</v>
      </c>
      <c r="E111" s="177">
        <v>46164</v>
      </c>
      <c r="F111" s="120" t="s">
        <v>4440</v>
      </c>
      <c r="G111" s="178"/>
      <c r="H111" s="178">
        <v>731867</v>
      </c>
      <c r="I111" s="178">
        <v>10090585</v>
      </c>
    </row>
    <row r="112" spans="1:9" ht="28.5">
      <c r="A112" t="s">
        <v>4535</v>
      </c>
      <c r="B112" t="s">
        <v>240</v>
      </c>
      <c r="C112" t="s">
        <v>4443</v>
      </c>
      <c r="D112" s="177">
        <v>46164</v>
      </c>
      <c r="E112" s="177">
        <v>46164</v>
      </c>
      <c r="F112" s="120" t="s">
        <v>4444</v>
      </c>
      <c r="G112" s="178"/>
      <c r="H112" s="178">
        <v>200</v>
      </c>
      <c r="I112" s="178">
        <v>10090385</v>
      </c>
    </row>
    <row r="113" spans="1:9" ht="28.5">
      <c r="A113" t="s">
        <v>4535</v>
      </c>
      <c r="B113" t="s">
        <v>240</v>
      </c>
      <c r="C113" t="s">
        <v>4443</v>
      </c>
      <c r="D113" s="177">
        <v>46164</v>
      </c>
      <c r="E113" s="177">
        <v>46164</v>
      </c>
      <c r="F113" s="120" t="s">
        <v>4446</v>
      </c>
      <c r="G113" s="178"/>
      <c r="H113" s="178">
        <v>918824</v>
      </c>
      <c r="I113" s="178">
        <v>9171561</v>
      </c>
    </row>
    <row r="114" spans="1:9" ht="28.5">
      <c r="A114" t="s">
        <v>4535</v>
      </c>
      <c r="B114" t="s">
        <v>240</v>
      </c>
      <c r="C114" t="s">
        <v>4449</v>
      </c>
      <c r="D114" s="177">
        <v>46164</v>
      </c>
      <c r="E114" s="177">
        <v>46164</v>
      </c>
      <c r="F114" s="120" t="s">
        <v>4450</v>
      </c>
      <c r="G114" s="178"/>
      <c r="H114" s="178">
        <v>200</v>
      </c>
      <c r="I114" s="178">
        <v>9171361</v>
      </c>
    </row>
    <row r="115" spans="1:9" ht="28.5">
      <c r="A115" t="s">
        <v>4535</v>
      </c>
      <c r="B115" t="s">
        <v>240</v>
      </c>
      <c r="C115" t="s">
        <v>4449</v>
      </c>
      <c r="D115" s="177">
        <v>46164</v>
      </c>
      <c r="E115" s="177">
        <v>46164</v>
      </c>
      <c r="F115" s="120" t="s">
        <v>4452</v>
      </c>
      <c r="G115" s="178"/>
      <c r="H115" s="178">
        <v>56431</v>
      </c>
      <c r="I115" s="178">
        <v>9114930</v>
      </c>
    </row>
    <row r="116" spans="1:9" ht="28.5">
      <c r="A116" t="s">
        <v>4535</v>
      </c>
      <c r="B116" t="s">
        <v>240</v>
      </c>
      <c r="C116" t="s">
        <v>4455</v>
      </c>
      <c r="D116" s="177">
        <v>46164</v>
      </c>
      <c r="E116" s="177">
        <v>46164</v>
      </c>
      <c r="F116" s="120" t="s">
        <v>4456</v>
      </c>
      <c r="G116" s="178"/>
      <c r="H116" s="178">
        <v>100</v>
      </c>
      <c r="I116" s="178">
        <v>9114830</v>
      </c>
    </row>
    <row r="117" spans="1:9" ht="28.5">
      <c r="A117" t="s">
        <v>4535</v>
      </c>
      <c r="B117" t="s">
        <v>240</v>
      </c>
      <c r="C117" t="s">
        <v>4455</v>
      </c>
      <c r="D117" s="177">
        <v>46164</v>
      </c>
      <c r="E117" s="177">
        <v>46164</v>
      </c>
      <c r="F117" s="120" t="s">
        <v>4458</v>
      </c>
      <c r="G117" s="178"/>
      <c r="H117" s="178">
        <v>9000</v>
      </c>
      <c r="I117" s="178">
        <v>9105830</v>
      </c>
    </row>
    <row r="118" spans="1:9" ht="28.5">
      <c r="A118" t="s">
        <v>4535</v>
      </c>
      <c r="B118" t="s">
        <v>240</v>
      </c>
      <c r="C118" t="s">
        <v>4460</v>
      </c>
      <c r="D118" s="177">
        <v>46165</v>
      </c>
      <c r="E118" s="177">
        <v>46165</v>
      </c>
      <c r="F118" s="120" t="s">
        <v>4461</v>
      </c>
      <c r="G118" s="178"/>
      <c r="H118" s="178">
        <v>100</v>
      </c>
      <c r="I118" s="178">
        <v>9105730</v>
      </c>
    </row>
    <row r="119" spans="1:9" ht="28.5">
      <c r="A119" t="s">
        <v>4535</v>
      </c>
      <c r="B119" t="s">
        <v>240</v>
      </c>
      <c r="C119" t="s">
        <v>4460</v>
      </c>
      <c r="D119" s="177">
        <v>46165</v>
      </c>
      <c r="E119" s="177">
        <v>46165</v>
      </c>
      <c r="F119" s="120" t="s">
        <v>4463</v>
      </c>
      <c r="G119" s="178"/>
      <c r="H119" s="178">
        <v>50000</v>
      </c>
      <c r="I119" s="178">
        <v>9055730</v>
      </c>
    </row>
    <row r="120" spans="1:9" ht="28.5">
      <c r="A120" t="s">
        <v>4535</v>
      </c>
      <c r="B120" t="s">
        <v>240</v>
      </c>
      <c r="C120" t="s">
        <v>4465</v>
      </c>
      <c r="D120" s="177">
        <v>46165</v>
      </c>
      <c r="E120" s="177">
        <v>46165</v>
      </c>
      <c r="F120" s="120" t="s">
        <v>4466</v>
      </c>
      <c r="G120" s="178"/>
      <c r="H120" s="178">
        <v>36763</v>
      </c>
      <c r="I120" s="178">
        <v>9018967</v>
      </c>
    </row>
    <row r="121" spans="1:9" ht="28.5">
      <c r="A121" t="s">
        <v>4535</v>
      </c>
      <c r="B121" t="s">
        <v>240</v>
      </c>
      <c r="C121" t="s">
        <v>4469</v>
      </c>
      <c r="D121" s="177">
        <v>46165</v>
      </c>
      <c r="E121" s="177">
        <v>46165</v>
      </c>
      <c r="F121" s="120" t="s">
        <v>4470</v>
      </c>
      <c r="G121" s="178"/>
      <c r="H121" s="178">
        <v>30000</v>
      </c>
      <c r="I121" s="178">
        <v>8988967</v>
      </c>
    </row>
    <row r="122" spans="1:9" ht="28.5">
      <c r="A122" t="s">
        <v>4535</v>
      </c>
      <c r="B122" t="s">
        <v>240</v>
      </c>
      <c r="C122" t="s">
        <v>4472</v>
      </c>
      <c r="D122" s="177">
        <v>46165</v>
      </c>
      <c r="E122" s="177">
        <v>46165</v>
      </c>
      <c r="F122" s="120" t="s">
        <v>4473</v>
      </c>
      <c r="G122" s="178"/>
      <c r="H122" s="178">
        <v>118000</v>
      </c>
      <c r="I122" s="178">
        <v>8870967</v>
      </c>
    </row>
    <row r="123" spans="1:9" ht="28.5">
      <c r="A123" t="s">
        <v>4535</v>
      </c>
      <c r="B123" t="s">
        <v>240</v>
      </c>
      <c r="C123" t="s">
        <v>4476</v>
      </c>
      <c r="D123" s="177">
        <v>46165</v>
      </c>
      <c r="E123" s="177">
        <v>46165</v>
      </c>
      <c r="F123" s="120" t="s">
        <v>4477</v>
      </c>
      <c r="G123" s="178"/>
      <c r="H123" s="178">
        <v>200</v>
      </c>
      <c r="I123" s="178">
        <v>8870767</v>
      </c>
    </row>
    <row r="124" spans="1:9" ht="28.5">
      <c r="A124" t="s">
        <v>4535</v>
      </c>
      <c r="B124" t="s">
        <v>240</v>
      </c>
      <c r="C124" t="s">
        <v>4476</v>
      </c>
      <c r="D124" s="177">
        <v>46165</v>
      </c>
      <c r="E124" s="177">
        <v>46165</v>
      </c>
      <c r="F124" s="120" t="s">
        <v>4479</v>
      </c>
      <c r="G124" s="178"/>
      <c r="H124" s="178">
        <v>36000</v>
      </c>
      <c r="I124" s="178">
        <v>8834767</v>
      </c>
    </row>
    <row r="125" spans="1:9">
      <c r="A125" t="s">
        <v>4535</v>
      </c>
      <c r="B125" t="s">
        <v>240</v>
      </c>
      <c r="C125" t="s">
        <v>4481</v>
      </c>
      <c r="D125" s="177">
        <v>46167</v>
      </c>
      <c r="E125" s="177">
        <v>46167</v>
      </c>
      <c r="F125" s="120" t="s">
        <v>732</v>
      </c>
      <c r="G125" s="178"/>
      <c r="H125" s="178">
        <v>100</v>
      </c>
      <c r="I125" s="178">
        <v>8834667</v>
      </c>
    </row>
    <row r="126" spans="1:9">
      <c r="A126" t="s">
        <v>4535</v>
      </c>
      <c r="B126" t="s">
        <v>240</v>
      </c>
      <c r="C126" t="s">
        <v>4481</v>
      </c>
      <c r="D126" s="177">
        <v>46167</v>
      </c>
      <c r="E126" s="177">
        <v>46167</v>
      </c>
      <c r="F126" s="120" t="s">
        <v>734</v>
      </c>
      <c r="G126" s="178"/>
      <c r="H126" s="178">
        <v>28989</v>
      </c>
      <c r="I126" s="178">
        <v>8805678</v>
      </c>
    </row>
    <row r="127" spans="1:9">
      <c r="A127" t="s">
        <v>4535</v>
      </c>
      <c r="B127" t="s">
        <v>240</v>
      </c>
      <c r="C127" t="s">
        <v>4485</v>
      </c>
      <c r="D127" s="177">
        <v>46167</v>
      </c>
      <c r="E127" s="177">
        <v>46167</v>
      </c>
      <c r="F127" s="120" t="s">
        <v>738</v>
      </c>
      <c r="G127" s="178"/>
      <c r="H127" s="178">
        <v>100</v>
      </c>
      <c r="I127" s="178">
        <v>8805578</v>
      </c>
    </row>
    <row r="128" spans="1:9">
      <c r="A128" t="s">
        <v>4535</v>
      </c>
      <c r="B128" t="s">
        <v>240</v>
      </c>
      <c r="C128" t="s">
        <v>4485</v>
      </c>
      <c r="D128" s="177">
        <v>46167</v>
      </c>
      <c r="E128" s="177">
        <v>46167</v>
      </c>
      <c r="F128" s="120" t="s">
        <v>740</v>
      </c>
      <c r="G128" s="178"/>
      <c r="H128" s="178">
        <v>172224</v>
      </c>
      <c r="I128" s="178">
        <v>8633354</v>
      </c>
    </row>
    <row r="129" spans="1:9" ht="28.5">
      <c r="A129" t="s">
        <v>4535</v>
      </c>
      <c r="B129" t="s">
        <v>240</v>
      </c>
      <c r="C129" t="s">
        <v>4489</v>
      </c>
      <c r="D129" s="177">
        <v>46167</v>
      </c>
      <c r="E129" s="177">
        <v>46167</v>
      </c>
      <c r="F129" s="120" t="s">
        <v>4490</v>
      </c>
      <c r="G129" s="178"/>
      <c r="H129" s="178">
        <v>20461</v>
      </c>
      <c r="I129" s="178">
        <v>8612893</v>
      </c>
    </row>
    <row r="130" spans="1:9" ht="28.5">
      <c r="A130" t="s">
        <v>4535</v>
      </c>
      <c r="B130" t="s">
        <v>240</v>
      </c>
      <c r="C130" t="s">
        <v>4493</v>
      </c>
      <c r="D130" s="177">
        <v>46168</v>
      </c>
      <c r="E130" s="177">
        <v>46168</v>
      </c>
      <c r="F130" s="120" t="s">
        <v>4494</v>
      </c>
      <c r="G130" s="178"/>
      <c r="H130" s="178">
        <v>200</v>
      </c>
      <c r="I130" s="178">
        <v>8612693</v>
      </c>
    </row>
    <row r="131" spans="1:9" ht="28.5">
      <c r="A131" t="s">
        <v>4535</v>
      </c>
      <c r="B131" t="s">
        <v>240</v>
      </c>
      <c r="C131" t="s">
        <v>4493</v>
      </c>
      <c r="D131" s="177">
        <v>46168</v>
      </c>
      <c r="E131" s="177">
        <v>46168</v>
      </c>
      <c r="F131" s="120" t="s">
        <v>4496</v>
      </c>
      <c r="G131" s="178"/>
      <c r="H131" s="178">
        <v>46800</v>
      </c>
      <c r="I131" s="178">
        <v>8565893</v>
      </c>
    </row>
    <row r="132" spans="1:9">
      <c r="A132" t="s">
        <v>4535</v>
      </c>
      <c r="B132" t="s">
        <v>240</v>
      </c>
      <c r="C132" t="s">
        <v>4499</v>
      </c>
      <c r="D132" s="177">
        <v>46171</v>
      </c>
      <c r="E132" s="177">
        <v>46171</v>
      </c>
      <c r="F132" s="120" t="s">
        <v>4500</v>
      </c>
      <c r="G132" s="178">
        <v>300000</v>
      </c>
      <c r="H132" s="178"/>
      <c r="I132" s="178">
        <v>8865893</v>
      </c>
    </row>
    <row r="133" spans="1:9" ht="28.5">
      <c r="A133" t="s">
        <v>4535</v>
      </c>
      <c r="B133" t="s">
        <v>240</v>
      </c>
      <c r="C133" t="s">
        <v>4502</v>
      </c>
      <c r="D133" s="177">
        <v>46172</v>
      </c>
      <c r="E133" s="177">
        <v>46172</v>
      </c>
      <c r="F133" s="120" t="s">
        <v>4503</v>
      </c>
      <c r="G133" s="178"/>
      <c r="H133" s="178">
        <v>200</v>
      </c>
      <c r="I133" s="178">
        <v>8865693</v>
      </c>
    </row>
    <row r="134" spans="1:9" ht="28.5">
      <c r="A134" t="s">
        <v>4535</v>
      </c>
      <c r="B134" t="s">
        <v>240</v>
      </c>
      <c r="C134" t="s">
        <v>4502</v>
      </c>
      <c r="D134" s="177">
        <v>46172</v>
      </c>
      <c r="E134" s="177">
        <v>46172</v>
      </c>
      <c r="F134" s="120" t="s">
        <v>4505</v>
      </c>
      <c r="G134" s="178"/>
      <c r="H134" s="178">
        <v>50000</v>
      </c>
      <c r="I134" s="178">
        <v>8815693</v>
      </c>
    </row>
    <row r="135" spans="1:9">
      <c r="A135" t="s">
        <v>4535</v>
      </c>
      <c r="B135" t="s">
        <v>240</v>
      </c>
      <c r="C135" t="s">
        <v>4507</v>
      </c>
      <c r="D135" s="177">
        <v>46172</v>
      </c>
      <c r="E135" s="177">
        <v>46172</v>
      </c>
      <c r="F135" s="120" t="s">
        <v>4508</v>
      </c>
      <c r="G135" s="178">
        <v>30000</v>
      </c>
      <c r="H135" s="178"/>
      <c r="I135" s="178">
        <v>8845693</v>
      </c>
    </row>
    <row r="136" spans="1:9">
      <c r="A136" t="s">
        <v>4535</v>
      </c>
      <c r="B136" t="s">
        <v>240</v>
      </c>
      <c r="C136" t="s">
        <v>4510</v>
      </c>
      <c r="D136" s="177">
        <v>46172</v>
      </c>
      <c r="E136" s="177">
        <v>46172</v>
      </c>
      <c r="F136" s="120" t="s">
        <v>2705</v>
      </c>
      <c r="G136" s="178"/>
      <c r="H136" s="178">
        <v>1350</v>
      </c>
      <c r="I136" s="178">
        <v>8844343</v>
      </c>
    </row>
    <row r="137" spans="1:9">
      <c r="A137" t="s">
        <v>4535</v>
      </c>
      <c r="B137" t="s">
        <v>240</v>
      </c>
      <c r="C137" t="s">
        <v>4510</v>
      </c>
      <c r="D137" s="177">
        <v>46172</v>
      </c>
      <c r="E137" s="177">
        <v>46172</v>
      </c>
      <c r="F137" s="120" t="s">
        <v>2707</v>
      </c>
      <c r="G137" s="178"/>
      <c r="H137" s="178">
        <v>486000</v>
      </c>
      <c r="I137" s="178">
        <v>8358343</v>
      </c>
    </row>
    <row r="138" spans="1:9">
      <c r="A138" t="s">
        <v>4535</v>
      </c>
      <c r="B138" t="s">
        <v>240</v>
      </c>
      <c r="C138" t="s">
        <v>4513</v>
      </c>
      <c r="D138" s="177">
        <v>46172</v>
      </c>
      <c r="E138" s="177">
        <v>46172</v>
      </c>
      <c r="F138" s="120" t="s">
        <v>4514</v>
      </c>
      <c r="G138" s="178"/>
      <c r="H138" s="178">
        <v>1000</v>
      </c>
      <c r="I138" s="178">
        <v>8357343</v>
      </c>
    </row>
    <row r="139" spans="1:9">
      <c r="A139" t="s">
        <v>4535</v>
      </c>
      <c r="B139" t="s">
        <v>240</v>
      </c>
      <c r="C139" t="s">
        <v>4513</v>
      </c>
      <c r="D139" s="177">
        <v>46172</v>
      </c>
      <c r="E139" s="177">
        <v>46172</v>
      </c>
      <c r="F139" s="120" t="s">
        <v>4516</v>
      </c>
      <c r="G139" s="178"/>
      <c r="H139" s="178">
        <v>300000</v>
      </c>
      <c r="I139" s="178">
        <v>8057343</v>
      </c>
    </row>
    <row r="140" spans="1:9">
      <c r="A140" t="s">
        <v>4535</v>
      </c>
      <c r="B140" t="s">
        <v>240</v>
      </c>
      <c r="C140" t="s">
        <v>4518</v>
      </c>
      <c r="D140" s="177">
        <v>46172</v>
      </c>
      <c r="E140" s="177">
        <v>46172</v>
      </c>
      <c r="F140" s="120" t="s">
        <v>4519</v>
      </c>
      <c r="G140" s="178"/>
      <c r="H140" s="178">
        <v>100</v>
      </c>
      <c r="I140" s="178">
        <v>8057243</v>
      </c>
    </row>
    <row r="141" spans="1:9">
      <c r="A141" t="s">
        <v>4535</v>
      </c>
      <c r="B141" t="s">
        <v>240</v>
      </c>
      <c r="C141" t="s">
        <v>4518</v>
      </c>
      <c r="D141" s="177">
        <v>46172</v>
      </c>
      <c r="E141" s="177">
        <v>46172</v>
      </c>
      <c r="F141" s="120" t="s">
        <v>4521</v>
      </c>
      <c r="G141" s="178"/>
      <c r="H141" s="178">
        <v>70000</v>
      </c>
      <c r="I141" s="178">
        <v>7987243</v>
      </c>
    </row>
    <row r="142" spans="1:9">
      <c r="A142" t="s">
        <v>4535</v>
      </c>
      <c r="B142" t="s">
        <v>240</v>
      </c>
      <c r="C142" t="s">
        <v>4523</v>
      </c>
      <c r="D142" s="177">
        <v>46172</v>
      </c>
      <c r="E142" s="177">
        <v>46172</v>
      </c>
      <c r="F142" s="120" t="s">
        <v>4524</v>
      </c>
      <c r="G142" s="178"/>
      <c r="H142" s="178">
        <v>200</v>
      </c>
      <c r="I142" s="178">
        <v>7987043</v>
      </c>
    </row>
    <row r="143" spans="1:9" ht="28.5">
      <c r="A143" t="s">
        <v>4535</v>
      </c>
      <c r="B143" t="s">
        <v>240</v>
      </c>
      <c r="C143" t="s">
        <v>4523</v>
      </c>
      <c r="D143" s="177">
        <v>46172</v>
      </c>
      <c r="E143" s="177">
        <v>46172</v>
      </c>
      <c r="F143" s="120" t="s">
        <v>4526</v>
      </c>
      <c r="G143" s="178"/>
      <c r="H143" s="178">
        <v>90000</v>
      </c>
      <c r="I143" s="178">
        <v>7897043</v>
      </c>
    </row>
    <row r="144" spans="1:9">
      <c r="B144" t="s">
        <v>240</v>
      </c>
      <c r="C144" t="s">
        <v>4528</v>
      </c>
      <c r="D144" s="177">
        <v>46173</v>
      </c>
      <c r="E144" s="177">
        <v>46173</v>
      </c>
      <c r="F144" s="120" t="s">
        <v>4529</v>
      </c>
      <c r="G144" s="178"/>
      <c r="H144" s="178">
        <v>5000</v>
      </c>
      <c r="I144" s="178">
        <v>7892043</v>
      </c>
    </row>
    <row r="145" spans="1:9">
      <c r="A145" t="s">
        <v>4535</v>
      </c>
      <c r="B145" t="s">
        <v>240</v>
      </c>
      <c r="C145" t="s">
        <v>4531</v>
      </c>
      <c r="D145" s="177">
        <v>46173</v>
      </c>
      <c r="E145" s="177">
        <v>46173</v>
      </c>
      <c r="F145" s="120" t="s">
        <v>4053</v>
      </c>
      <c r="G145" s="178"/>
      <c r="H145" s="178">
        <v>5179027</v>
      </c>
      <c r="I145" s="178">
        <v>2713016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Views>
    <sheetView tabSelected="1" topLeftCell="E167" zoomScale="145" zoomScaleNormal="145" workbookViewId="0">
      <selection activeCell="G16" sqref="G16"/>
    </sheetView>
  </sheetViews>
  <sheetFormatPr defaultRowHeight="14.25"/>
  <cols>
    <col min="1" max="1" width="16" customWidth="1"/>
    <col min="2" max="2" width="10" customWidth="1"/>
    <col min="3" max="3" width="22" customWidth="1"/>
    <col min="4" max="5" width="13" customWidth="1"/>
    <col min="6" max="6" width="53.5" customWidth="1"/>
    <col min="7" max="7" width="11.375" customWidth="1"/>
    <col min="8" max="8" width="10" customWidth="1"/>
    <col min="9" max="9" width="14" customWidth="1"/>
  </cols>
  <sheetData>
    <row r="1" spans="1:9" ht="19.149999999999999" customHeight="1">
      <c r="A1" s="179" t="s">
        <v>223</v>
      </c>
      <c r="B1" s="179" t="s">
        <v>224</v>
      </c>
      <c r="C1" s="179" t="s">
        <v>225</v>
      </c>
      <c r="D1" s="179" t="s">
        <v>226</v>
      </c>
      <c r="E1" s="179" t="s">
        <v>227</v>
      </c>
      <c r="F1" s="179" t="s">
        <v>228</v>
      </c>
      <c r="G1" s="179" t="s">
        <v>229</v>
      </c>
      <c r="H1" s="179" t="s">
        <v>230</v>
      </c>
      <c r="I1" s="179" t="s">
        <v>231</v>
      </c>
    </row>
    <row r="2" spans="1:9" ht="28.5">
      <c r="A2" s="180" t="s">
        <v>4535</v>
      </c>
      <c r="B2" s="122" t="s">
        <v>240</v>
      </c>
      <c r="C2" s="122" t="s">
        <v>4538</v>
      </c>
      <c r="D2" s="181">
        <v>46174</v>
      </c>
      <c r="E2" s="181">
        <v>46174</v>
      </c>
      <c r="F2" s="122" t="s">
        <v>4850</v>
      </c>
      <c r="G2" s="182">
        <v>330000</v>
      </c>
      <c r="H2" s="182"/>
      <c r="I2" s="182">
        <v>3043016</v>
      </c>
    </row>
    <row r="3" spans="1:9" ht="28.5">
      <c r="A3" s="180" t="s">
        <v>4535</v>
      </c>
      <c r="B3" s="122" t="s">
        <v>240</v>
      </c>
      <c r="C3" s="122" t="s">
        <v>4539</v>
      </c>
      <c r="D3" s="181">
        <v>46174</v>
      </c>
      <c r="E3" s="181">
        <v>46174</v>
      </c>
      <c r="F3" s="122" t="s">
        <v>4540</v>
      </c>
      <c r="G3" s="182"/>
      <c r="H3" s="182">
        <v>200</v>
      </c>
      <c r="I3" s="182">
        <v>3042816</v>
      </c>
    </row>
    <row r="4" spans="1:9" ht="42.75">
      <c r="A4" s="180" t="s">
        <v>4535</v>
      </c>
      <c r="B4" s="122" t="s">
        <v>240</v>
      </c>
      <c r="C4" s="122" t="s">
        <v>4539</v>
      </c>
      <c r="D4" s="181">
        <v>46174</v>
      </c>
      <c r="E4" s="181">
        <v>46174</v>
      </c>
      <c r="F4" s="122" t="s">
        <v>4541</v>
      </c>
      <c r="G4" s="182"/>
      <c r="H4" s="182">
        <v>50000</v>
      </c>
      <c r="I4" s="182">
        <v>2992816</v>
      </c>
    </row>
    <row r="5" spans="1:9" ht="57">
      <c r="A5" s="180" t="s">
        <v>4535</v>
      </c>
      <c r="B5" s="122" t="s">
        <v>240</v>
      </c>
      <c r="C5" s="122" t="s">
        <v>4542</v>
      </c>
      <c r="D5" s="181">
        <v>46174</v>
      </c>
      <c r="E5" s="181">
        <v>46174</v>
      </c>
      <c r="F5" s="122" t="s">
        <v>4543</v>
      </c>
      <c r="G5" s="182"/>
      <c r="H5" s="182">
        <v>200</v>
      </c>
      <c r="I5" s="182">
        <v>2992616</v>
      </c>
    </row>
    <row r="6" spans="1:9" ht="42.75">
      <c r="A6" s="180" t="s">
        <v>4535</v>
      </c>
      <c r="B6" s="122" t="s">
        <v>240</v>
      </c>
      <c r="C6" s="122" t="s">
        <v>4542</v>
      </c>
      <c r="D6" s="181">
        <v>46174</v>
      </c>
      <c r="E6" s="181">
        <v>46174</v>
      </c>
      <c r="F6" s="122" t="s">
        <v>4544</v>
      </c>
      <c r="G6" s="182"/>
      <c r="H6" s="182">
        <v>350000</v>
      </c>
      <c r="I6" s="182">
        <v>2642616</v>
      </c>
    </row>
    <row r="7" spans="1:9" ht="28.5">
      <c r="A7" s="180" t="s">
        <v>4535</v>
      </c>
      <c r="B7" s="122" t="s">
        <v>240</v>
      </c>
      <c r="C7" s="122" t="s">
        <v>4545</v>
      </c>
      <c r="D7" s="181">
        <v>46174</v>
      </c>
      <c r="E7" s="181">
        <v>46174</v>
      </c>
      <c r="F7" s="122" t="s">
        <v>4546</v>
      </c>
      <c r="G7" s="182"/>
      <c r="H7" s="182">
        <v>250</v>
      </c>
      <c r="I7" s="182">
        <v>2642366</v>
      </c>
    </row>
    <row r="8" spans="1:9" ht="28.5">
      <c r="A8" s="180" t="s">
        <v>4535</v>
      </c>
      <c r="B8" s="122" t="s">
        <v>240</v>
      </c>
      <c r="C8" s="122" t="s">
        <v>4545</v>
      </c>
      <c r="D8" s="181">
        <v>46174</v>
      </c>
      <c r="E8" s="181">
        <v>46174</v>
      </c>
      <c r="F8" s="122" t="s">
        <v>4547</v>
      </c>
      <c r="G8" s="182"/>
      <c r="H8" s="182">
        <v>15000</v>
      </c>
      <c r="I8" s="182">
        <v>2627366</v>
      </c>
    </row>
    <row r="9" spans="1:9" ht="28.5">
      <c r="A9" s="180" t="s">
        <v>4535</v>
      </c>
      <c r="B9" s="122" t="s">
        <v>240</v>
      </c>
      <c r="C9" s="122" t="s">
        <v>4548</v>
      </c>
      <c r="D9" s="181">
        <v>46174</v>
      </c>
      <c r="E9" s="181">
        <v>46174</v>
      </c>
      <c r="F9" s="122" t="s">
        <v>4851</v>
      </c>
      <c r="G9" s="182">
        <v>400000</v>
      </c>
      <c r="H9" s="182"/>
      <c r="I9" s="182">
        <v>3027366</v>
      </c>
    </row>
    <row r="10" spans="1:9" ht="28.5">
      <c r="A10" s="180" t="s">
        <v>4535</v>
      </c>
      <c r="B10" s="122" t="s">
        <v>240</v>
      </c>
      <c r="C10" s="122" t="s">
        <v>4549</v>
      </c>
      <c r="D10" s="181">
        <v>46174</v>
      </c>
      <c r="E10" s="181">
        <v>46174</v>
      </c>
      <c r="F10" s="122" t="s">
        <v>4853</v>
      </c>
      <c r="G10" s="182">
        <v>370000</v>
      </c>
      <c r="H10" s="182"/>
      <c r="I10" s="182">
        <v>3397366</v>
      </c>
    </row>
    <row r="11" spans="1:9" ht="28.5">
      <c r="A11" s="180" t="s">
        <v>4535</v>
      </c>
      <c r="B11" s="122" t="s">
        <v>240</v>
      </c>
      <c r="C11" s="122" t="s">
        <v>4550</v>
      </c>
      <c r="D11" s="181">
        <v>46175</v>
      </c>
      <c r="E11" s="181">
        <v>46175</v>
      </c>
      <c r="F11" s="122" t="s">
        <v>4852</v>
      </c>
      <c r="G11" s="182">
        <v>330000</v>
      </c>
      <c r="H11" s="182"/>
      <c r="I11" s="182">
        <v>3727366</v>
      </c>
    </row>
    <row r="12" spans="1:9" ht="42.75">
      <c r="A12" s="180" t="s">
        <v>4535</v>
      </c>
      <c r="B12" s="122" t="s">
        <v>240</v>
      </c>
      <c r="C12" s="122" t="s">
        <v>4551</v>
      </c>
      <c r="D12" s="181">
        <v>46175</v>
      </c>
      <c r="E12" s="181">
        <v>46175</v>
      </c>
      <c r="F12" s="122" t="s">
        <v>4552</v>
      </c>
      <c r="G12" s="182">
        <v>330000</v>
      </c>
      <c r="H12" s="182">
        <v>200</v>
      </c>
      <c r="I12" s="182">
        <v>3727166</v>
      </c>
    </row>
    <row r="13" spans="1:9" ht="42.75">
      <c r="A13" s="180" t="s">
        <v>4535</v>
      </c>
      <c r="B13" s="122" t="s">
        <v>240</v>
      </c>
      <c r="C13" s="122" t="s">
        <v>4551</v>
      </c>
      <c r="D13" s="181">
        <v>46175</v>
      </c>
      <c r="E13" s="181">
        <v>46175</v>
      </c>
      <c r="F13" s="122" t="s">
        <v>4553</v>
      </c>
      <c r="G13" s="182">
        <v>330000</v>
      </c>
      <c r="H13" s="182">
        <v>80000</v>
      </c>
      <c r="I13" s="182">
        <v>3647166</v>
      </c>
    </row>
    <row r="14" spans="1:9" ht="28.5">
      <c r="A14" s="180" t="s">
        <v>4535</v>
      </c>
      <c r="B14" s="122" t="s">
        <v>240</v>
      </c>
      <c r="C14" s="122" t="s">
        <v>4554</v>
      </c>
      <c r="D14" s="181">
        <v>46175</v>
      </c>
      <c r="E14" s="181">
        <v>46175</v>
      </c>
      <c r="F14" s="122" t="s">
        <v>4854</v>
      </c>
      <c r="G14" s="182">
        <v>750000</v>
      </c>
      <c r="H14" s="182"/>
      <c r="I14" s="182">
        <v>4397166</v>
      </c>
    </row>
    <row r="15" spans="1:9" ht="28.5">
      <c r="A15" s="180" t="s">
        <v>4535</v>
      </c>
      <c r="B15" s="122" t="s">
        <v>240</v>
      </c>
      <c r="C15" s="122" t="s">
        <v>4555</v>
      </c>
      <c r="D15" s="181">
        <v>46175</v>
      </c>
      <c r="E15" s="181">
        <v>46175</v>
      </c>
      <c r="F15" s="122" t="s">
        <v>4855</v>
      </c>
      <c r="G15" s="182">
        <v>250000</v>
      </c>
      <c r="H15" s="182"/>
      <c r="I15" s="182">
        <v>4647166</v>
      </c>
    </row>
    <row r="16" spans="1:9" ht="28.5">
      <c r="A16" s="180" t="s">
        <v>4535</v>
      </c>
      <c r="B16" s="122" t="s">
        <v>240</v>
      </c>
      <c r="C16" s="122" t="s">
        <v>4556</v>
      </c>
      <c r="D16" s="181">
        <v>46175</v>
      </c>
      <c r="E16" s="181">
        <v>46175</v>
      </c>
      <c r="F16" s="122" t="s">
        <v>4856</v>
      </c>
      <c r="G16" s="182">
        <v>500000</v>
      </c>
      <c r="H16" s="182"/>
      <c r="I16" s="182">
        <v>5147166</v>
      </c>
    </row>
    <row r="17" spans="1:9" ht="28.5">
      <c r="A17" s="180" t="s">
        <v>4535</v>
      </c>
      <c r="B17" s="122" t="s">
        <v>240</v>
      </c>
      <c r="C17" s="122" t="s">
        <v>4557</v>
      </c>
      <c r="D17" s="181">
        <v>46175</v>
      </c>
      <c r="E17" s="181">
        <v>46175</v>
      </c>
      <c r="F17" s="122" t="s">
        <v>4857</v>
      </c>
      <c r="G17" s="182">
        <v>330000</v>
      </c>
      <c r="H17" s="182"/>
      <c r="I17" s="182">
        <v>5477166</v>
      </c>
    </row>
    <row r="18" spans="1:9" ht="42.75">
      <c r="A18" s="180" t="s">
        <v>4535</v>
      </c>
      <c r="B18" s="122" t="s">
        <v>240</v>
      </c>
      <c r="C18" s="122" t="s">
        <v>4558</v>
      </c>
      <c r="D18" s="181">
        <v>46176</v>
      </c>
      <c r="E18" s="181">
        <v>46176</v>
      </c>
      <c r="F18" s="122" t="s">
        <v>4559</v>
      </c>
      <c r="G18" s="182"/>
      <c r="H18" s="182">
        <v>30000</v>
      </c>
      <c r="I18" s="182">
        <v>5447166</v>
      </c>
    </row>
    <row r="19" spans="1:9" ht="28.5">
      <c r="A19" s="180" t="s">
        <v>4535</v>
      </c>
      <c r="B19" s="122" t="s">
        <v>240</v>
      </c>
      <c r="C19" s="122" t="s">
        <v>4560</v>
      </c>
      <c r="D19" s="181">
        <v>46176</v>
      </c>
      <c r="E19" s="181">
        <v>46176</v>
      </c>
      <c r="F19" s="122" t="s">
        <v>4561</v>
      </c>
      <c r="G19" s="182"/>
      <c r="H19" s="182">
        <v>200</v>
      </c>
      <c r="I19" s="182">
        <v>5446966</v>
      </c>
    </row>
    <row r="20" spans="1:9" ht="42.75">
      <c r="A20" s="180" t="s">
        <v>4535</v>
      </c>
      <c r="B20" s="122" t="s">
        <v>240</v>
      </c>
      <c r="C20" s="122" t="s">
        <v>4560</v>
      </c>
      <c r="D20" s="181">
        <v>46176</v>
      </c>
      <c r="E20" s="181">
        <v>46176</v>
      </c>
      <c r="F20" s="122" t="s">
        <v>4562</v>
      </c>
      <c r="G20" s="182"/>
      <c r="H20" s="182">
        <v>22000</v>
      </c>
      <c r="I20" s="182">
        <v>5424966</v>
      </c>
    </row>
    <row r="21" spans="1:9" ht="42.75">
      <c r="A21" s="180" t="s">
        <v>4535</v>
      </c>
      <c r="B21" s="122" t="s">
        <v>240</v>
      </c>
      <c r="C21" s="122" t="s">
        <v>4563</v>
      </c>
      <c r="D21" s="181">
        <v>46176</v>
      </c>
      <c r="E21" s="181">
        <v>46176</v>
      </c>
      <c r="F21" s="122" t="s">
        <v>4564</v>
      </c>
      <c r="G21" s="182"/>
      <c r="H21" s="182">
        <v>70000</v>
      </c>
      <c r="I21" s="182">
        <v>5354966</v>
      </c>
    </row>
    <row r="22" spans="1:9" ht="42.75">
      <c r="A22" s="180" t="s">
        <v>4535</v>
      </c>
      <c r="B22" s="122" t="s">
        <v>240</v>
      </c>
      <c r="C22" s="122" t="s">
        <v>4565</v>
      </c>
      <c r="D22" s="181">
        <v>46176</v>
      </c>
      <c r="E22" s="181">
        <v>46176</v>
      </c>
      <c r="F22" s="122" t="s">
        <v>4566</v>
      </c>
      <c r="G22" s="182"/>
      <c r="H22" s="182">
        <v>200</v>
      </c>
      <c r="I22" s="182">
        <v>5354766</v>
      </c>
    </row>
    <row r="23" spans="1:9" ht="42.75">
      <c r="A23" s="180" t="s">
        <v>4535</v>
      </c>
      <c r="B23" s="122" t="s">
        <v>240</v>
      </c>
      <c r="C23" s="122" t="s">
        <v>4565</v>
      </c>
      <c r="D23" s="181">
        <v>46176</v>
      </c>
      <c r="E23" s="181">
        <v>46176</v>
      </c>
      <c r="F23" s="122" t="s">
        <v>4567</v>
      </c>
      <c r="G23" s="182"/>
      <c r="H23" s="182">
        <v>15000</v>
      </c>
      <c r="I23" s="182">
        <v>5339766</v>
      </c>
    </row>
    <row r="24" spans="1:9" ht="28.5">
      <c r="A24" s="180" t="s">
        <v>4535</v>
      </c>
      <c r="B24" s="122" t="s">
        <v>240</v>
      </c>
      <c r="C24" s="122" t="s">
        <v>4568</v>
      </c>
      <c r="D24" s="181">
        <v>46176</v>
      </c>
      <c r="E24" s="181">
        <v>46176</v>
      </c>
      <c r="F24" s="122" t="s">
        <v>4569</v>
      </c>
      <c r="G24" s="182"/>
      <c r="H24" s="182">
        <v>54</v>
      </c>
      <c r="I24" s="182">
        <v>5339712</v>
      </c>
    </row>
    <row r="25" spans="1:9" ht="28.5">
      <c r="A25" s="180" t="s">
        <v>4535</v>
      </c>
      <c r="B25" s="122" t="s">
        <v>240</v>
      </c>
      <c r="C25" s="122" t="s">
        <v>4568</v>
      </c>
      <c r="D25" s="181">
        <v>46176</v>
      </c>
      <c r="E25" s="181">
        <v>46176</v>
      </c>
      <c r="F25" s="122" t="s">
        <v>4570</v>
      </c>
      <c r="G25" s="182"/>
      <c r="H25" s="182">
        <v>300</v>
      </c>
      <c r="I25" s="182">
        <v>5339412</v>
      </c>
    </row>
    <row r="26" spans="1:9" ht="28.5">
      <c r="A26" s="180" t="s">
        <v>4535</v>
      </c>
      <c r="B26" s="122" t="s">
        <v>240</v>
      </c>
      <c r="C26" s="122" t="s">
        <v>4568</v>
      </c>
      <c r="D26" s="181">
        <v>46176</v>
      </c>
      <c r="E26" s="181">
        <v>46176</v>
      </c>
      <c r="F26" s="122" t="s">
        <v>4571</v>
      </c>
      <c r="G26" s="182"/>
      <c r="H26" s="182">
        <v>30000</v>
      </c>
      <c r="I26" s="182">
        <v>5309412</v>
      </c>
    </row>
    <row r="27" spans="1:9" ht="42.75">
      <c r="A27" s="180" t="s">
        <v>4535</v>
      </c>
      <c r="B27" s="122" t="s">
        <v>240</v>
      </c>
      <c r="C27" s="122" t="s">
        <v>4572</v>
      </c>
      <c r="D27" s="181">
        <v>46176</v>
      </c>
      <c r="E27" s="181">
        <v>46176</v>
      </c>
      <c r="F27" s="122" t="s">
        <v>4573</v>
      </c>
      <c r="G27" s="182"/>
      <c r="H27" s="182">
        <v>20000</v>
      </c>
      <c r="I27" s="182">
        <v>5289412</v>
      </c>
    </row>
    <row r="28" spans="1:9" ht="28.5">
      <c r="A28" s="180" t="s">
        <v>4535</v>
      </c>
      <c r="B28" s="122" t="s">
        <v>240</v>
      </c>
      <c r="C28" s="122" t="s">
        <v>4574</v>
      </c>
      <c r="D28" s="181">
        <v>46176</v>
      </c>
      <c r="E28" s="181">
        <v>46176</v>
      </c>
      <c r="F28" s="122" t="s">
        <v>3801</v>
      </c>
      <c r="G28" s="182"/>
      <c r="H28" s="182">
        <v>170094</v>
      </c>
      <c r="I28" s="182">
        <v>5119318</v>
      </c>
    </row>
    <row r="29" spans="1:9" ht="42.75">
      <c r="A29" s="180" t="s">
        <v>4535</v>
      </c>
      <c r="B29" s="122" t="s">
        <v>240</v>
      </c>
      <c r="C29" s="122" t="s">
        <v>4575</v>
      </c>
      <c r="D29" s="181">
        <v>46176</v>
      </c>
      <c r="E29" s="181">
        <v>46176</v>
      </c>
      <c r="F29" s="122" t="s">
        <v>4576</v>
      </c>
      <c r="G29" s="182"/>
      <c r="H29" s="182">
        <v>200</v>
      </c>
      <c r="I29" s="182">
        <v>5119118</v>
      </c>
    </row>
    <row r="30" spans="1:9" ht="42.75">
      <c r="A30" s="180" t="s">
        <v>4535</v>
      </c>
      <c r="B30" s="122" t="s">
        <v>240</v>
      </c>
      <c r="C30" s="122" t="s">
        <v>4575</v>
      </c>
      <c r="D30" s="181">
        <v>46176</v>
      </c>
      <c r="E30" s="181">
        <v>46176</v>
      </c>
      <c r="F30" s="122" t="s">
        <v>4577</v>
      </c>
      <c r="G30" s="182"/>
      <c r="H30" s="182">
        <v>11000</v>
      </c>
      <c r="I30" s="182">
        <v>5108118</v>
      </c>
    </row>
    <row r="31" spans="1:9" ht="28.5">
      <c r="A31" s="180" t="s">
        <v>4535</v>
      </c>
      <c r="B31" s="122" t="s">
        <v>240</v>
      </c>
      <c r="C31" s="122" t="s">
        <v>4578</v>
      </c>
      <c r="D31" s="181">
        <v>46177</v>
      </c>
      <c r="E31" s="181">
        <v>46177</v>
      </c>
      <c r="F31" s="122" t="s">
        <v>4858</v>
      </c>
      <c r="G31" s="182">
        <v>275000</v>
      </c>
      <c r="H31" s="182"/>
      <c r="I31" s="182">
        <v>5383118</v>
      </c>
    </row>
    <row r="32" spans="1:9" ht="28.5">
      <c r="A32" s="180" t="s">
        <v>4535</v>
      </c>
      <c r="B32" s="122" t="s">
        <v>240</v>
      </c>
      <c r="C32" s="122" t="s">
        <v>4579</v>
      </c>
      <c r="D32" s="181">
        <v>46177</v>
      </c>
      <c r="E32" s="181">
        <v>46177</v>
      </c>
      <c r="F32" s="122" t="s">
        <v>4580</v>
      </c>
      <c r="G32" s="182"/>
      <c r="H32" s="182">
        <v>200</v>
      </c>
      <c r="I32" s="182">
        <v>5382918</v>
      </c>
    </row>
    <row r="33" spans="1:9" ht="42.75">
      <c r="A33" s="180" t="s">
        <v>4535</v>
      </c>
      <c r="B33" s="122" t="s">
        <v>240</v>
      </c>
      <c r="C33" s="122" t="s">
        <v>4579</v>
      </c>
      <c r="D33" s="181">
        <v>46177</v>
      </c>
      <c r="E33" s="181">
        <v>46177</v>
      </c>
      <c r="F33" s="122" t="s">
        <v>4581</v>
      </c>
      <c r="G33" s="182"/>
      <c r="H33" s="182">
        <v>25500</v>
      </c>
      <c r="I33" s="182">
        <v>5357418</v>
      </c>
    </row>
    <row r="34" spans="1:9" ht="28.5">
      <c r="A34" s="180" t="s">
        <v>4535</v>
      </c>
      <c r="B34" s="122" t="s">
        <v>240</v>
      </c>
      <c r="C34" s="122" t="s">
        <v>4582</v>
      </c>
      <c r="D34" s="181">
        <v>46177</v>
      </c>
      <c r="E34" s="181">
        <v>46177</v>
      </c>
      <c r="F34" s="122" t="s">
        <v>4583</v>
      </c>
      <c r="G34" s="182">
        <v>960000</v>
      </c>
      <c r="H34" s="182"/>
      <c r="I34" s="182">
        <v>6317418</v>
      </c>
    </row>
    <row r="35" spans="1:9" ht="42.75">
      <c r="A35" s="180" t="s">
        <v>4535</v>
      </c>
      <c r="B35" s="122" t="s">
        <v>240</v>
      </c>
      <c r="C35" s="122" t="s">
        <v>4584</v>
      </c>
      <c r="D35" s="181">
        <v>46177</v>
      </c>
      <c r="E35" s="181">
        <v>46177</v>
      </c>
      <c r="F35" s="122" t="s">
        <v>4585</v>
      </c>
      <c r="G35" s="182"/>
      <c r="H35" s="182">
        <v>1350</v>
      </c>
      <c r="I35" s="182">
        <v>6316068</v>
      </c>
    </row>
    <row r="36" spans="1:9" ht="42.75">
      <c r="A36" s="180" t="s">
        <v>4535</v>
      </c>
      <c r="B36" s="122" t="s">
        <v>240</v>
      </c>
      <c r="C36" s="122" t="s">
        <v>4584</v>
      </c>
      <c r="D36" s="181">
        <v>46177</v>
      </c>
      <c r="E36" s="181">
        <v>46177</v>
      </c>
      <c r="F36" s="122" t="s">
        <v>4586</v>
      </c>
      <c r="G36" s="182"/>
      <c r="H36" s="182">
        <v>627000</v>
      </c>
      <c r="I36" s="182">
        <v>5689068</v>
      </c>
    </row>
    <row r="37" spans="1:9" ht="28.5">
      <c r="A37" s="180" t="s">
        <v>4535</v>
      </c>
      <c r="B37" s="122" t="s">
        <v>240</v>
      </c>
      <c r="C37" s="122" t="s">
        <v>4587</v>
      </c>
      <c r="D37" s="181">
        <v>46177</v>
      </c>
      <c r="E37" s="181">
        <v>46177</v>
      </c>
      <c r="F37" s="122" t="s">
        <v>4859</v>
      </c>
      <c r="G37" s="182">
        <v>330000</v>
      </c>
      <c r="H37" s="182"/>
      <c r="I37" s="182">
        <v>6019068</v>
      </c>
    </row>
    <row r="38" spans="1:9" ht="28.5">
      <c r="A38" s="180" t="s">
        <v>4588</v>
      </c>
      <c r="B38" s="122" t="s">
        <v>240</v>
      </c>
      <c r="C38" s="122" t="s">
        <v>4589</v>
      </c>
      <c r="D38" s="181">
        <v>46177</v>
      </c>
      <c r="E38" s="181">
        <v>46177</v>
      </c>
      <c r="F38" s="122" t="s">
        <v>4860</v>
      </c>
      <c r="G38" s="182">
        <v>370000</v>
      </c>
      <c r="H38" s="182"/>
      <c r="I38" s="182">
        <v>6389068</v>
      </c>
    </row>
    <row r="39" spans="1:9" ht="28.5">
      <c r="A39" s="180" t="s">
        <v>4535</v>
      </c>
      <c r="B39" s="122" t="s">
        <v>240</v>
      </c>
      <c r="C39" s="122" t="s">
        <v>4590</v>
      </c>
      <c r="D39" s="181">
        <v>46177</v>
      </c>
      <c r="E39" s="181">
        <v>46177</v>
      </c>
      <c r="F39" s="122" t="s">
        <v>4861</v>
      </c>
      <c r="G39" s="182">
        <v>330000</v>
      </c>
      <c r="H39" s="182"/>
      <c r="I39" s="182">
        <v>6719068</v>
      </c>
    </row>
    <row r="40" spans="1:9" ht="42.75">
      <c r="A40" s="180" t="s">
        <v>4535</v>
      </c>
      <c r="B40" s="122" t="s">
        <v>240</v>
      </c>
      <c r="C40" s="122" t="s">
        <v>4591</v>
      </c>
      <c r="D40" s="181">
        <v>46177</v>
      </c>
      <c r="E40" s="181">
        <v>46177</v>
      </c>
      <c r="F40" s="122" t="s">
        <v>4592</v>
      </c>
      <c r="G40" s="182"/>
      <c r="H40" s="182">
        <v>200</v>
      </c>
      <c r="I40" s="182">
        <v>6718868</v>
      </c>
    </row>
    <row r="41" spans="1:9" ht="42.75">
      <c r="A41" s="180" t="s">
        <v>4535</v>
      </c>
      <c r="B41" s="122" t="s">
        <v>240</v>
      </c>
      <c r="C41" s="122" t="s">
        <v>4591</v>
      </c>
      <c r="D41" s="181">
        <v>46177</v>
      </c>
      <c r="E41" s="181">
        <v>46177</v>
      </c>
      <c r="F41" s="122" t="s">
        <v>4593</v>
      </c>
      <c r="G41" s="182"/>
      <c r="H41" s="182">
        <v>30000</v>
      </c>
      <c r="I41" s="182">
        <v>6688868</v>
      </c>
    </row>
    <row r="42" spans="1:9" ht="42.75">
      <c r="A42" s="180" t="s">
        <v>4535</v>
      </c>
      <c r="B42" s="122" t="s">
        <v>240</v>
      </c>
      <c r="C42" s="122" t="s">
        <v>4594</v>
      </c>
      <c r="D42" s="181">
        <v>46177</v>
      </c>
      <c r="E42" s="181">
        <v>46177</v>
      </c>
      <c r="F42" s="122" t="s">
        <v>4595</v>
      </c>
      <c r="G42" s="182"/>
      <c r="H42" s="182">
        <v>200</v>
      </c>
      <c r="I42" s="182">
        <v>6688668</v>
      </c>
    </row>
    <row r="43" spans="1:9" ht="42.75">
      <c r="A43" s="180" t="s">
        <v>4535</v>
      </c>
      <c r="B43" s="122" t="s">
        <v>240</v>
      </c>
      <c r="C43" s="122" t="s">
        <v>4594</v>
      </c>
      <c r="D43" s="181">
        <v>46177</v>
      </c>
      <c r="E43" s="181">
        <v>46177</v>
      </c>
      <c r="F43" s="122" t="s">
        <v>4596</v>
      </c>
      <c r="G43" s="182"/>
      <c r="H43" s="182">
        <v>50000</v>
      </c>
      <c r="I43" s="182">
        <v>6638668</v>
      </c>
    </row>
    <row r="44" spans="1:9" ht="28.5">
      <c r="A44" s="180" t="s">
        <v>4535</v>
      </c>
      <c r="B44" s="122" t="s">
        <v>240</v>
      </c>
      <c r="C44" s="122" t="s">
        <v>4597</v>
      </c>
      <c r="D44" s="181">
        <v>46178</v>
      </c>
      <c r="E44" s="181">
        <v>46178</v>
      </c>
      <c r="F44" s="122" t="s">
        <v>4862</v>
      </c>
      <c r="G44" s="182">
        <v>1800000</v>
      </c>
      <c r="H44" s="182"/>
      <c r="I44" s="182">
        <v>8438668</v>
      </c>
    </row>
    <row r="45" spans="1:9" ht="28.5">
      <c r="A45" s="180" t="s">
        <v>4598</v>
      </c>
      <c r="B45" s="122" t="s">
        <v>240</v>
      </c>
      <c r="C45" s="122" t="s">
        <v>4599</v>
      </c>
      <c r="D45" s="181">
        <v>46178</v>
      </c>
      <c r="E45" s="181">
        <v>46178</v>
      </c>
      <c r="F45" s="122" t="s">
        <v>4863</v>
      </c>
      <c r="G45" s="182">
        <v>420000</v>
      </c>
      <c r="H45" s="182"/>
      <c r="I45" s="182">
        <v>8858668</v>
      </c>
    </row>
    <row r="46" spans="1:9" ht="28.5">
      <c r="A46" s="180" t="s">
        <v>4535</v>
      </c>
      <c r="B46" s="122" t="s">
        <v>240</v>
      </c>
      <c r="C46" s="122" t="s">
        <v>4600</v>
      </c>
      <c r="D46" s="181">
        <v>46178</v>
      </c>
      <c r="E46" s="181">
        <v>46178</v>
      </c>
      <c r="F46" s="122" t="s">
        <v>4864</v>
      </c>
      <c r="G46" s="182">
        <v>160000</v>
      </c>
      <c r="H46" s="182"/>
      <c r="I46" s="182">
        <v>9018668</v>
      </c>
    </row>
    <row r="47" spans="1:9" ht="28.5">
      <c r="A47" s="180" t="s">
        <v>4535</v>
      </c>
      <c r="B47" s="122" t="s">
        <v>240</v>
      </c>
      <c r="C47" s="122" t="s">
        <v>4601</v>
      </c>
      <c r="D47" s="181">
        <v>46179</v>
      </c>
      <c r="E47" s="181">
        <v>46179</v>
      </c>
      <c r="F47" s="122" t="s">
        <v>4602</v>
      </c>
      <c r="G47" s="182"/>
      <c r="H47" s="182">
        <v>1350</v>
      </c>
      <c r="I47" s="182">
        <v>9017318</v>
      </c>
    </row>
    <row r="48" spans="1:9" ht="42.75">
      <c r="A48" s="180" t="s">
        <v>4535</v>
      </c>
      <c r="B48" s="122" t="s">
        <v>240</v>
      </c>
      <c r="C48" s="122" t="s">
        <v>4601</v>
      </c>
      <c r="D48" s="181">
        <v>46179</v>
      </c>
      <c r="E48" s="181">
        <v>46179</v>
      </c>
      <c r="F48" s="122" t="s">
        <v>4603</v>
      </c>
      <c r="G48" s="182"/>
      <c r="H48" s="182">
        <v>200000</v>
      </c>
      <c r="I48" s="182">
        <v>8817318</v>
      </c>
    </row>
    <row r="49" spans="1:9" ht="42.75">
      <c r="A49" s="180" t="s">
        <v>4535</v>
      </c>
      <c r="B49" s="122" t="s">
        <v>240</v>
      </c>
      <c r="C49" s="122" t="s">
        <v>4604</v>
      </c>
      <c r="D49" s="181">
        <v>46179</v>
      </c>
      <c r="E49" s="181">
        <v>46179</v>
      </c>
      <c r="F49" s="122" t="s">
        <v>4865</v>
      </c>
      <c r="G49" s="182">
        <v>330000</v>
      </c>
      <c r="H49" s="182"/>
      <c r="I49" s="182">
        <v>9147318</v>
      </c>
    </row>
    <row r="50" spans="1:9" ht="28.5">
      <c r="A50" s="180" t="s">
        <v>4536</v>
      </c>
      <c r="B50" s="122" t="s">
        <v>240</v>
      </c>
      <c r="C50" s="122" t="s">
        <v>4605</v>
      </c>
      <c r="D50" s="181">
        <v>46181</v>
      </c>
      <c r="E50" s="181">
        <v>46181</v>
      </c>
      <c r="F50" s="122" t="s">
        <v>4785</v>
      </c>
      <c r="G50" s="182">
        <v>330000</v>
      </c>
      <c r="H50" s="182"/>
      <c r="I50" s="182">
        <v>9477318</v>
      </c>
    </row>
    <row r="51" spans="1:9" ht="28.5">
      <c r="A51" s="180" t="s">
        <v>4535</v>
      </c>
      <c r="B51" s="122" t="s">
        <v>240</v>
      </c>
      <c r="C51" s="122" t="s">
        <v>4606</v>
      </c>
      <c r="D51" s="181">
        <v>46182</v>
      </c>
      <c r="E51" s="181">
        <v>46182</v>
      </c>
      <c r="F51" s="122" t="s">
        <v>4866</v>
      </c>
      <c r="G51" s="182">
        <v>320000</v>
      </c>
      <c r="H51" s="182"/>
      <c r="I51" s="182">
        <v>9797318</v>
      </c>
    </row>
    <row r="52" spans="1:9" ht="28.5">
      <c r="A52" s="180" t="s">
        <v>4535</v>
      </c>
      <c r="B52" s="122" t="s">
        <v>240</v>
      </c>
      <c r="C52" s="122" t="s">
        <v>4607</v>
      </c>
      <c r="D52" s="181">
        <v>46182</v>
      </c>
      <c r="E52" s="181">
        <v>46182</v>
      </c>
      <c r="F52" s="122" t="s">
        <v>4867</v>
      </c>
      <c r="G52" s="182">
        <v>1050000</v>
      </c>
      <c r="H52" s="182"/>
      <c r="I52" s="182">
        <v>10847318</v>
      </c>
    </row>
    <row r="53" spans="1:9" ht="42.75">
      <c r="A53" s="180" t="s">
        <v>4535</v>
      </c>
      <c r="B53" s="122" t="s">
        <v>240</v>
      </c>
      <c r="C53" s="122" t="s">
        <v>4608</v>
      </c>
      <c r="D53" s="181">
        <v>46182</v>
      </c>
      <c r="E53" s="181">
        <v>46182</v>
      </c>
      <c r="F53" s="122" t="s">
        <v>4868</v>
      </c>
      <c r="G53" s="182">
        <v>400000</v>
      </c>
      <c r="H53" s="182"/>
      <c r="I53" s="182">
        <v>11247318</v>
      </c>
    </row>
    <row r="54" spans="1:9" ht="42.75">
      <c r="A54" s="180" t="s">
        <v>4535</v>
      </c>
      <c r="B54" s="122" t="s">
        <v>240</v>
      </c>
      <c r="C54" s="122" t="s">
        <v>4609</v>
      </c>
      <c r="D54" s="181">
        <v>46183</v>
      </c>
      <c r="E54" s="181">
        <v>46183</v>
      </c>
      <c r="F54" s="122" t="s">
        <v>4610</v>
      </c>
      <c r="G54" s="182"/>
      <c r="H54" s="182">
        <v>100</v>
      </c>
      <c r="I54" s="182">
        <v>11247218</v>
      </c>
    </row>
    <row r="55" spans="1:9" ht="42.75">
      <c r="A55" s="180" t="s">
        <v>4535</v>
      </c>
      <c r="B55" s="122" t="s">
        <v>240</v>
      </c>
      <c r="C55" s="122" t="s">
        <v>4609</v>
      </c>
      <c r="D55" s="181">
        <v>46183</v>
      </c>
      <c r="E55" s="181">
        <v>46183</v>
      </c>
      <c r="F55" s="122" t="s">
        <v>4611</v>
      </c>
      <c r="G55" s="182"/>
      <c r="H55" s="182">
        <v>200000</v>
      </c>
      <c r="I55" s="182">
        <v>11047218</v>
      </c>
    </row>
    <row r="56" spans="1:9" ht="42.75">
      <c r="A56" s="180" t="s">
        <v>4535</v>
      </c>
      <c r="B56" s="122" t="s">
        <v>240</v>
      </c>
      <c r="C56" s="122" t="s">
        <v>4612</v>
      </c>
      <c r="D56" s="181">
        <v>46183</v>
      </c>
      <c r="E56" s="181">
        <v>46183</v>
      </c>
      <c r="F56" s="122" t="s">
        <v>4613</v>
      </c>
      <c r="G56" s="182"/>
      <c r="H56" s="182">
        <v>200</v>
      </c>
      <c r="I56" s="182">
        <v>11047018</v>
      </c>
    </row>
    <row r="57" spans="1:9" ht="42.75">
      <c r="A57" s="180" t="s">
        <v>4535</v>
      </c>
      <c r="B57" s="122" t="s">
        <v>240</v>
      </c>
      <c r="C57" s="122" t="s">
        <v>4612</v>
      </c>
      <c r="D57" s="181">
        <v>46183</v>
      </c>
      <c r="E57" s="181">
        <v>46183</v>
      </c>
      <c r="F57" s="122" t="s">
        <v>4614</v>
      </c>
      <c r="G57" s="182"/>
      <c r="H57" s="182">
        <v>100000</v>
      </c>
      <c r="I57" s="182">
        <v>10947018</v>
      </c>
    </row>
    <row r="58" spans="1:9" ht="42.75">
      <c r="A58" s="180" t="s">
        <v>4535</v>
      </c>
      <c r="B58" s="122" t="s">
        <v>240</v>
      </c>
      <c r="C58" s="122" t="s">
        <v>4615</v>
      </c>
      <c r="D58" s="181">
        <v>46183</v>
      </c>
      <c r="E58" s="181">
        <v>46183</v>
      </c>
      <c r="F58" s="122" t="s">
        <v>4616</v>
      </c>
      <c r="G58" s="182"/>
      <c r="H58" s="182">
        <v>200</v>
      </c>
      <c r="I58" s="182">
        <v>10946818</v>
      </c>
    </row>
    <row r="59" spans="1:9" ht="42.75">
      <c r="A59" s="180" t="s">
        <v>4535</v>
      </c>
      <c r="B59" s="122" t="s">
        <v>240</v>
      </c>
      <c r="C59" s="122" t="s">
        <v>4615</v>
      </c>
      <c r="D59" s="181">
        <v>46183</v>
      </c>
      <c r="E59" s="181">
        <v>46183</v>
      </c>
      <c r="F59" s="122" t="s">
        <v>4617</v>
      </c>
      <c r="G59" s="182"/>
      <c r="H59" s="182">
        <v>150000</v>
      </c>
      <c r="I59" s="182">
        <v>10796818</v>
      </c>
    </row>
    <row r="60" spans="1:9" ht="42.75">
      <c r="A60" s="180" t="s">
        <v>4535</v>
      </c>
      <c r="B60" s="122" t="s">
        <v>240</v>
      </c>
      <c r="C60" s="122" t="s">
        <v>4618</v>
      </c>
      <c r="D60" s="181">
        <v>46183</v>
      </c>
      <c r="E60" s="181">
        <v>46183</v>
      </c>
      <c r="F60" s="122" t="s">
        <v>4619</v>
      </c>
      <c r="G60" s="182"/>
      <c r="H60" s="182">
        <v>200</v>
      </c>
      <c r="I60" s="182">
        <v>10796618</v>
      </c>
    </row>
    <row r="61" spans="1:9" ht="42.75">
      <c r="A61" s="180" t="s">
        <v>4535</v>
      </c>
      <c r="B61" s="122" t="s">
        <v>240</v>
      </c>
      <c r="C61" s="122" t="s">
        <v>4618</v>
      </c>
      <c r="D61" s="181">
        <v>46183</v>
      </c>
      <c r="E61" s="181">
        <v>46183</v>
      </c>
      <c r="F61" s="122" t="s">
        <v>4620</v>
      </c>
      <c r="G61" s="182"/>
      <c r="H61" s="182">
        <v>50000</v>
      </c>
      <c r="I61" s="182">
        <v>10746618</v>
      </c>
    </row>
    <row r="62" spans="1:9" ht="28.5">
      <c r="A62" s="180" t="s">
        <v>4621</v>
      </c>
      <c r="B62" s="122" t="s">
        <v>240</v>
      </c>
      <c r="C62" s="122" t="s">
        <v>4622</v>
      </c>
      <c r="D62" s="181">
        <v>46183</v>
      </c>
      <c r="E62" s="181">
        <v>46183</v>
      </c>
      <c r="F62" s="122" t="s">
        <v>4869</v>
      </c>
      <c r="G62" s="182">
        <v>520000</v>
      </c>
      <c r="H62" s="182"/>
      <c r="I62" s="182">
        <v>11266618</v>
      </c>
    </row>
    <row r="63" spans="1:9" ht="28.5">
      <c r="A63" s="180" t="s">
        <v>4535</v>
      </c>
      <c r="B63" s="122" t="s">
        <v>240</v>
      </c>
      <c r="C63" s="122" t="s">
        <v>4623</v>
      </c>
      <c r="D63" s="181">
        <v>46183</v>
      </c>
      <c r="E63" s="181">
        <v>46183</v>
      </c>
      <c r="F63" s="122" t="s">
        <v>4624</v>
      </c>
      <c r="G63" s="182">
        <v>750000</v>
      </c>
      <c r="H63" s="182"/>
      <c r="I63" s="182">
        <v>12016618</v>
      </c>
    </row>
    <row r="64" spans="1:9" ht="42.75">
      <c r="A64" s="180" t="s">
        <v>4535</v>
      </c>
      <c r="B64" s="122" t="s">
        <v>240</v>
      </c>
      <c r="C64" s="122" t="s">
        <v>4625</v>
      </c>
      <c r="D64" s="181">
        <v>46184</v>
      </c>
      <c r="E64" s="181">
        <v>46184</v>
      </c>
      <c r="F64" s="122" t="s">
        <v>4626</v>
      </c>
      <c r="G64" s="182"/>
      <c r="H64" s="182">
        <v>100</v>
      </c>
      <c r="I64" s="182">
        <v>12016518</v>
      </c>
    </row>
    <row r="65" spans="1:9" ht="42.75">
      <c r="A65" s="180" t="s">
        <v>4535</v>
      </c>
      <c r="B65" s="122" t="s">
        <v>240</v>
      </c>
      <c r="C65" s="122" t="s">
        <v>4625</v>
      </c>
      <c r="D65" s="181">
        <v>46184</v>
      </c>
      <c r="E65" s="181">
        <v>46184</v>
      </c>
      <c r="F65" s="122" t="s">
        <v>4627</v>
      </c>
      <c r="G65" s="182"/>
      <c r="H65" s="182">
        <v>445000</v>
      </c>
      <c r="I65" s="182">
        <v>11571518</v>
      </c>
    </row>
    <row r="66" spans="1:9" ht="42.75">
      <c r="A66" s="180" t="s">
        <v>4535</v>
      </c>
      <c r="B66" s="122" t="s">
        <v>240</v>
      </c>
      <c r="C66" s="122" t="s">
        <v>4628</v>
      </c>
      <c r="D66" s="181">
        <v>46184</v>
      </c>
      <c r="E66" s="181">
        <v>46184</v>
      </c>
      <c r="F66" s="122" t="s">
        <v>4629</v>
      </c>
      <c r="G66" s="182"/>
      <c r="H66" s="182">
        <v>200</v>
      </c>
      <c r="I66" s="182">
        <v>11571318</v>
      </c>
    </row>
    <row r="67" spans="1:9" ht="42.75">
      <c r="A67" s="180" t="s">
        <v>4535</v>
      </c>
      <c r="B67" s="122" t="s">
        <v>240</v>
      </c>
      <c r="C67" s="122" t="s">
        <v>4628</v>
      </c>
      <c r="D67" s="181">
        <v>46184</v>
      </c>
      <c r="E67" s="181">
        <v>46184</v>
      </c>
      <c r="F67" s="122" t="s">
        <v>4630</v>
      </c>
      <c r="G67" s="182"/>
      <c r="H67" s="182">
        <v>55000</v>
      </c>
      <c r="I67" s="182">
        <v>11516318</v>
      </c>
    </row>
    <row r="68" spans="1:9" ht="28.5">
      <c r="A68" s="180" t="s">
        <v>4535</v>
      </c>
      <c r="B68" s="122" t="s">
        <v>240</v>
      </c>
      <c r="C68" s="122" t="s">
        <v>4631</v>
      </c>
      <c r="D68" s="181">
        <v>46185</v>
      </c>
      <c r="E68" s="181">
        <v>46185</v>
      </c>
      <c r="F68" s="122" t="s">
        <v>4632</v>
      </c>
      <c r="G68" s="182"/>
      <c r="H68" s="182">
        <v>100</v>
      </c>
      <c r="I68" s="182">
        <v>11516218</v>
      </c>
    </row>
    <row r="69" spans="1:9" ht="28.5">
      <c r="A69" s="180" t="s">
        <v>4535</v>
      </c>
      <c r="B69" s="122" t="s">
        <v>240</v>
      </c>
      <c r="C69" s="122" t="s">
        <v>4631</v>
      </c>
      <c r="D69" s="181">
        <v>46185</v>
      </c>
      <c r="E69" s="181">
        <v>46185</v>
      </c>
      <c r="F69" s="122" t="s">
        <v>4633</v>
      </c>
      <c r="G69" s="182"/>
      <c r="H69" s="182">
        <v>1000000</v>
      </c>
      <c r="I69" s="182">
        <v>10516218</v>
      </c>
    </row>
    <row r="70" spans="1:9" ht="28.5">
      <c r="A70" s="180" t="s">
        <v>4535</v>
      </c>
      <c r="B70" s="122" t="s">
        <v>240</v>
      </c>
      <c r="C70" s="122" t="s">
        <v>4634</v>
      </c>
      <c r="D70" s="181">
        <v>46187</v>
      </c>
      <c r="E70" s="181">
        <v>46187</v>
      </c>
      <c r="F70" s="122" t="s">
        <v>4635</v>
      </c>
      <c r="G70" s="182"/>
      <c r="H70" s="182">
        <v>116835</v>
      </c>
      <c r="I70" s="182">
        <v>10399383</v>
      </c>
    </row>
    <row r="71" spans="1:9" ht="28.5">
      <c r="A71" s="180" t="s">
        <v>4535</v>
      </c>
      <c r="B71" s="122" t="s">
        <v>240</v>
      </c>
      <c r="C71" s="122" t="s">
        <v>4636</v>
      </c>
      <c r="D71" s="181">
        <v>46187</v>
      </c>
      <c r="E71" s="181">
        <v>46187</v>
      </c>
      <c r="F71" s="122" t="s">
        <v>4637</v>
      </c>
      <c r="G71" s="182"/>
      <c r="H71" s="182">
        <v>100</v>
      </c>
      <c r="I71" s="182">
        <v>10399283</v>
      </c>
    </row>
    <row r="72" spans="1:9" ht="28.5">
      <c r="A72" s="180" t="s">
        <v>4535</v>
      </c>
      <c r="B72" s="122" t="s">
        <v>240</v>
      </c>
      <c r="C72" s="122" t="s">
        <v>4636</v>
      </c>
      <c r="D72" s="181">
        <v>46187</v>
      </c>
      <c r="E72" s="181">
        <v>46187</v>
      </c>
      <c r="F72" s="122" t="s">
        <v>4638</v>
      </c>
      <c r="G72" s="182"/>
      <c r="H72" s="182">
        <v>1000000</v>
      </c>
      <c r="I72" s="182">
        <v>9399283</v>
      </c>
    </row>
    <row r="73" spans="1:9" ht="28.5">
      <c r="A73" s="180" t="s">
        <v>4535</v>
      </c>
      <c r="B73" s="122" t="s">
        <v>240</v>
      </c>
      <c r="C73" s="122" t="s">
        <v>4639</v>
      </c>
      <c r="D73" s="181">
        <v>46188</v>
      </c>
      <c r="E73" s="181">
        <v>46188</v>
      </c>
      <c r="F73" s="122" t="s">
        <v>4870</v>
      </c>
      <c r="G73" s="182">
        <v>330000</v>
      </c>
      <c r="H73" s="182"/>
      <c r="I73" s="182">
        <v>9729283</v>
      </c>
    </row>
    <row r="74" spans="1:9" ht="28.5">
      <c r="A74" s="180" t="s">
        <v>4535</v>
      </c>
      <c r="B74" s="122" t="s">
        <v>240</v>
      </c>
      <c r="C74" s="122" t="s">
        <v>4640</v>
      </c>
      <c r="D74" s="181">
        <v>46189</v>
      </c>
      <c r="E74" s="181">
        <v>46189</v>
      </c>
      <c r="F74" s="122" t="s">
        <v>4641</v>
      </c>
      <c r="G74" s="182"/>
      <c r="H74" s="182">
        <v>1350</v>
      </c>
      <c r="I74" s="182">
        <v>9727933</v>
      </c>
    </row>
    <row r="75" spans="1:9" ht="28.5">
      <c r="A75" s="180" t="s">
        <v>4535</v>
      </c>
      <c r="B75" s="122" t="s">
        <v>240</v>
      </c>
      <c r="C75" s="122" t="s">
        <v>4640</v>
      </c>
      <c r="D75" s="181">
        <v>46189</v>
      </c>
      <c r="E75" s="181">
        <v>46189</v>
      </c>
      <c r="F75" s="122" t="s">
        <v>4642</v>
      </c>
      <c r="G75" s="182"/>
      <c r="H75" s="182">
        <v>215000</v>
      </c>
      <c r="I75" s="182">
        <v>9512933</v>
      </c>
    </row>
    <row r="76" spans="1:9" ht="42.75">
      <c r="A76" s="180" t="s">
        <v>4535</v>
      </c>
      <c r="B76" s="122" t="s">
        <v>240</v>
      </c>
      <c r="C76" s="122" t="s">
        <v>4643</v>
      </c>
      <c r="D76" s="181">
        <v>46189</v>
      </c>
      <c r="E76" s="181">
        <v>46189</v>
      </c>
      <c r="F76" s="122" t="s">
        <v>4644</v>
      </c>
      <c r="G76" s="182"/>
      <c r="H76" s="182">
        <v>200</v>
      </c>
      <c r="I76" s="182">
        <v>9512733</v>
      </c>
    </row>
    <row r="77" spans="1:9" ht="42.75">
      <c r="A77" s="180" t="s">
        <v>4535</v>
      </c>
      <c r="B77" s="122" t="s">
        <v>240</v>
      </c>
      <c r="C77" s="122" t="s">
        <v>4643</v>
      </c>
      <c r="D77" s="181">
        <v>46189</v>
      </c>
      <c r="E77" s="181">
        <v>46189</v>
      </c>
      <c r="F77" s="122" t="s">
        <v>4645</v>
      </c>
      <c r="G77" s="182"/>
      <c r="H77" s="182">
        <v>33500</v>
      </c>
      <c r="I77" s="182">
        <v>9479233</v>
      </c>
    </row>
    <row r="78" spans="1:9" ht="28.5">
      <c r="A78" s="180" t="s">
        <v>4535</v>
      </c>
      <c r="B78" s="122" t="s">
        <v>240</v>
      </c>
      <c r="C78" s="122" t="s">
        <v>4646</v>
      </c>
      <c r="D78" s="181">
        <v>46189</v>
      </c>
      <c r="E78" s="181">
        <v>46189</v>
      </c>
      <c r="F78" s="122" t="s">
        <v>4647</v>
      </c>
      <c r="G78" s="182"/>
      <c r="H78" s="182">
        <v>29320</v>
      </c>
      <c r="I78" s="182">
        <v>9449913</v>
      </c>
    </row>
    <row r="79" spans="1:9" ht="28.5">
      <c r="A79" s="180" t="s">
        <v>4535</v>
      </c>
      <c r="B79" s="122" t="s">
        <v>240</v>
      </c>
      <c r="C79" s="122" t="s">
        <v>4648</v>
      </c>
      <c r="D79" s="181">
        <v>46189</v>
      </c>
      <c r="E79" s="181">
        <v>46189</v>
      </c>
      <c r="F79" s="122" t="s">
        <v>4649</v>
      </c>
      <c r="G79" s="182"/>
      <c r="H79" s="182">
        <v>10812</v>
      </c>
      <c r="I79" s="182">
        <v>9439101</v>
      </c>
    </row>
    <row r="80" spans="1:9" ht="28.5">
      <c r="A80" s="180" t="s">
        <v>4535</v>
      </c>
      <c r="B80" s="122" t="s">
        <v>240</v>
      </c>
      <c r="C80" s="122" t="s">
        <v>4650</v>
      </c>
      <c r="D80" s="181">
        <v>46189</v>
      </c>
      <c r="E80" s="181">
        <v>46189</v>
      </c>
      <c r="F80" s="122" t="s">
        <v>4651</v>
      </c>
      <c r="G80" s="182"/>
      <c r="H80" s="182">
        <v>11069</v>
      </c>
      <c r="I80" s="182">
        <v>9428032</v>
      </c>
    </row>
    <row r="81" spans="1:9" ht="28.5">
      <c r="A81" s="180" t="s">
        <v>4535</v>
      </c>
      <c r="B81" s="122" t="s">
        <v>240</v>
      </c>
      <c r="C81" s="122" t="s">
        <v>4652</v>
      </c>
      <c r="D81" s="181">
        <v>46189</v>
      </c>
      <c r="E81" s="181">
        <v>46189</v>
      </c>
      <c r="F81" s="122" t="s">
        <v>738</v>
      </c>
      <c r="G81" s="182"/>
      <c r="H81" s="182">
        <v>100</v>
      </c>
      <c r="I81" s="182">
        <v>9427932</v>
      </c>
    </row>
    <row r="82" spans="1:9" ht="28.5">
      <c r="A82" s="180" t="s">
        <v>4535</v>
      </c>
      <c r="B82" s="122" t="s">
        <v>240</v>
      </c>
      <c r="C82" s="122" t="s">
        <v>4652</v>
      </c>
      <c r="D82" s="181">
        <v>46189</v>
      </c>
      <c r="E82" s="181">
        <v>46189</v>
      </c>
      <c r="F82" s="122" t="s">
        <v>4653</v>
      </c>
      <c r="G82" s="182"/>
      <c r="H82" s="182">
        <v>171186</v>
      </c>
      <c r="I82" s="182">
        <v>9256746</v>
      </c>
    </row>
    <row r="83" spans="1:9" ht="28.5">
      <c r="A83" s="180" t="s">
        <v>4535</v>
      </c>
      <c r="B83" s="122" t="s">
        <v>240</v>
      </c>
      <c r="C83" s="122" t="s">
        <v>4654</v>
      </c>
      <c r="D83" s="181">
        <v>46189</v>
      </c>
      <c r="E83" s="181">
        <v>46189</v>
      </c>
      <c r="F83" s="122" t="s">
        <v>3851</v>
      </c>
      <c r="G83" s="182"/>
      <c r="H83" s="182">
        <v>100</v>
      </c>
      <c r="I83" s="182">
        <v>9256646</v>
      </c>
    </row>
    <row r="84" spans="1:9" ht="28.5">
      <c r="A84" s="180" t="s">
        <v>4535</v>
      </c>
      <c r="B84" s="122" t="s">
        <v>240</v>
      </c>
      <c r="C84" s="122" t="s">
        <v>4654</v>
      </c>
      <c r="D84" s="181">
        <v>46189</v>
      </c>
      <c r="E84" s="181">
        <v>46189</v>
      </c>
      <c r="F84" s="122" t="s">
        <v>4655</v>
      </c>
      <c r="G84" s="182"/>
      <c r="H84" s="182">
        <v>22998</v>
      </c>
      <c r="I84" s="182">
        <v>9233648</v>
      </c>
    </row>
    <row r="85" spans="1:9" ht="28.5">
      <c r="A85" s="180" t="s">
        <v>4535</v>
      </c>
      <c r="B85" s="122" t="s">
        <v>240</v>
      </c>
      <c r="C85" s="122" t="s">
        <v>4656</v>
      </c>
      <c r="D85" s="181">
        <v>46189</v>
      </c>
      <c r="E85" s="181">
        <v>46189</v>
      </c>
      <c r="F85" s="122" t="s">
        <v>4657</v>
      </c>
      <c r="G85" s="182"/>
      <c r="H85" s="182">
        <v>33451</v>
      </c>
      <c r="I85" s="182">
        <v>9200197</v>
      </c>
    </row>
    <row r="86" spans="1:9" ht="28.5">
      <c r="A86" s="180" t="s">
        <v>4621</v>
      </c>
      <c r="B86" s="122" t="s">
        <v>240</v>
      </c>
      <c r="C86" s="122" t="s">
        <v>4658</v>
      </c>
      <c r="D86" s="181">
        <v>46189</v>
      </c>
      <c r="E86" s="181">
        <v>46189</v>
      </c>
      <c r="F86" s="122" t="s">
        <v>4871</v>
      </c>
      <c r="G86" s="182">
        <v>720000</v>
      </c>
      <c r="H86" s="182"/>
      <c r="I86" s="182">
        <v>9920197</v>
      </c>
    </row>
    <row r="87" spans="1:9" ht="28.5">
      <c r="A87" s="180" t="s">
        <v>4659</v>
      </c>
      <c r="B87" s="122" t="s">
        <v>240</v>
      </c>
      <c r="C87" s="122" t="s">
        <v>4660</v>
      </c>
      <c r="D87" s="181">
        <v>46189</v>
      </c>
      <c r="E87" s="181">
        <v>46189</v>
      </c>
      <c r="F87" s="122" t="s">
        <v>4872</v>
      </c>
      <c r="G87" s="182">
        <v>600000</v>
      </c>
      <c r="H87" s="182"/>
      <c r="I87" s="182">
        <v>10520197</v>
      </c>
    </row>
    <row r="88" spans="1:9" ht="28.5">
      <c r="A88" s="180" t="s">
        <v>4535</v>
      </c>
      <c r="B88" s="122" t="s">
        <v>240</v>
      </c>
      <c r="C88" s="122" t="s">
        <v>4661</v>
      </c>
      <c r="D88" s="181">
        <v>46191</v>
      </c>
      <c r="E88" s="181">
        <v>46191</v>
      </c>
      <c r="F88" s="122" t="s">
        <v>4662</v>
      </c>
      <c r="G88" s="182"/>
      <c r="H88" s="182">
        <v>16653</v>
      </c>
      <c r="I88" s="182">
        <v>10503544</v>
      </c>
    </row>
    <row r="89" spans="1:9" ht="28.5">
      <c r="A89" s="180" t="s">
        <v>4535</v>
      </c>
      <c r="B89" s="122" t="s">
        <v>240</v>
      </c>
      <c r="C89" s="122" t="s">
        <v>4663</v>
      </c>
      <c r="D89" s="181">
        <v>46191</v>
      </c>
      <c r="E89" s="181">
        <v>46191</v>
      </c>
      <c r="F89" s="122" t="s">
        <v>4664</v>
      </c>
      <c r="G89" s="182"/>
      <c r="H89" s="182">
        <v>14416</v>
      </c>
      <c r="I89" s="182">
        <v>10489128</v>
      </c>
    </row>
    <row r="90" spans="1:9" ht="28.5">
      <c r="A90" s="180" t="s">
        <v>4535</v>
      </c>
      <c r="B90" s="122" t="s">
        <v>240</v>
      </c>
      <c r="C90" s="122" t="s">
        <v>4665</v>
      </c>
      <c r="D90" s="181">
        <v>46191</v>
      </c>
      <c r="E90" s="181">
        <v>46191</v>
      </c>
      <c r="F90" s="122" t="s">
        <v>4666</v>
      </c>
      <c r="G90" s="182"/>
      <c r="H90" s="182">
        <v>100</v>
      </c>
      <c r="I90" s="182">
        <v>10489028</v>
      </c>
    </row>
    <row r="91" spans="1:9" ht="28.5">
      <c r="A91" s="180" t="s">
        <v>4535</v>
      </c>
      <c r="B91" s="122" t="s">
        <v>240</v>
      </c>
      <c r="C91" s="122" t="s">
        <v>4665</v>
      </c>
      <c r="D91" s="181">
        <v>46191</v>
      </c>
      <c r="E91" s="181">
        <v>46191</v>
      </c>
      <c r="F91" s="122" t="s">
        <v>4667</v>
      </c>
      <c r="G91" s="182"/>
      <c r="H91" s="182">
        <v>900000</v>
      </c>
      <c r="I91" s="182">
        <v>9589028</v>
      </c>
    </row>
    <row r="92" spans="1:9" ht="28.5">
      <c r="A92" s="180" t="s">
        <v>4588</v>
      </c>
      <c r="B92" s="122" t="s">
        <v>240</v>
      </c>
      <c r="C92" s="122" t="s">
        <v>4668</v>
      </c>
      <c r="D92" s="181">
        <v>46191</v>
      </c>
      <c r="E92" s="181">
        <v>46191</v>
      </c>
      <c r="F92" s="122" t="s">
        <v>4873</v>
      </c>
      <c r="G92" s="182">
        <v>350000</v>
      </c>
      <c r="H92" s="182"/>
      <c r="I92" s="182">
        <v>9939028</v>
      </c>
    </row>
    <row r="93" spans="1:9" ht="28.5">
      <c r="A93" s="180" t="s">
        <v>4535</v>
      </c>
      <c r="B93" s="122" t="s">
        <v>240</v>
      </c>
      <c r="C93" s="122" t="s">
        <v>4669</v>
      </c>
      <c r="D93" s="181">
        <v>46191</v>
      </c>
      <c r="E93" s="181">
        <v>46191</v>
      </c>
      <c r="F93" s="122" t="s">
        <v>4874</v>
      </c>
      <c r="G93" s="182">
        <v>430000</v>
      </c>
      <c r="H93" s="182"/>
      <c r="I93" s="182">
        <v>10369028</v>
      </c>
    </row>
    <row r="94" spans="1:9" ht="28.5">
      <c r="A94" s="180" t="s">
        <v>4536</v>
      </c>
      <c r="B94" s="122" t="s">
        <v>240</v>
      </c>
      <c r="C94" s="122" t="s">
        <v>4670</v>
      </c>
      <c r="D94" s="181">
        <v>46191</v>
      </c>
      <c r="E94" s="181">
        <v>46191</v>
      </c>
      <c r="F94" s="122" t="s">
        <v>4875</v>
      </c>
      <c r="G94" s="182">
        <v>559000</v>
      </c>
      <c r="H94" s="182"/>
      <c r="I94" s="182">
        <v>10928028</v>
      </c>
    </row>
    <row r="95" spans="1:9" ht="28.5">
      <c r="A95" s="180" t="s">
        <v>4535</v>
      </c>
      <c r="B95" s="122" t="s">
        <v>240</v>
      </c>
      <c r="C95" s="122" t="s">
        <v>4671</v>
      </c>
      <c r="D95" s="181">
        <v>46192</v>
      </c>
      <c r="E95" s="181">
        <v>46192</v>
      </c>
      <c r="F95" s="122" t="s">
        <v>732</v>
      </c>
      <c r="G95" s="182"/>
      <c r="H95" s="182">
        <v>100</v>
      </c>
      <c r="I95" s="182">
        <v>10927928</v>
      </c>
    </row>
    <row r="96" spans="1:9" ht="28.5">
      <c r="A96" s="180" t="s">
        <v>4535</v>
      </c>
      <c r="B96" s="122" t="s">
        <v>240</v>
      </c>
      <c r="C96" s="122" t="s">
        <v>4671</v>
      </c>
      <c r="D96" s="181">
        <v>46192</v>
      </c>
      <c r="E96" s="181">
        <v>46192</v>
      </c>
      <c r="F96" s="122" t="s">
        <v>4672</v>
      </c>
      <c r="G96" s="182"/>
      <c r="H96" s="182">
        <v>43984</v>
      </c>
      <c r="I96" s="182">
        <v>10883944</v>
      </c>
    </row>
    <row r="97" spans="1:9" ht="42.75">
      <c r="A97" s="180" t="s">
        <v>4535</v>
      </c>
      <c r="B97" s="122" t="s">
        <v>240</v>
      </c>
      <c r="C97" s="122" t="s">
        <v>4673</v>
      </c>
      <c r="D97" s="181">
        <v>46192</v>
      </c>
      <c r="E97" s="181">
        <v>46192</v>
      </c>
      <c r="F97" s="122" t="s">
        <v>4674</v>
      </c>
      <c r="G97" s="182"/>
      <c r="H97" s="182">
        <v>200</v>
      </c>
      <c r="I97" s="182">
        <v>10883744</v>
      </c>
    </row>
    <row r="98" spans="1:9" ht="42.75">
      <c r="A98" s="180" t="s">
        <v>4535</v>
      </c>
      <c r="B98" s="122" t="s">
        <v>240</v>
      </c>
      <c r="C98" s="122" t="s">
        <v>4673</v>
      </c>
      <c r="D98" s="181">
        <v>46192</v>
      </c>
      <c r="E98" s="181">
        <v>46192</v>
      </c>
      <c r="F98" s="122" t="s">
        <v>4675</v>
      </c>
      <c r="G98" s="182"/>
      <c r="H98" s="182">
        <v>50000</v>
      </c>
      <c r="I98" s="182">
        <v>10833744</v>
      </c>
    </row>
    <row r="99" spans="1:9" ht="42.75">
      <c r="A99" s="180" t="s">
        <v>4535</v>
      </c>
      <c r="B99" s="122" t="s">
        <v>240</v>
      </c>
      <c r="C99" s="122" t="s">
        <v>4676</v>
      </c>
      <c r="D99" s="181">
        <v>46192</v>
      </c>
      <c r="E99" s="181">
        <v>46192</v>
      </c>
      <c r="F99" s="122" t="s">
        <v>4677</v>
      </c>
      <c r="G99" s="182"/>
      <c r="H99" s="182">
        <v>100</v>
      </c>
      <c r="I99" s="182">
        <v>10833644</v>
      </c>
    </row>
    <row r="100" spans="1:9" ht="42.75">
      <c r="A100" s="180" t="s">
        <v>4535</v>
      </c>
      <c r="B100" s="122" t="s">
        <v>240</v>
      </c>
      <c r="C100" s="122" t="s">
        <v>4676</v>
      </c>
      <c r="D100" s="181">
        <v>46192</v>
      </c>
      <c r="E100" s="181">
        <v>46192</v>
      </c>
      <c r="F100" s="122" t="s">
        <v>4678</v>
      </c>
      <c r="G100" s="182"/>
      <c r="H100" s="182">
        <v>500000</v>
      </c>
      <c r="I100" s="182">
        <v>10333644</v>
      </c>
    </row>
    <row r="101" spans="1:9" ht="42.75">
      <c r="A101" s="180" t="s">
        <v>4535</v>
      </c>
      <c r="B101" s="122" t="s">
        <v>240</v>
      </c>
      <c r="C101" s="122" t="s">
        <v>4679</v>
      </c>
      <c r="D101" s="181">
        <v>46193</v>
      </c>
      <c r="E101" s="181">
        <v>46193</v>
      </c>
      <c r="F101" s="122" t="s">
        <v>4680</v>
      </c>
      <c r="G101" s="182"/>
      <c r="H101" s="182">
        <v>100</v>
      </c>
      <c r="I101" s="182">
        <v>10333544</v>
      </c>
    </row>
    <row r="102" spans="1:9" ht="42.75">
      <c r="A102" s="180" t="s">
        <v>4535</v>
      </c>
      <c r="B102" s="122" t="s">
        <v>240</v>
      </c>
      <c r="C102" s="122" t="s">
        <v>4679</v>
      </c>
      <c r="D102" s="181">
        <v>46193</v>
      </c>
      <c r="E102" s="181">
        <v>46193</v>
      </c>
      <c r="F102" s="122" t="s">
        <v>4681</v>
      </c>
      <c r="G102" s="182"/>
      <c r="H102" s="182">
        <v>850000</v>
      </c>
      <c r="I102" s="182">
        <v>9483544</v>
      </c>
    </row>
    <row r="103" spans="1:9" ht="42.75">
      <c r="A103" s="180" t="s">
        <v>4535</v>
      </c>
      <c r="B103" s="122" t="s">
        <v>240</v>
      </c>
      <c r="C103" s="122" t="s">
        <v>4682</v>
      </c>
      <c r="D103" s="181">
        <v>46195</v>
      </c>
      <c r="E103" s="181">
        <v>46195</v>
      </c>
      <c r="F103" s="122" t="s">
        <v>4683</v>
      </c>
      <c r="G103" s="182"/>
      <c r="H103" s="182">
        <v>100</v>
      </c>
      <c r="I103" s="182">
        <v>9483444</v>
      </c>
    </row>
    <row r="104" spans="1:9" ht="42.75">
      <c r="A104" s="180" t="s">
        <v>4535</v>
      </c>
      <c r="B104" s="122" t="s">
        <v>240</v>
      </c>
      <c r="C104" s="122" t="s">
        <v>4682</v>
      </c>
      <c r="D104" s="181">
        <v>46195</v>
      </c>
      <c r="E104" s="181">
        <v>46195</v>
      </c>
      <c r="F104" s="122" t="s">
        <v>4684</v>
      </c>
      <c r="G104" s="182"/>
      <c r="H104" s="182">
        <v>500000</v>
      </c>
      <c r="I104" s="182">
        <v>8983444</v>
      </c>
    </row>
    <row r="105" spans="1:9" ht="42.75">
      <c r="A105" s="180" t="s">
        <v>4535</v>
      </c>
      <c r="B105" s="122" t="s">
        <v>240</v>
      </c>
      <c r="C105" s="122" t="s">
        <v>4685</v>
      </c>
      <c r="D105" s="181">
        <v>46196</v>
      </c>
      <c r="E105" s="181">
        <v>46196</v>
      </c>
      <c r="F105" s="122" t="s">
        <v>4686</v>
      </c>
      <c r="G105" s="182"/>
      <c r="H105" s="182">
        <v>100</v>
      </c>
      <c r="I105" s="182">
        <v>8983344</v>
      </c>
    </row>
    <row r="106" spans="1:9" ht="42.75">
      <c r="A106" s="180" t="s">
        <v>4535</v>
      </c>
      <c r="B106" s="122" t="s">
        <v>240</v>
      </c>
      <c r="C106" s="122" t="s">
        <v>4685</v>
      </c>
      <c r="D106" s="181">
        <v>46196</v>
      </c>
      <c r="E106" s="181">
        <v>46196</v>
      </c>
      <c r="F106" s="122" t="s">
        <v>4687</v>
      </c>
      <c r="G106" s="182"/>
      <c r="H106" s="182">
        <v>200000</v>
      </c>
      <c r="I106" s="182">
        <v>8783344</v>
      </c>
    </row>
    <row r="107" spans="1:9" ht="42.75">
      <c r="A107" s="180" t="s">
        <v>4535</v>
      </c>
      <c r="B107" s="122" t="s">
        <v>240</v>
      </c>
      <c r="C107" s="122" t="s">
        <v>4688</v>
      </c>
      <c r="D107" s="181">
        <v>46196</v>
      </c>
      <c r="E107" s="181">
        <v>46196</v>
      </c>
      <c r="F107" s="122" t="s">
        <v>4689</v>
      </c>
      <c r="G107" s="182"/>
      <c r="H107" s="182">
        <v>100</v>
      </c>
      <c r="I107" s="182">
        <v>8783244</v>
      </c>
    </row>
    <row r="108" spans="1:9" ht="28.5">
      <c r="A108" s="180" t="s">
        <v>4535</v>
      </c>
      <c r="B108" s="122" t="s">
        <v>240</v>
      </c>
      <c r="C108" s="122" t="s">
        <v>4688</v>
      </c>
      <c r="D108" s="181">
        <v>46196</v>
      </c>
      <c r="E108" s="181">
        <v>46196</v>
      </c>
      <c r="F108" s="122" t="s">
        <v>4690</v>
      </c>
      <c r="G108" s="182"/>
      <c r="H108" s="182">
        <v>300000</v>
      </c>
      <c r="I108" s="182">
        <v>8483244</v>
      </c>
    </row>
    <row r="109" spans="1:9" ht="42.75">
      <c r="A109" s="180" t="s">
        <v>4535</v>
      </c>
      <c r="B109" s="122" t="s">
        <v>240</v>
      </c>
      <c r="C109" s="122" t="s">
        <v>4691</v>
      </c>
      <c r="D109" s="181">
        <v>46197</v>
      </c>
      <c r="E109" s="181">
        <v>46197</v>
      </c>
      <c r="F109" s="122" t="s">
        <v>1064</v>
      </c>
      <c r="G109" s="182"/>
      <c r="H109" s="182">
        <v>237731</v>
      </c>
      <c r="I109" s="182">
        <v>8245513</v>
      </c>
    </row>
    <row r="110" spans="1:9" ht="28.5">
      <c r="A110" s="180" t="s">
        <v>4535</v>
      </c>
      <c r="B110" s="122" t="s">
        <v>240</v>
      </c>
      <c r="C110" s="122" t="s">
        <v>4692</v>
      </c>
      <c r="D110" s="181">
        <v>46197</v>
      </c>
      <c r="E110" s="181">
        <v>46197</v>
      </c>
      <c r="F110" s="122" t="s">
        <v>4693</v>
      </c>
      <c r="G110" s="182"/>
      <c r="H110" s="182">
        <v>11000</v>
      </c>
      <c r="I110" s="182">
        <v>8234513</v>
      </c>
    </row>
    <row r="111" spans="1:9" ht="28.5">
      <c r="A111" s="180" t="s">
        <v>4535</v>
      </c>
      <c r="B111" s="122" t="s">
        <v>240</v>
      </c>
      <c r="C111" s="122" t="s">
        <v>4694</v>
      </c>
      <c r="D111" s="181">
        <v>46197</v>
      </c>
      <c r="E111" s="181">
        <v>46197</v>
      </c>
      <c r="F111" s="122" t="s">
        <v>4695</v>
      </c>
      <c r="G111" s="182"/>
      <c r="H111" s="182">
        <v>18700</v>
      </c>
      <c r="I111" s="182">
        <v>8215813</v>
      </c>
    </row>
    <row r="112" spans="1:9" ht="28.5">
      <c r="A112" s="180" t="s">
        <v>4535</v>
      </c>
      <c r="B112" s="122" t="s">
        <v>240</v>
      </c>
      <c r="C112" s="122" t="s">
        <v>4696</v>
      </c>
      <c r="D112" s="181">
        <v>46197</v>
      </c>
      <c r="E112" s="181">
        <v>46197</v>
      </c>
      <c r="F112" s="122" t="s">
        <v>4697</v>
      </c>
      <c r="G112" s="182"/>
      <c r="H112" s="182">
        <v>56000</v>
      </c>
      <c r="I112" s="182">
        <v>8159813</v>
      </c>
    </row>
    <row r="113" spans="1:9" ht="28.5">
      <c r="A113" s="180" t="s">
        <v>4535</v>
      </c>
      <c r="B113" s="122" t="s">
        <v>240</v>
      </c>
      <c r="C113" s="122" t="s">
        <v>4698</v>
      </c>
      <c r="D113" s="181">
        <v>46198</v>
      </c>
      <c r="E113" s="181">
        <v>46198</v>
      </c>
      <c r="F113" s="122" t="s">
        <v>4699</v>
      </c>
      <c r="G113" s="182"/>
      <c r="H113" s="182">
        <v>287382</v>
      </c>
      <c r="I113" s="182">
        <v>7872431</v>
      </c>
    </row>
    <row r="114" spans="1:9" ht="28.5">
      <c r="A114" s="180" t="s">
        <v>4535</v>
      </c>
      <c r="B114" s="122" t="s">
        <v>240</v>
      </c>
      <c r="C114" s="122" t="s">
        <v>4700</v>
      </c>
      <c r="D114" s="181">
        <v>46198</v>
      </c>
      <c r="E114" s="181">
        <v>46198</v>
      </c>
      <c r="F114" s="122" t="s">
        <v>4877</v>
      </c>
      <c r="G114" s="182">
        <v>630000</v>
      </c>
      <c r="H114" s="182"/>
      <c r="I114" s="182">
        <v>8502431</v>
      </c>
    </row>
    <row r="115" spans="1:9" ht="28.5">
      <c r="A115" s="180" t="s">
        <v>4535</v>
      </c>
      <c r="B115" s="122" t="s">
        <v>240</v>
      </c>
      <c r="C115" s="122" t="s">
        <v>4701</v>
      </c>
      <c r="D115" s="181">
        <v>46198</v>
      </c>
      <c r="E115" s="181">
        <v>46198</v>
      </c>
      <c r="F115" s="122" t="s">
        <v>4702</v>
      </c>
      <c r="G115" s="182"/>
      <c r="H115" s="182">
        <v>15672</v>
      </c>
      <c r="I115" s="182">
        <v>8486759</v>
      </c>
    </row>
    <row r="116" spans="1:9" ht="28.5">
      <c r="A116" s="180" t="s">
        <v>4535</v>
      </c>
      <c r="B116" s="122" t="s">
        <v>240</v>
      </c>
      <c r="C116" s="122" t="s">
        <v>4703</v>
      </c>
      <c r="D116" s="181">
        <v>46198</v>
      </c>
      <c r="E116" s="181">
        <v>46198</v>
      </c>
      <c r="F116" s="122" t="s">
        <v>4704</v>
      </c>
      <c r="G116" s="182"/>
      <c r="H116" s="182">
        <v>100</v>
      </c>
      <c r="I116" s="182">
        <v>8486659</v>
      </c>
    </row>
    <row r="117" spans="1:9" ht="28.5">
      <c r="A117" s="180" t="s">
        <v>4535</v>
      </c>
      <c r="B117" s="122" t="s">
        <v>240</v>
      </c>
      <c r="C117" s="122" t="s">
        <v>4703</v>
      </c>
      <c r="D117" s="181">
        <v>46198</v>
      </c>
      <c r="E117" s="181">
        <v>46198</v>
      </c>
      <c r="F117" s="122" t="s">
        <v>4705</v>
      </c>
      <c r="G117" s="182"/>
      <c r="H117" s="182">
        <v>1500</v>
      </c>
      <c r="I117" s="182">
        <v>8485159</v>
      </c>
    </row>
    <row r="118" spans="1:9" ht="28.5">
      <c r="A118" s="180" t="s">
        <v>4535</v>
      </c>
      <c r="B118" s="122" t="s">
        <v>240</v>
      </c>
      <c r="C118" s="122" t="s">
        <v>4706</v>
      </c>
      <c r="D118" s="181">
        <v>46198</v>
      </c>
      <c r="E118" s="181">
        <v>46198</v>
      </c>
      <c r="F118" s="122" t="s">
        <v>4707</v>
      </c>
      <c r="G118" s="182"/>
      <c r="H118" s="182">
        <v>200</v>
      </c>
      <c r="I118" s="182">
        <v>8484959</v>
      </c>
    </row>
    <row r="119" spans="1:9" ht="42.75">
      <c r="A119" s="180" t="s">
        <v>4535</v>
      </c>
      <c r="B119" s="122" t="s">
        <v>240</v>
      </c>
      <c r="C119" s="122" t="s">
        <v>4706</v>
      </c>
      <c r="D119" s="181">
        <v>46198</v>
      </c>
      <c r="E119" s="181">
        <v>46198</v>
      </c>
      <c r="F119" s="122" t="s">
        <v>4708</v>
      </c>
      <c r="G119" s="182"/>
      <c r="H119" s="182">
        <v>20000</v>
      </c>
      <c r="I119" s="182">
        <v>8464959</v>
      </c>
    </row>
    <row r="120" spans="1:9" ht="42.75">
      <c r="A120" s="180" t="s">
        <v>4535</v>
      </c>
      <c r="B120" s="122" t="s">
        <v>240</v>
      </c>
      <c r="C120" s="122" t="s">
        <v>4709</v>
      </c>
      <c r="D120" s="181">
        <v>46198</v>
      </c>
      <c r="E120" s="181">
        <v>46198</v>
      </c>
      <c r="F120" s="122" t="s">
        <v>4710</v>
      </c>
      <c r="G120" s="182"/>
      <c r="H120" s="182">
        <v>25000</v>
      </c>
      <c r="I120" s="182">
        <v>8439959</v>
      </c>
    </row>
    <row r="121" spans="1:9" ht="28.5">
      <c r="A121" s="180" t="s">
        <v>4535</v>
      </c>
      <c r="B121" s="122" t="s">
        <v>240</v>
      </c>
      <c r="C121" s="122" t="s">
        <v>4711</v>
      </c>
      <c r="D121" s="181">
        <v>46198</v>
      </c>
      <c r="E121" s="181">
        <v>46198</v>
      </c>
      <c r="F121" s="122" t="s">
        <v>4712</v>
      </c>
      <c r="G121" s="182"/>
      <c r="H121" s="182">
        <v>200</v>
      </c>
      <c r="I121" s="182">
        <v>8439759</v>
      </c>
    </row>
    <row r="122" spans="1:9" ht="42.75">
      <c r="A122" s="180" t="s">
        <v>4535</v>
      </c>
      <c r="B122" s="122" t="s">
        <v>240</v>
      </c>
      <c r="C122" s="122" t="s">
        <v>4711</v>
      </c>
      <c r="D122" s="181">
        <v>46198</v>
      </c>
      <c r="E122" s="181">
        <v>46198</v>
      </c>
      <c r="F122" s="122" t="s">
        <v>4713</v>
      </c>
      <c r="G122" s="182"/>
      <c r="H122" s="182">
        <v>55000</v>
      </c>
      <c r="I122" s="182">
        <v>8384759</v>
      </c>
    </row>
    <row r="123" spans="1:9" ht="42.75">
      <c r="A123" s="180" t="s">
        <v>4535</v>
      </c>
      <c r="B123" s="122" t="s">
        <v>240</v>
      </c>
      <c r="C123" s="122" t="s">
        <v>4714</v>
      </c>
      <c r="D123" s="181">
        <v>46199</v>
      </c>
      <c r="E123" s="181">
        <v>46199</v>
      </c>
      <c r="F123" s="122" t="s">
        <v>3787</v>
      </c>
      <c r="G123" s="182"/>
      <c r="H123" s="182">
        <v>15000</v>
      </c>
      <c r="I123" s="182">
        <v>8369759</v>
      </c>
    </row>
    <row r="124" spans="1:9" ht="42.75">
      <c r="A124" s="180" t="s">
        <v>4535</v>
      </c>
      <c r="B124" s="122" t="s">
        <v>240</v>
      </c>
      <c r="C124" s="122" t="s">
        <v>4715</v>
      </c>
      <c r="D124" s="181">
        <v>46199</v>
      </c>
      <c r="E124" s="181">
        <v>46199</v>
      </c>
      <c r="F124" s="122" t="s">
        <v>4716</v>
      </c>
      <c r="G124" s="182"/>
      <c r="H124" s="182">
        <v>1350</v>
      </c>
      <c r="I124" s="182">
        <v>8368409</v>
      </c>
    </row>
    <row r="125" spans="1:9" ht="42.75">
      <c r="A125" s="180" t="s">
        <v>4535</v>
      </c>
      <c r="B125" s="122" t="s">
        <v>240</v>
      </c>
      <c r="C125" s="122" t="s">
        <v>4715</v>
      </c>
      <c r="D125" s="181">
        <v>46199</v>
      </c>
      <c r="E125" s="181">
        <v>46199</v>
      </c>
      <c r="F125" s="122" t="s">
        <v>4717</v>
      </c>
      <c r="G125" s="182"/>
      <c r="H125" s="182">
        <v>225000</v>
      </c>
      <c r="I125" s="182">
        <v>8143409</v>
      </c>
    </row>
    <row r="126" spans="1:9" ht="28.5">
      <c r="A126" s="180" t="s">
        <v>4535</v>
      </c>
      <c r="B126" s="122" t="s">
        <v>240</v>
      </c>
      <c r="C126" s="122" t="s">
        <v>4718</v>
      </c>
      <c r="D126" s="181">
        <v>46199</v>
      </c>
      <c r="E126" s="181">
        <v>46199</v>
      </c>
      <c r="F126" s="122" t="s">
        <v>4719</v>
      </c>
      <c r="G126" s="182"/>
      <c r="H126" s="182">
        <v>100</v>
      </c>
      <c r="I126" s="182">
        <v>8143309</v>
      </c>
    </row>
    <row r="127" spans="1:9" ht="28.5">
      <c r="A127" s="180" t="s">
        <v>4535</v>
      </c>
      <c r="B127" s="122" t="s">
        <v>240</v>
      </c>
      <c r="C127" s="122" t="s">
        <v>4718</v>
      </c>
      <c r="D127" s="181">
        <v>46199</v>
      </c>
      <c r="E127" s="181">
        <v>46199</v>
      </c>
      <c r="F127" s="122" t="s">
        <v>4720</v>
      </c>
      <c r="G127" s="182"/>
      <c r="H127" s="182">
        <v>360000</v>
      </c>
      <c r="I127" s="182">
        <v>7783309</v>
      </c>
    </row>
    <row r="128" spans="1:9" ht="42.75">
      <c r="A128" s="180" t="s">
        <v>4535</v>
      </c>
      <c r="B128" s="122" t="s">
        <v>240</v>
      </c>
      <c r="C128" s="122" t="s">
        <v>4721</v>
      </c>
      <c r="D128" s="181">
        <v>46200</v>
      </c>
      <c r="E128" s="181">
        <v>46200</v>
      </c>
      <c r="F128" s="122" t="s">
        <v>4722</v>
      </c>
      <c r="G128" s="182"/>
      <c r="H128" s="182">
        <v>30000</v>
      </c>
      <c r="I128" s="182">
        <v>7753309</v>
      </c>
    </row>
    <row r="129" spans="1:9" ht="42.75">
      <c r="A129" s="180" t="s">
        <v>4535</v>
      </c>
      <c r="B129" s="122" t="s">
        <v>240</v>
      </c>
      <c r="C129" s="122" t="s">
        <v>4723</v>
      </c>
      <c r="D129" s="181">
        <v>46200</v>
      </c>
      <c r="E129" s="181">
        <v>46200</v>
      </c>
      <c r="F129" s="122" t="s">
        <v>4724</v>
      </c>
      <c r="G129" s="182"/>
      <c r="H129" s="182">
        <v>100</v>
      </c>
      <c r="I129" s="182">
        <v>7753209</v>
      </c>
    </row>
    <row r="130" spans="1:9" ht="42.75">
      <c r="A130" s="180" t="s">
        <v>4535</v>
      </c>
      <c r="B130" s="122" t="s">
        <v>240</v>
      </c>
      <c r="C130" s="122" t="s">
        <v>4723</v>
      </c>
      <c r="D130" s="181">
        <v>46200</v>
      </c>
      <c r="E130" s="181">
        <v>46200</v>
      </c>
      <c r="F130" s="122" t="s">
        <v>4725</v>
      </c>
      <c r="G130" s="182"/>
      <c r="H130" s="182">
        <v>9000</v>
      </c>
      <c r="I130" s="182">
        <v>7744209</v>
      </c>
    </row>
    <row r="131" spans="1:9" ht="28.5">
      <c r="A131" s="180" t="s">
        <v>4535</v>
      </c>
      <c r="B131" s="122" t="s">
        <v>240</v>
      </c>
      <c r="C131" s="122" t="s">
        <v>4726</v>
      </c>
      <c r="D131" s="181">
        <v>46200</v>
      </c>
      <c r="E131" s="181">
        <v>46200</v>
      </c>
      <c r="F131" s="122" t="s">
        <v>4727</v>
      </c>
      <c r="G131" s="182"/>
      <c r="H131" s="182">
        <v>100</v>
      </c>
      <c r="I131" s="182">
        <v>7744109</v>
      </c>
    </row>
    <row r="132" spans="1:9" ht="42.75">
      <c r="A132" s="180" t="s">
        <v>4535</v>
      </c>
      <c r="B132" s="122" t="s">
        <v>240</v>
      </c>
      <c r="C132" s="122" t="s">
        <v>4726</v>
      </c>
      <c r="D132" s="181">
        <v>46200</v>
      </c>
      <c r="E132" s="181">
        <v>46200</v>
      </c>
      <c r="F132" s="122" t="s">
        <v>4728</v>
      </c>
      <c r="G132" s="182"/>
      <c r="H132" s="182">
        <v>5000</v>
      </c>
      <c r="I132" s="182">
        <v>7739109</v>
      </c>
    </row>
    <row r="133" spans="1:9" ht="42.75">
      <c r="A133" s="180" t="s">
        <v>4535</v>
      </c>
      <c r="B133" s="122" t="s">
        <v>240</v>
      </c>
      <c r="C133" s="122" t="s">
        <v>4729</v>
      </c>
      <c r="D133" s="181">
        <v>46200</v>
      </c>
      <c r="E133" s="181">
        <v>46200</v>
      </c>
      <c r="F133" s="122" t="s">
        <v>4730</v>
      </c>
      <c r="G133" s="182"/>
      <c r="H133" s="182">
        <v>200</v>
      </c>
      <c r="I133" s="182">
        <v>7738909</v>
      </c>
    </row>
    <row r="134" spans="1:9" ht="42.75">
      <c r="A134" s="180" t="s">
        <v>4535</v>
      </c>
      <c r="B134" s="122" t="s">
        <v>240</v>
      </c>
      <c r="C134" s="122" t="s">
        <v>4729</v>
      </c>
      <c r="D134" s="181">
        <v>46200</v>
      </c>
      <c r="E134" s="181">
        <v>46200</v>
      </c>
      <c r="F134" s="122" t="s">
        <v>4731</v>
      </c>
      <c r="G134" s="182"/>
      <c r="H134" s="182">
        <v>73000</v>
      </c>
      <c r="I134" s="182">
        <v>7665909</v>
      </c>
    </row>
    <row r="135" spans="1:9" ht="42.75">
      <c r="A135" s="180" t="s">
        <v>4535</v>
      </c>
      <c r="B135" s="122" t="s">
        <v>240</v>
      </c>
      <c r="C135" s="122" t="s">
        <v>4732</v>
      </c>
      <c r="D135" s="181">
        <v>46201</v>
      </c>
      <c r="E135" s="181">
        <v>46201</v>
      </c>
      <c r="F135" s="122" t="s">
        <v>4733</v>
      </c>
      <c r="G135" s="182"/>
      <c r="H135" s="182">
        <v>200</v>
      </c>
      <c r="I135" s="182">
        <v>7665709</v>
      </c>
    </row>
    <row r="136" spans="1:9" ht="42.75">
      <c r="A136" s="180" t="s">
        <v>4535</v>
      </c>
      <c r="B136" s="122" t="s">
        <v>240</v>
      </c>
      <c r="C136" s="122" t="s">
        <v>4732</v>
      </c>
      <c r="D136" s="181">
        <v>46201</v>
      </c>
      <c r="E136" s="181">
        <v>46201</v>
      </c>
      <c r="F136" s="122" t="s">
        <v>4734</v>
      </c>
      <c r="G136" s="182"/>
      <c r="H136" s="182">
        <v>20000</v>
      </c>
      <c r="I136" s="182">
        <v>7645709</v>
      </c>
    </row>
    <row r="137" spans="1:9" ht="42.75">
      <c r="A137" s="180" t="s">
        <v>4535</v>
      </c>
      <c r="B137" s="122" t="s">
        <v>240</v>
      </c>
      <c r="C137" s="122" t="s">
        <v>4735</v>
      </c>
      <c r="D137" s="181">
        <v>46201</v>
      </c>
      <c r="E137" s="181">
        <v>46201</v>
      </c>
      <c r="F137" s="122" t="s">
        <v>4736</v>
      </c>
      <c r="G137" s="182"/>
      <c r="H137" s="182">
        <v>200</v>
      </c>
      <c r="I137" s="182">
        <v>7645509</v>
      </c>
    </row>
    <row r="138" spans="1:9" ht="42.75">
      <c r="A138" s="180" t="s">
        <v>4535</v>
      </c>
      <c r="B138" s="122" t="s">
        <v>240</v>
      </c>
      <c r="C138" s="122" t="s">
        <v>4735</v>
      </c>
      <c r="D138" s="181">
        <v>46201</v>
      </c>
      <c r="E138" s="181">
        <v>46201</v>
      </c>
      <c r="F138" s="122" t="s">
        <v>4737</v>
      </c>
      <c r="G138" s="182"/>
      <c r="H138" s="182">
        <v>35000</v>
      </c>
      <c r="I138" s="182">
        <v>7610509</v>
      </c>
    </row>
    <row r="139" spans="1:9" ht="42.75">
      <c r="A139" s="180" t="s">
        <v>4535</v>
      </c>
      <c r="B139" s="122" t="s">
        <v>240</v>
      </c>
      <c r="C139" s="122" t="s">
        <v>4738</v>
      </c>
      <c r="D139" s="181">
        <v>46201</v>
      </c>
      <c r="E139" s="181">
        <v>46201</v>
      </c>
      <c r="F139" s="122" t="s">
        <v>4739</v>
      </c>
      <c r="G139" s="182"/>
      <c r="H139" s="182">
        <v>100</v>
      </c>
      <c r="I139" s="182">
        <v>7610409</v>
      </c>
    </row>
    <row r="140" spans="1:9" ht="42.75">
      <c r="A140" s="180" t="s">
        <v>4535</v>
      </c>
      <c r="B140" s="122" t="s">
        <v>240</v>
      </c>
      <c r="C140" s="122" t="s">
        <v>4738</v>
      </c>
      <c r="D140" s="181">
        <v>46201</v>
      </c>
      <c r="E140" s="181">
        <v>46201</v>
      </c>
      <c r="F140" s="122" t="s">
        <v>4740</v>
      </c>
      <c r="G140" s="182"/>
      <c r="H140" s="182">
        <v>200000</v>
      </c>
      <c r="I140" s="182">
        <v>7410409</v>
      </c>
    </row>
    <row r="141" spans="1:9" ht="42.75">
      <c r="A141" s="180" t="s">
        <v>4535</v>
      </c>
      <c r="B141" s="122" t="s">
        <v>240</v>
      </c>
      <c r="C141" s="122" t="s">
        <v>4741</v>
      </c>
      <c r="D141" s="181">
        <v>46201</v>
      </c>
      <c r="E141" s="181">
        <v>46201</v>
      </c>
      <c r="F141" s="122" t="s">
        <v>4742</v>
      </c>
      <c r="G141" s="182"/>
      <c r="H141" s="182">
        <v>10000</v>
      </c>
      <c r="I141" s="182">
        <v>7400409</v>
      </c>
    </row>
    <row r="142" spans="1:9" ht="42.75">
      <c r="A142" s="180" t="s">
        <v>4535</v>
      </c>
      <c r="B142" s="122" t="s">
        <v>240</v>
      </c>
      <c r="C142" s="122" t="s">
        <v>4743</v>
      </c>
      <c r="D142" s="181">
        <v>46201</v>
      </c>
      <c r="E142" s="181">
        <v>46201</v>
      </c>
      <c r="F142" s="122" t="s">
        <v>4744</v>
      </c>
      <c r="G142" s="182"/>
      <c r="H142" s="182">
        <v>200</v>
      </c>
      <c r="I142" s="182">
        <v>7400209</v>
      </c>
    </row>
    <row r="143" spans="1:9" ht="42.75">
      <c r="A143" s="180" t="s">
        <v>4535</v>
      </c>
      <c r="B143" s="122" t="s">
        <v>240</v>
      </c>
      <c r="C143" s="122" t="s">
        <v>4743</v>
      </c>
      <c r="D143" s="181">
        <v>46201</v>
      </c>
      <c r="E143" s="181">
        <v>46201</v>
      </c>
      <c r="F143" s="122" t="s">
        <v>4745</v>
      </c>
      <c r="G143" s="182"/>
      <c r="H143" s="182">
        <v>20000</v>
      </c>
      <c r="I143" s="182">
        <v>7380209</v>
      </c>
    </row>
    <row r="144" spans="1:9" ht="42.75">
      <c r="A144" s="180" t="s">
        <v>4535</v>
      </c>
      <c r="B144" s="122" t="s">
        <v>240</v>
      </c>
      <c r="C144" s="122" t="s">
        <v>4746</v>
      </c>
      <c r="D144" s="181">
        <v>46201</v>
      </c>
      <c r="E144" s="181">
        <v>46201</v>
      </c>
      <c r="F144" s="122" t="s">
        <v>4747</v>
      </c>
      <c r="G144" s="182"/>
      <c r="H144" s="182">
        <v>200</v>
      </c>
      <c r="I144" s="182">
        <v>7380009</v>
      </c>
    </row>
    <row r="145" spans="1:9" ht="42.75">
      <c r="A145" s="180" t="s">
        <v>4535</v>
      </c>
      <c r="B145" s="122" t="s">
        <v>240</v>
      </c>
      <c r="C145" s="122" t="s">
        <v>4746</v>
      </c>
      <c r="D145" s="181">
        <v>46201</v>
      </c>
      <c r="E145" s="181">
        <v>46201</v>
      </c>
      <c r="F145" s="122" t="s">
        <v>4748</v>
      </c>
      <c r="G145" s="182"/>
      <c r="H145" s="182">
        <v>20000</v>
      </c>
      <c r="I145" s="182">
        <v>7360009</v>
      </c>
    </row>
    <row r="146" spans="1:9" ht="42.75">
      <c r="A146" s="180" t="s">
        <v>4535</v>
      </c>
      <c r="B146" s="122" t="s">
        <v>240</v>
      </c>
      <c r="C146" s="122" t="s">
        <v>4749</v>
      </c>
      <c r="D146" s="181">
        <v>46202</v>
      </c>
      <c r="E146" s="181">
        <v>46202</v>
      </c>
      <c r="F146" s="122" t="s">
        <v>4750</v>
      </c>
      <c r="G146" s="182"/>
      <c r="H146" s="182">
        <v>1350</v>
      </c>
      <c r="I146" s="182">
        <v>7358659</v>
      </c>
    </row>
    <row r="147" spans="1:9" ht="42.75">
      <c r="A147" s="180" t="s">
        <v>4535</v>
      </c>
      <c r="B147" s="122" t="s">
        <v>240</v>
      </c>
      <c r="C147" s="122" t="s">
        <v>4749</v>
      </c>
      <c r="D147" s="181">
        <v>46202</v>
      </c>
      <c r="E147" s="181">
        <v>46202</v>
      </c>
      <c r="F147" s="122" t="s">
        <v>4751</v>
      </c>
      <c r="G147" s="182"/>
      <c r="H147" s="182">
        <v>200000</v>
      </c>
      <c r="I147" s="182">
        <v>7158659</v>
      </c>
    </row>
    <row r="148" spans="1:9" ht="28.5">
      <c r="A148" s="180" t="s">
        <v>4535</v>
      </c>
      <c r="B148" s="122" t="s">
        <v>240</v>
      </c>
      <c r="C148" s="122" t="s">
        <v>4752</v>
      </c>
      <c r="D148" s="181">
        <v>46202</v>
      </c>
      <c r="E148" s="181">
        <v>46202</v>
      </c>
      <c r="F148" s="122" t="s">
        <v>4878</v>
      </c>
      <c r="G148" s="182">
        <v>660000</v>
      </c>
      <c r="H148" s="182"/>
      <c r="I148" s="182">
        <v>7818659</v>
      </c>
    </row>
    <row r="149" spans="1:9">
      <c r="A149" s="180" t="s">
        <v>4535</v>
      </c>
      <c r="B149" s="122" t="s">
        <v>240</v>
      </c>
      <c r="C149" s="122" t="s">
        <v>4753</v>
      </c>
      <c r="D149" s="181">
        <v>46203</v>
      </c>
      <c r="E149" s="181">
        <v>46203</v>
      </c>
      <c r="F149" s="122" t="s">
        <v>4053</v>
      </c>
      <c r="G149" s="182"/>
      <c r="H149" s="182">
        <v>5177644</v>
      </c>
      <c r="I149" s="182">
        <v>2641015</v>
      </c>
    </row>
    <row r="150" spans="1:9" ht="42.75">
      <c r="A150" s="180" t="s">
        <v>4535</v>
      </c>
      <c r="B150" s="122" t="s">
        <v>240</v>
      </c>
      <c r="C150" s="122" t="s">
        <v>4754</v>
      </c>
      <c r="D150" s="181">
        <v>46203</v>
      </c>
      <c r="E150" s="181">
        <v>46203</v>
      </c>
      <c r="F150" s="122" t="s">
        <v>4755</v>
      </c>
      <c r="G150" s="182"/>
      <c r="H150" s="182">
        <v>200</v>
      </c>
      <c r="I150" s="182">
        <v>2640815</v>
      </c>
    </row>
    <row r="151" spans="1:9" ht="42.75">
      <c r="A151" s="180" t="s">
        <v>4535</v>
      </c>
      <c r="B151" s="122" t="s">
        <v>240</v>
      </c>
      <c r="C151" s="122" t="s">
        <v>4754</v>
      </c>
      <c r="D151" s="181">
        <v>46203</v>
      </c>
      <c r="E151" s="181">
        <v>46203</v>
      </c>
      <c r="F151" s="122" t="s">
        <v>4756</v>
      </c>
      <c r="G151" s="182"/>
      <c r="H151" s="182">
        <v>22500</v>
      </c>
      <c r="I151" s="182">
        <v>2618315</v>
      </c>
    </row>
    <row r="152" spans="1:9" ht="28.5">
      <c r="A152" s="180" t="s">
        <v>4535</v>
      </c>
      <c r="B152" s="122" t="s">
        <v>240</v>
      </c>
      <c r="C152" s="122" t="s">
        <v>4757</v>
      </c>
      <c r="D152" s="181">
        <v>46203</v>
      </c>
      <c r="E152" s="181">
        <v>46203</v>
      </c>
      <c r="F152" s="122" t="s">
        <v>4758</v>
      </c>
      <c r="G152" s="182"/>
      <c r="H152" s="182">
        <v>1350</v>
      </c>
      <c r="I152" s="182">
        <v>2616965</v>
      </c>
    </row>
    <row r="153" spans="1:9" ht="42.75">
      <c r="A153" s="180" t="s">
        <v>4535</v>
      </c>
      <c r="B153" s="122" t="s">
        <v>240</v>
      </c>
      <c r="C153" s="122" t="s">
        <v>4757</v>
      </c>
      <c r="D153" s="181">
        <v>46203</v>
      </c>
      <c r="E153" s="181">
        <v>46203</v>
      </c>
      <c r="F153" s="122" t="s">
        <v>4759</v>
      </c>
      <c r="G153" s="182"/>
      <c r="H153" s="182">
        <v>494000</v>
      </c>
      <c r="I153" s="182">
        <v>2122965</v>
      </c>
    </row>
    <row r="154" spans="1:9" ht="28.5">
      <c r="A154" s="180" t="s">
        <v>4535</v>
      </c>
      <c r="B154" s="122" t="s">
        <v>240</v>
      </c>
      <c r="C154" s="122" t="s">
        <v>4760</v>
      </c>
      <c r="D154" s="181">
        <v>46203</v>
      </c>
      <c r="E154" s="181">
        <v>46203</v>
      </c>
      <c r="F154" s="122" t="s">
        <v>4761</v>
      </c>
      <c r="G154" s="182"/>
      <c r="H154" s="182">
        <v>1000</v>
      </c>
      <c r="I154" s="182">
        <v>2121965</v>
      </c>
    </row>
    <row r="155" spans="1:9" ht="28.5">
      <c r="A155" s="180" t="s">
        <v>4535</v>
      </c>
      <c r="B155" s="122" t="s">
        <v>240</v>
      </c>
      <c r="C155" s="122" t="s">
        <v>4760</v>
      </c>
      <c r="D155" s="181">
        <v>46203</v>
      </c>
      <c r="E155" s="181">
        <v>46203</v>
      </c>
      <c r="F155" s="122" t="s">
        <v>4762</v>
      </c>
      <c r="G155" s="182"/>
      <c r="H155" s="182">
        <v>310000</v>
      </c>
      <c r="I155" s="182">
        <v>1811965</v>
      </c>
    </row>
    <row r="156" spans="1:9" ht="42.75">
      <c r="A156" s="180" t="s">
        <v>4535</v>
      </c>
      <c r="B156" s="122" t="s">
        <v>240</v>
      </c>
      <c r="C156" s="122" t="s">
        <v>4763</v>
      </c>
      <c r="D156" s="181">
        <v>46203</v>
      </c>
      <c r="E156" s="181">
        <v>46203</v>
      </c>
      <c r="F156" s="122" t="s">
        <v>4764</v>
      </c>
      <c r="G156" s="182"/>
      <c r="H156" s="182">
        <v>200</v>
      </c>
      <c r="I156" s="182">
        <v>1811765</v>
      </c>
    </row>
    <row r="157" spans="1:9" ht="42.75">
      <c r="A157" s="180" t="s">
        <v>4535</v>
      </c>
      <c r="B157" s="122" t="s">
        <v>240</v>
      </c>
      <c r="C157" s="122" t="s">
        <v>4763</v>
      </c>
      <c r="D157" s="181">
        <v>46203</v>
      </c>
      <c r="E157" s="181">
        <v>46203</v>
      </c>
      <c r="F157" s="122" t="s">
        <v>4765</v>
      </c>
      <c r="G157" s="182"/>
      <c r="H157" s="182">
        <v>65000</v>
      </c>
      <c r="I157" s="182">
        <v>1746765</v>
      </c>
    </row>
    <row r="158" spans="1:9" ht="28.5">
      <c r="A158" s="180" t="s">
        <v>4535</v>
      </c>
      <c r="B158" s="122" t="s">
        <v>240</v>
      </c>
      <c r="C158" s="122" t="s">
        <v>4766</v>
      </c>
      <c r="D158" s="181">
        <v>46203</v>
      </c>
      <c r="E158" s="181">
        <v>46203</v>
      </c>
      <c r="F158" s="122" t="s">
        <v>4767</v>
      </c>
      <c r="G158" s="182"/>
      <c r="H158" s="182">
        <v>100</v>
      </c>
      <c r="I158" s="182">
        <v>1746665</v>
      </c>
    </row>
    <row r="159" spans="1:9" ht="28.5">
      <c r="A159" s="180" t="s">
        <v>4535</v>
      </c>
      <c r="B159" s="122" t="s">
        <v>240</v>
      </c>
      <c r="C159" s="122" t="s">
        <v>4766</v>
      </c>
      <c r="D159" s="181">
        <v>46203</v>
      </c>
      <c r="E159" s="181">
        <v>46203</v>
      </c>
      <c r="F159" s="122" t="s">
        <v>4768</v>
      </c>
      <c r="G159" s="182"/>
      <c r="H159" s="182">
        <v>60000</v>
      </c>
      <c r="I159" s="182">
        <v>1686665</v>
      </c>
    </row>
    <row r="160" spans="1:9" ht="28.5">
      <c r="A160" s="180" t="s">
        <v>4535</v>
      </c>
      <c r="B160" s="122" t="s">
        <v>240</v>
      </c>
      <c r="C160" s="122" t="s">
        <v>4769</v>
      </c>
      <c r="D160" s="181">
        <v>46203</v>
      </c>
      <c r="E160" s="181">
        <v>46203</v>
      </c>
      <c r="F160" s="122" t="s">
        <v>4770</v>
      </c>
      <c r="G160" s="182"/>
      <c r="H160" s="182">
        <v>200</v>
      </c>
      <c r="I160" s="182">
        <v>1686465</v>
      </c>
    </row>
    <row r="161" spans="1:9" ht="42.75">
      <c r="A161" s="180" t="s">
        <v>4535</v>
      </c>
      <c r="B161" s="122" t="s">
        <v>240</v>
      </c>
      <c r="C161" s="122" t="s">
        <v>4769</v>
      </c>
      <c r="D161" s="181">
        <v>46203</v>
      </c>
      <c r="E161" s="181">
        <v>46203</v>
      </c>
      <c r="F161" s="122" t="s">
        <v>4771</v>
      </c>
      <c r="G161" s="182"/>
      <c r="H161" s="182">
        <v>33500</v>
      </c>
      <c r="I161" s="182">
        <v>1652965</v>
      </c>
    </row>
    <row r="162" spans="1:9" ht="42.75">
      <c r="A162" s="180" t="s">
        <v>4535</v>
      </c>
      <c r="B162" s="122" t="s">
        <v>240</v>
      </c>
      <c r="C162" s="122" t="s">
        <v>4772</v>
      </c>
      <c r="D162" s="181">
        <v>46203</v>
      </c>
      <c r="E162" s="181">
        <v>46203</v>
      </c>
      <c r="F162" s="122" t="s">
        <v>4773</v>
      </c>
      <c r="G162" s="182"/>
      <c r="H162" s="182">
        <v>200</v>
      </c>
      <c r="I162" s="182">
        <v>1652765</v>
      </c>
    </row>
    <row r="163" spans="1:9" ht="42.75">
      <c r="A163" s="180" t="s">
        <v>4535</v>
      </c>
      <c r="B163" s="122" t="s">
        <v>240</v>
      </c>
      <c r="C163" s="122" t="s">
        <v>4772</v>
      </c>
      <c r="D163" s="181">
        <v>46203</v>
      </c>
      <c r="E163" s="181">
        <v>46203</v>
      </c>
      <c r="F163" s="122" t="s">
        <v>4774</v>
      </c>
      <c r="G163" s="182"/>
      <c r="H163" s="182">
        <v>50000</v>
      </c>
      <c r="I163" s="182">
        <v>1602765</v>
      </c>
    </row>
    <row r="164" spans="1:9">
      <c r="G164" s="174">
        <f>SUM(G2:G163)</f>
        <v>16544000</v>
      </c>
      <c r="H164" s="174">
        <f>SUM(H3:H163)</f>
        <v>16994251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38" workbookViewId="0">
      <selection activeCell="C51" sqref="C51:E51"/>
    </sheetView>
  </sheetViews>
  <sheetFormatPr defaultRowHeight="14.25"/>
  <cols>
    <col min="2" max="2" width="15.5" customWidth="1"/>
    <col min="3" max="3" width="28.25" customWidth="1"/>
    <col min="4" max="4" width="13.5" customWidth="1"/>
    <col min="5" max="5" width="15.125" style="196" customWidth="1"/>
    <col min="6" max="6" width="21.125" style="196" customWidth="1"/>
    <col min="7" max="7" width="11.25" customWidth="1"/>
  </cols>
  <sheetData>
    <row r="1" spans="1:10" ht="15">
      <c r="B1" t="s">
        <v>52</v>
      </c>
      <c r="C1" s="207" t="s">
        <v>53</v>
      </c>
      <c r="D1" s="207"/>
      <c r="E1" s="207"/>
      <c r="F1" s="207"/>
      <c r="G1" s="207"/>
      <c r="H1" s="207"/>
      <c r="I1" s="78"/>
      <c r="J1" s="78"/>
    </row>
    <row r="2" spans="1:10">
      <c r="E2" s="189"/>
      <c r="F2" s="189"/>
      <c r="G2" s="31"/>
      <c r="H2" s="78"/>
      <c r="I2" s="78"/>
      <c r="J2" s="78"/>
    </row>
    <row r="3" spans="1:10" ht="28.5">
      <c r="A3" s="1" t="s">
        <v>54</v>
      </c>
      <c r="B3" s="1" t="s">
        <v>55</v>
      </c>
      <c r="C3" s="1" t="s">
        <v>4809</v>
      </c>
      <c r="D3" s="1" t="s">
        <v>57</v>
      </c>
      <c r="E3" s="190" t="s">
        <v>58</v>
      </c>
      <c r="F3" s="190" t="s">
        <v>221</v>
      </c>
      <c r="G3" s="6" t="s">
        <v>59</v>
      </c>
      <c r="H3" s="208"/>
      <c r="I3" s="209"/>
      <c r="J3" s="148"/>
    </row>
    <row r="4" spans="1:10">
      <c r="A4" s="1"/>
      <c r="B4" s="1"/>
      <c r="C4" s="1"/>
      <c r="D4" s="1"/>
      <c r="E4" s="189"/>
      <c r="F4" s="191"/>
      <c r="G4" s="102"/>
      <c r="H4" s="149"/>
      <c r="I4" s="149"/>
      <c r="J4" s="149"/>
    </row>
    <row r="5" spans="1:10" ht="15">
      <c r="A5" s="1" t="s">
        <v>68</v>
      </c>
      <c r="B5" s="1" t="s">
        <v>69</v>
      </c>
      <c r="C5" s="1" t="s">
        <v>70</v>
      </c>
      <c r="D5" s="1" t="s">
        <v>71</v>
      </c>
      <c r="E5" s="101">
        <v>45945</v>
      </c>
      <c r="F5" s="40"/>
      <c r="G5" s="103">
        <v>600000</v>
      </c>
      <c r="H5" s="150"/>
      <c r="I5" s="150"/>
      <c r="J5" s="150"/>
    </row>
    <row r="6" spans="1:10" ht="15">
      <c r="A6" s="1" t="s">
        <v>72</v>
      </c>
      <c r="B6" s="1" t="s">
        <v>4810</v>
      </c>
      <c r="C6" s="1" t="s">
        <v>74</v>
      </c>
      <c r="D6" s="1" t="s">
        <v>71</v>
      </c>
      <c r="E6" s="9">
        <v>45962</v>
      </c>
      <c r="F6" s="192"/>
      <c r="G6" s="13">
        <v>400000</v>
      </c>
      <c r="H6" s="80"/>
      <c r="I6" s="151"/>
      <c r="J6" s="150"/>
    </row>
    <row r="7" spans="1:10" ht="15">
      <c r="A7" s="1" t="s">
        <v>75</v>
      </c>
      <c r="B7" s="1" t="s">
        <v>76</v>
      </c>
      <c r="C7" s="1" t="s">
        <v>77</v>
      </c>
      <c r="D7" s="1" t="s">
        <v>71</v>
      </c>
      <c r="E7" s="9">
        <v>45935</v>
      </c>
      <c r="F7" s="9"/>
      <c r="G7" s="13">
        <v>300000</v>
      </c>
      <c r="H7" s="82"/>
      <c r="I7" s="82"/>
      <c r="J7" s="150"/>
    </row>
    <row r="8" spans="1:10" ht="15">
      <c r="A8" s="1" t="s">
        <v>78</v>
      </c>
      <c r="B8" s="1" t="s">
        <v>79</v>
      </c>
      <c r="C8" s="1" t="s">
        <v>80</v>
      </c>
      <c r="D8" s="1" t="s">
        <v>81</v>
      </c>
      <c r="E8" s="9">
        <v>45940</v>
      </c>
      <c r="F8" s="9">
        <v>46122</v>
      </c>
      <c r="G8" s="17">
        <v>200000</v>
      </c>
      <c r="H8" s="80"/>
      <c r="I8" s="80"/>
      <c r="J8" s="80"/>
    </row>
    <row r="9" spans="1:10" ht="26.25" customHeight="1">
      <c r="A9" s="1" t="s">
        <v>78</v>
      </c>
      <c r="B9" s="193" t="s">
        <v>4811</v>
      </c>
      <c r="C9" s="120" t="s">
        <v>4227</v>
      </c>
      <c r="D9" s="1" t="s">
        <v>71</v>
      </c>
      <c r="E9" s="9">
        <v>46135</v>
      </c>
      <c r="F9" s="9"/>
      <c r="G9" s="17">
        <v>100000</v>
      </c>
      <c r="H9" s="80"/>
      <c r="I9" s="80"/>
      <c r="J9" s="80"/>
    </row>
    <row r="10" spans="1:10" ht="15">
      <c r="A10" s="1" t="s">
        <v>82</v>
      </c>
      <c r="B10" s="1" t="s">
        <v>83</v>
      </c>
      <c r="C10" s="1" t="s">
        <v>84</v>
      </c>
      <c r="D10" s="1" t="s">
        <v>85</v>
      </c>
      <c r="E10" s="194">
        <v>45931</v>
      </c>
      <c r="F10" s="9"/>
      <c r="G10" s="13">
        <v>1000000</v>
      </c>
      <c r="H10" s="151"/>
      <c r="I10" s="151"/>
      <c r="J10" s="151"/>
    </row>
    <row r="11" spans="1:10" ht="15">
      <c r="A11" s="8" t="s">
        <v>86</v>
      </c>
      <c r="B11" s="18" t="s">
        <v>4812</v>
      </c>
      <c r="C11" s="1" t="s">
        <v>87</v>
      </c>
      <c r="D11" s="1" t="s">
        <v>71</v>
      </c>
      <c r="E11" s="9" t="s">
        <v>88</v>
      </c>
      <c r="F11" s="9"/>
      <c r="G11" s="19">
        <v>750000</v>
      </c>
      <c r="H11" s="151"/>
      <c r="I11" s="151"/>
      <c r="J11" s="151"/>
    </row>
    <row r="12" spans="1:10" ht="15">
      <c r="A12" s="1" t="s">
        <v>89</v>
      </c>
      <c r="B12" s="20" t="s">
        <v>90</v>
      </c>
      <c r="C12" s="1" t="s">
        <v>91</v>
      </c>
      <c r="D12" s="1" t="s">
        <v>92</v>
      </c>
      <c r="E12" s="9">
        <v>45935</v>
      </c>
      <c r="F12" s="9">
        <v>46146</v>
      </c>
      <c r="G12" s="13">
        <v>250000</v>
      </c>
      <c r="H12" s="151"/>
      <c r="I12" s="151"/>
      <c r="J12" s="151"/>
    </row>
    <row r="13" spans="1:10" ht="15">
      <c r="A13" s="1" t="s">
        <v>93</v>
      </c>
      <c r="B13" s="1" t="s">
        <v>83</v>
      </c>
      <c r="C13" s="1" t="s">
        <v>84</v>
      </c>
      <c r="D13" s="1" t="s">
        <v>85</v>
      </c>
      <c r="E13" s="9">
        <v>45669</v>
      </c>
      <c r="F13" s="9"/>
      <c r="G13" s="13">
        <v>800000</v>
      </c>
      <c r="H13" s="151"/>
      <c r="I13" s="151"/>
      <c r="J13" s="151"/>
    </row>
    <row r="14" spans="1:10" ht="15">
      <c r="A14" s="1" t="s">
        <v>4813</v>
      </c>
      <c r="B14" s="1" t="s">
        <v>4814</v>
      </c>
      <c r="C14" s="1" t="s">
        <v>4815</v>
      </c>
      <c r="D14" s="1" t="s">
        <v>219</v>
      </c>
      <c r="E14" s="9">
        <v>46185</v>
      </c>
      <c r="F14" s="9"/>
      <c r="G14" s="13">
        <v>650000</v>
      </c>
      <c r="H14" s="151"/>
      <c r="I14" s="151"/>
      <c r="J14" s="151"/>
    </row>
    <row r="15" spans="1:10" ht="15">
      <c r="A15" s="1" t="s">
        <v>94</v>
      </c>
      <c r="B15" s="20" t="s">
        <v>95</v>
      </c>
      <c r="C15" s="1" t="s">
        <v>96</v>
      </c>
      <c r="D15" s="1" t="s">
        <v>219</v>
      </c>
      <c r="E15" s="9" t="s">
        <v>97</v>
      </c>
      <c r="F15" s="9"/>
      <c r="G15" s="13">
        <v>200000</v>
      </c>
      <c r="H15" s="80"/>
      <c r="I15" s="80"/>
      <c r="J15" s="80"/>
    </row>
    <row r="16" spans="1:10" ht="15">
      <c r="A16" s="1" t="s">
        <v>4816</v>
      </c>
      <c r="B16" s="20" t="s">
        <v>4817</v>
      </c>
      <c r="C16" s="1" t="s">
        <v>4818</v>
      </c>
      <c r="D16" s="1" t="s">
        <v>105</v>
      </c>
      <c r="E16" s="9">
        <v>46175</v>
      </c>
      <c r="F16" s="9"/>
      <c r="G16" s="13">
        <v>230000</v>
      </c>
      <c r="H16" s="80"/>
      <c r="I16" s="80"/>
      <c r="J16" s="80"/>
    </row>
    <row r="17" spans="1:10" ht="15">
      <c r="A17" s="1" t="s">
        <v>98</v>
      </c>
      <c r="B17" s="20" t="s">
        <v>99</v>
      </c>
      <c r="C17" s="1" t="s">
        <v>100</v>
      </c>
      <c r="D17" s="1" t="s">
        <v>71</v>
      </c>
      <c r="E17" s="9">
        <v>46113</v>
      </c>
      <c r="F17" s="9"/>
      <c r="G17" s="13">
        <v>150000</v>
      </c>
      <c r="H17" s="80"/>
      <c r="I17" s="80"/>
      <c r="J17" s="80"/>
    </row>
    <row r="18" spans="1:10" ht="15">
      <c r="A18" s="1" t="s">
        <v>101</v>
      </c>
      <c r="B18" s="1" t="s">
        <v>83</v>
      </c>
      <c r="C18" s="1" t="s">
        <v>84</v>
      </c>
      <c r="D18" s="1" t="s">
        <v>85</v>
      </c>
      <c r="E18" s="9">
        <v>46023</v>
      </c>
      <c r="F18" s="9">
        <v>46173</v>
      </c>
      <c r="G18" s="23">
        <v>500000</v>
      </c>
      <c r="H18" s="80"/>
      <c r="I18" s="80"/>
      <c r="J18" s="151"/>
    </row>
    <row r="19" spans="1:10" ht="15">
      <c r="A19" s="1" t="s">
        <v>4819</v>
      </c>
      <c r="B19" s="1" t="s">
        <v>4820</v>
      </c>
      <c r="C19" s="1" t="s">
        <v>4821</v>
      </c>
      <c r="D19" s="1" t="s">
        <v>105</v>
      </c>
      <c r="E19" s="9">
        <v>46175</v>
      </c>
      <c r="F19" s="9"/>
      <c r="G19" s="23">
        <v>230000</v>
      </c>
      <c r="H19" s="80"/>
      <c r="I19" s="80"/>
      <c r="J19" s="151"/>
    </row>
    <row r="20" spans="1:10" ht="15">
      <c r="A20" s="16" t="s">
        <v>102</v>
      </c>
      <c r="B20" s="24" t="s">
        <v>103</v>
      </c>
      <c r="C20" s="16" t="s">
        <v>104</v>
      </c>
      <c r="D20" s="16" t="s">
        <v>105</v>
      </c>
      <c r="E20" s="9">
        <v>45945</v>
      </c>
      <c r="F20" s="9">
        <v>46096</v>
      </c>
      <c r="G20" s="25">
        <v>250000</v>
      </c>
      <c r="H20" s="82"/>
      <c r="I20" s="151"/>
      <c r="J20" s="82"/>
    </row>
    <row r="21" spans="1:10" ht="15">
      <c r="A21" s="16" t="s">
        <v>1</v>
      </c>
      <c r="B21" s="24" t="s">
        <v>4225</v>
      </c>
      <c r="C21" s="16" t="s">
        <v>4231</v>
      </c>
      <c r="D21" s="16" t="s">
        <v>4226</v>
      </c>
      <c r="E21" s="9">
        <v>46134</v>
      </c>
      <c r="F21" s="9"/>
      <c r="G21" s="25">
        <v>200000</v>
      </c>
      <c r="H21" s="82"/>
      <c r="I21" s="151"/>
      <c r="J21" s="82"/>
    </row>
    <row r="22" spans="1:10" ht="15">
      <c r="A22" s="1" t="s">
        <v>106</v>
      </c>
      <c r="B22" s="1" t="s">
        <v>79</v>
      </c>
      <c r="C22" s="1" t="s">
        <v>107</v>
      </c>
      <c r="D22" s="1" t="s">
        <v>81</v>
      </c>
      <c r="E22" s="9">
        <v>45936</v>
      </c>
      <c r="F22" s="9">
        <v>46118</v>
      </c>
      <c r="G22" s="13">
        <v>300000</v>
      </c>
      <c r="H22" s="80"/>
      <c r="I22" s="80"/>
      <c r="J22" s="151"/>
    </row>
    <row r="23" spans="1:10" ht="15">
      <c r="A23" s="1" t="s">
        <v>4261</v>
      </c>
      <c r="B23" s="1" t="s">
        <v>4822</v>
      </c>
      <c r="C23" s="1" t="s">
        <v>4823</v>
      </c>
      <c r="D23" s="1" t="s">
        <v>4824</v>
      </c>
      <c r="E23" s="9">
        <v>46157</v>
      </c>
      <c r="F23" s="9"/>
      <c r="G23" s="13">
        <v>330000</v>
      </c>
      <c r="H23" s="80"/>
      <c r="I23" s="80"/>
      <c r="J23" s="151"/>
    </row>
    <row r="24" spans="1:10" ht="15">
      <c r="A24" s="1" t="s">
        <v>108</v>
      </c>
      <c r="B24" s="1" t="s">
        <v>109</v>
      </c>
      <c r="C24" s="1" t="s">
        <v>110</v>
      </c>
      <c r="D24" s="1" t="s">
        <v>81</v>
      </c>
      <c r="E24" s="9">
        <v>45932</v>
      </c>
      <c r="F24" s="9">
        <v>46158</v>
      </c>
      <c r="G24" s="13">
        <v>300000</v>
      </c>
      <c r="H24" s="82"/>
      <c r="I24" s="80"/>
      <c r="J24" s="151"/>
    </row>
    <row r="25" spans="1:10" ht="15">
      <c r="A25" s="1" t="s">
        <v>4258</v>
      </c>
      <c r="B25" s="1" t="s">
        <v>4825</v>
      </c>
      <c r="C25" s="1" t="s">
        <v>4259</v>
      </c>
      <c r="D25" s="1" t="s">
        <v>105</v>
      </c>
      <c r="E25" s="9">
        <v>46159</v>
      </c>
      <c r="F25" s="9">
        <v>46177</v>
      </c>
      <c r="G25" s="13">
        <v>300000</v>
      </c>
      <c r="H25" s="82"/>
      <c r="I25" s="80"/>
      <c r="J25" s="151"/>
    </row>
    <row r="26" spans="1:10" ht="15">
      <c r="A26" s="1" t="s">
        <v>108</v>
      </c>
      <c r="B26" s="1" t="s">
        <v>4826</v>
      </c>
      <c r="C26" s="1" t="s">
        <v>4827</v>
      </c>
      <c r="D26" s="1" t="s">
        <v>4238</v>
      </c>
      <c r="E26" s="9">
        <v>46177</v>
      </c>
      <c r="F26" s="9"/>
      <c r="G26" s="13">
        <v>300000</v>
      </c>
      <c r="H26" s="82"/>
      <c r="I26" s="80"/>
      <c r="J26" s="151"/>
    </row>
    <row r="27" spans="1:10" ht="15">
      <c r="A27" s="1" t="s">
        <v>111</v>
      </c>
      <c r="B27" s="20" t="s">
        <v>112</v>
      </c>
      <c r="C27" s="1" t="s">
        <v>4828</v>
      </c>
      <c r="D27" s="1" t="s">
        <v>105</v>
      </c>
      <c r="E27" s="9">
        <v>46082</v>
      </c>
      <c r="F27" s="9"/>
      <c r="G27" s="13">
        <v>300000</v>
      </c>
      <c r="H27" s="151"/>
      <c r="I27" s="80"/>
      <c r="J27" s="80"/>
    </row>
    <row r="28" spans="1:10" ht="15">
      <c r="A28" s="1" t="s">
        <v>114</v>
      </c>
      <c r="B28" s="1" t="s">
        <v>115</v>
      </c>
      <c r="C28" s="1" t="s">
        <v>116</v>
      </c>
      <c r="D28" s="1" t="s">
        <v>117</v>
      </c>
      <c r="E28" s="9">
        <v>45962</v>
      </c>
      <c r="F28" s="9"/>
      <c r="G28" s="13">
        <v>300000</v>
      </c>
      <c r="H28" s="80"/>
      <c r="I28" s="80"/>
      <c r="J28" s="80"/>
    </row>
    <row r="29" spans="1:10" ht="15">
      <c r="A29" s="1" t="s">
        <v>118</v>
      </c>
      <c r="B29" s="1" t="s">
        <v>119</v>
      </c>
      <c r="C29" s="1" t="s">
        <v>120</v>
      </c>
      <c r="D29" s="1" t="s">
        <v>71</v>
      </c>
      <c r="E29" s="9">
        <v>45945</v>
      </c>
      <c r="F29" s="9"/>
      <c r="G29" s="13">
        <v>300000</v>
      </c>
      <c r="H29" s="82"/>
      <c r="I29" s="80"/>
      <c r="J29" s="151"/>
    </row>
    <row r="30" spans="1:10" ht="27" customHeight="1">
      <c r="A30" s="1" t="s">
        <v>121</v>
      </c>
      <c r="B30" s="20" t="s">
        <v>122</v>
      </c>
      <c r="C30" s="120" t="s">
        <v>123</v>
      </c>
      <c r="D30" s="1" t="s">
        <v>124</v>
      </c>
      <c r="E30" s="9">
        <v>45938</v>
      </c>
      <c r="F30" s="9"/>
      <c r="G30" s="13">
        <v>300000</v>
      </c>
      <c r="H30" s="80"/>
      <c r="I30" s="80"/>
      <c r="J30" s="80"/>
    </row>
    <row r="31" spans="1:10" ht="15">
      <c r="A31" s="1" t="s">
        <v>125</v>
      </c>
      <c r="B31" s="1" t="s">
        <v>126</v>
      </c>
      <c r="C31" s="1" t="s">
        <v>127</v>
      </c>
      <c r="D31" s="1" t="s">
        <v>117</v>
      </c>
      <c r="E31" s="9">
        <v>45962</v>
      </c>
      <c r="F31" s="9"/>
      <c r="G31" s="13">
        <v>300000</v>
      </c>
      <c r="H31" s="80"/>
      <c r="I31" s="80"/>
      <c r="J31" s="80"/>
    </row>
    <row r="32" spans="1:10" ht="15">
      <c r="A32" s="1" t="s">
        <v>128</v>
      </c>
      <c r="B32" s="1" t="s">
        <v>129</v>
      </c>
      <c r="C32" s="1" t="s">
        <v>130</v>
      </c>
      <c r="D32" s="1" t="s">
        <v>71</v>
      </c>
      <c r="E32" s="9">
        <v>45940</v>
      </c>
      <c r="F32" s="9">
        <v>46183</v>
      </c>
      <c r="G32" s="13">
        <v>300000</v>
      </c>
      <c r="H32" s="80"/>
      <c r="I32" s="80"/>
      <c r="J32" s="80"/>
    </row>
    <row r="33" spans="1:10" ht="29.25">
      <c r="A33" s="1" t="s">
        <v>128</v>
      </c>
      <c r="B33" s="1" t="s">
        <v>4829</v>
      </c>
      <c r="C33" s="120" t="s">
        <v>4876</v>
      </c>
      <c r="D33" s="1"/>
      <c r="E33" s="9">
        <v>46199</v>
      </c>
      <c r="F33" s="9"/>
      <c r="G33" s="13">
        <v>300000</v>
      </c>
      <c r="H33" s="80"/>
      <c r="I33" s="80"/>
      <c r="J33" s="80"/>
    </row>
    <row r="34" spans="1:10" ht="15">
      <c r="A34" s="1" t="s">
        <v>131</v>
      </c>
      <c r="B34" s="1" t="s">
        <v>132</v>
      </c>
      <c r="C34" s="1" t="s">
        <v>133</v>
      </c>
      <c r="D34" s="1" t="s">
        <v>134</v>
      </c>
      <c r="E34" s="9">
        <v>45954</v>
      </c>
      <c r="F34" s="9"/>
      <c r="G34" s="13">
        <v>300000</v>
      </c>
      <c r="H34" s="80"/>
      <c r="I34" s="80"/>
      <c r="J34" s="80"/>
    </row>
    <row r="35" spans="1:10" ht="15">
      <c r="A35" s="1" t="s">
        <v>135</v>
      </c>
      <c r="B35" s="28" t="s">
        <v>136</v>
      </c>
      <c r="C35" s="16" t="s">
        <v>137</v>
      </c>
      <c r="D35" s="1" t="s">
        <v>71</v>
      </c>
      <c r="E35" s="9">
        <v>45934</v>
      </c>
      <c r="F35" s="9"/>
      <c r="G35" s="13">
        <v>300000</v>
      </c>
      <c r="H35" s="80"/>
      <c r="I35" s="80"/>
      <c r="J35" s="80"/>
    </row>
    <row r="36" spans="1:10" ht="15">
      <c r="A36" s="1" t="s">
        <v>138</v>
      </c>
      <c r="B36" s="1" t="s">
        <v>139</v>
      </c>
      <c r="C36" s="1" t="s">
        <v>140</v>
      </c>
      <c r="D36" s="1" t="s">
        <v>81</v>
      </c>
      <c r="E36" s="9">
        <v>45958</v>
      </c>
      <c r="F36" s="9" t="s">
        <v>3441</v>
      </c>
      <c r="G36" s="13">
        <v>300000</v>
      </c>
      <c r="H36" s="80"/>
      <c r="I36" s="80"/>
      <c r="J36" s="80"/>
    </row>
    <row r="37" spans="1:10" ht="15">
      <c r="A37" s="1" t="s">
        <v>4228</v>
      </c>
      <c r="B37" s="1">
        <v>79167649</v>
      </c>
      <c r="C37" s="1" t="s">
        <v>4235</v>
      </c>
      <c r="D37" s="1" t="s">
        <v>81</v>
      </c>
      <c r="E37" s="9">
        <v>46137</v>
      </c>
      <c r="F37" s="9"/>
      <c r="G37" s="13">
        <v>300000</v>
      </c>
      <c r="H37" s="80"/>
      <c r="I37" s="80"/>
      <c r="J37" s="80"/>
    </row>
    <row r="38" spans="1:10" ht="30">
      <c r="A38" s="29" t="s">
        <v>141</v>
      </c>
      <c r="B38" s="29" t="s">
        <v>142</v>
      </c>
      <c r="C38" s="29" t="s">
        <v>143</v>
      </c>
      <c r="D38" s="29" t="s">
        <v>71</v>
      </c>
      <c r="E38" s="30" t="s">
        <v>144</v>
      </c>
      <c r="F38" s="30" t="s">
        <v>4233</v>
      </c>
      <c r="G38" s="13"/>
      <c r="H38" s="151"/>
      <c r="I38" s="80"/>
      <c r="J38" s="80"/>
    </row>
    <row r="39" spans="1:10" ht="30">
      <c r="A39" s="113" t="s">
        <v>111</v>
      </c>
      <c r="B39" s="114" t="s">
        <v>145</v>
      </c>
      <c r="C39" s="113" t="s">
        <v>146</v>
      </c>
      <c r="D39" s="113" t="s">
        <v>81</v>
      </c>
      <c r="E39" s="115" t="s">
        <v>147</v>
      </c>
      <c r="F39" s="115" t="s">
        <v>4234</v>
      </c>
      <c r="G39" s="116"/>
      <c r="H39" s="154"/>
      <c r="I39" s="118"/>
      <c r="J39" s="118"/>
    </row>
    <row r="40" spans="1:10">
      <c r="A40" s="1"/>
      <c r="B40" s="1"/>
      <c r="C40" s="1"/>
      <c r="D40" s="1"/>
      <c r="E40" s="191"/>
      <c r="F40" s="191"/>
      <c r="G40" s="6"/>
      <c r="H40" s="80"/>
      <c r="I40" s="80"/>
      <c r="J40" s="80"/>
    </row>
    <row r="41" spans="1:10" ht="15">
      <c r="C41" s="33"/>
      <c r="E41" s="189"/>
      <c r="F41" s="189"/>
      <c r="G41" s="31"/>
      <c r="H41" s="78"/>
      <c r="I41" s="78"/>
      <c r="J41" s="78"/>
    </row>
    <row r="42" spans="1:10">
      <c r="E42" s="189"/>
      <c r="F42" s="189"/>
      <c r="G42" s="31"/>
      <c r="H42" s="78"/>
      <c r="I42" s="78"/>
      <c r="J42" s="78"/>
    </row>
    <row r="43" spans="1:10">
      <c r="E43" s="189"/>
      <c r="F43" s="189"/>
      <c r="G43" s="31"/>
      <c r="H43" s="78"/>
      <c r="I43" s="78"/>
      <c r="J43" s="78"/>
    </row>
    <row r="44" spans="1:10" ht="30.75" thickBot="1">
      <c r="C44" s="121" t="s">
        <v>170</v>
      </c>
      <c r="D44" s="1" t="s">
        <v>171</v>
      </c>
      <c r="E44" s="195"/>
    </row>
    <row r="45" spans="1:10" ht="15" thickBot="1">
      <c r="C45" s="122"/>
      <c r="H45" s="212"/>
      <c r="I45" s="213"/>
      <c r="J45" s="214"/>
    </row>
    <row r="46" spans="1:10" ht="28.5">
      <c r="A46" s="1" t="s">
        <v>54</v>
      </c>
      <c r="B46" s="1" t="s">
        <v>173</v>
      </c>
      <c r="C46" s="120" t="s">
        <v>174</v>
      </c>
      <c r="D46" s="1" t="s">
        <v>57</v>
      </c>
      <c r="E46" s="197" t="s">
        <v>58</v>
      </c>
      <c r="F46" s="197" t="s">
        <v>221</v>
      </c>
      <c r="G46" s="43" t="s">
        <v>175</v>
      </c>
      <c r="H46" s="44"/>
      <c r="I46" s="44"/>
      <c r="J46" s="44"/>
    </row>
    <row r="47" spans="1:10" ht="43.5" customHeight="1">
      <c r="A47" s="46" t="s">
        <v>180</v>
      </c>
      <c r="B47" s="47" t="s">
        <v>181</v>
      </c>
      <c r="C47" s="123" t="s">
        <v>3430</v>
      </c>
      <c r="D47" s="46" t="s">
        <v>124</v>
      </c>
      <c r="E47" s="198" t="s">
        <v>182</v>
      </c>
      <c r="F47" s="198" t="s">
        <v>4830</v>
      </c>
      <c r="G47" s="49">
        <v>400000</v>
      </c>
      <c r="H47" s="16"/>
      <c r="I47" s="16"/>
      <c r="J47" s="16"/>
    </row>
    <row r="48" spans="1:10" ht="39" customHeight="1">
      <c r="A48" s="50" t="s">
        <v>183</v>
      </c>
      <c r="B48" s="47" t="s">
        <v>184</v>
      </c>
      <c r="C48" s="124" t="s">
        <v>185</v>
      </c>
      <c r="D48" s="50" t="s">
        <v>124</v>
      </c>
      <c r="E48" s="199" t="s">
        <v>186</v>
      </c>
      <c r="F48" s="200">
        <v>46130</v>
      </c>
      <c r="G48" s="48">
        <v>350000</v>
      </c>
      <c r="H48" s="14"/>
      <c r="I48" s="14"/>
      <c r="J48" s="14"/>
    </row>
    <row r="49" spans="1:10" ht="31.5" customHeight="1">
      <c r="A49" s="50" t="s">
        <v>187</v>
      </c>
      <c r="B49" s="52" t="s">
        <v>188</v>
      </c>
      <c r="C49" s="125" t="s">
        <v>189</v>
      </c>
      <c r="D49" s="50" t="s">
        <v>190</v>
      </c>
      <c r="E49" s="200">
        <v>46033</v>
      </c>
      <c r="F49" s="200" t="s">
        <v>4234</v>
      </c>
      <c r="G49" s="48">
        <v>100000</v>
      </c>
      <c r="H49" s="14"/>
      <c r="I49" s="14"/>
      <c r="J49" s="14"/>
    </row>
    <row r="50" spans="1:10" ht="28.5">
      <c r="A50" s="50" t="s">
        <v>3442</v>
      </c>
      <c r="B50" s="52" t="s">
        <v>4237</v>
      </c>
      <c r="C50" s="125" t="s">
        <v>4236</v>
      </c>
      <c r="D50" s="50" t="s">
        <v>4238</v>
      </c>
      <c r="E50" s="200">
        <v>46099</v>
      </c>
      <c r="F50" s="200">
        <v>46160</v>
      </c>
      <c r="G50" s="48">
        <v>350000</v>
      </c>
      <c r="H50" s="14"/>
      <c r="I50" s="14"/>
      <c r="J50" s="119"/>
    </row>
    <row r="51" spans="1:10">
      <c r="A51" s="50" t="s">
        <v>3442</v>
      </c>
      <c r="B51" s="52" t="s">
        <v>4831</v>
      </c>
      <c r="C51" s="125" t="s">
        <v>4832</v>
      </c>
      <c r="D51" s="50" t="s">
        <v>4833</v>
      </c>
      <c r="E51" s="200">
        <v>46177</v>
      </c>
      <c r="F51" s="200"/>
      <c r="G51" s="48"/>
      <c r="H51" s="14"/>
      <c r="I51" s="14"/>
      <c r="J51" s="119"/>
    </row>
    <row r="52" spans="1:10" ht="15">
      <c r="A52" s="50" t="s">
        <v>191</v>
      </c>
      <c r="B52" s="52" t="s">
        <v>192</v>
      </c>
      <c r="C52" s="125" t="s">
        <v>193</v>
      </c>
      <c r="D52" s="50" t="s">
        <v>194</v>
      </c>
      <c r="E52" s="201">
        <v>45837</v>
      </c>
      <c r="F52" s="201">
        <v>46112</v>
      </c>
      <c r="G52" s="55">
        <v>400000</v>
      </c>
      <c r="H52" s="16"/>
      <c r="I52" s="16"/>
      <c r="J52" s="16"/>
    </row>
    <row r="53" spans="1:10" ht="28.5" customHeight="1">
      <c r="A53" s="50" t="s">
        <v>3890</v>
      </c>
      <c r="B53" s="52" t="s">
        <v>3892</v>
      </c>
      <c r="C53" s="125" t="s">
        <v>4232</v>
      </c>
      <c r="D53" s="50" t="s">
        <v>4834</v>
      </c>
      <c r="E53" s="201">
        <v>46143</v>
      </c>
      <c r="F53" s="201"/>
      <c r="G53" s="55">
        <v>350000</v>
      </c>
      <c r="H53" s="16"/>
      <c r="I53" s="16"/>
      <c r="J53" s="16"/>
    </row>
    <row r="54" spans="1:10">
      <c r="A54" s="50" t="s">
        <v>195</v>
      </c>
      <c r="B54" s="52" t="s">
        <v>196</v>
      </c>
      <c r="C54" s="125" t="s">
        <v>197</v>
      </c>
      <c r="D54" s="50" t="s">
        <v>124</v>
      </c>
      <c r="E54" s="200">
        <v>46023</v>
      </c>
      <c r="F54" s="200"/>
      <c r="G54" s="57">
        <v>100000</v>
      </c>
      <c r="H54" s="58"/>
      <c r="I54" s="14"/>
      <c r="J54" s="10"/>
    </row>
    <row r="55" spans="1:10">
      <c r="A55" s="50" t="s">
        <v>3893</v>
      </c>
      <c r="B55" s="52" t="s">
        <v>198</v>
      </c>
      <c r="C55" s="125" t="s">
        <v>199</v>
      </c>
      <c r="D55" s="50" t="s">
        <v>200</v>
      </c>
      <c r="E55" s="199" t="s">
        <v>201</v>
      </c>
      <c r="F55" s="199"/>
      <c r="G55" s="1">
        <v>350000</v>
      </c>
      <c r="I55" s="6"/>
      <c r="J55" s="6"/>
    </row>
    <row r="56" spans="1:10">
      <c r="A56" s="50" t="s">
        <v>4835</v>
      </c>
      <c r="B56" s="52" t="s">
        <v>4836</v>
      </c>
      <c r="C56" s="125" t="s">
        <v>4837</v>
      </c>
      <c r="D56" s="50" t="s">
        <v>4838</v>
      </c>
      <c r="E56" s="200">
        <v>46189</v>
      </c>
      <c r="F56" s="199"/>
      <c r="G56" s="1">
        <v>350000</v>
      </c>
      <c r="I56" s="6"/>
      <c r="J56" s="6"/>
    </row>
    <row r="57" spans="1:10" ht="15">
      <c r="A57" s="59" t="s">
        <v>202</v>
      </c>
      <c r="B57" s="60" t="s">
        <v>203</v>
      </c>
      <c r="C57" s="126" t="s">
        <v>204</v>
      </c>
      <c r="D57" s="59" t="s">
        <v>205</v>
      </c>
      <c r="E57" s="202">
        <v>45793</v>
      </c>
      <c r="F57" s="202"/>
      <c r="G57" s="1">
        <v>100000</v>
      </c>
      <c r="H57" s="16"/>
      <c r="I57" s="10"/>
      <c r="J57" s="14"/>
    </row>
    <row r="58" spans="1:10" ht="15">
      <c r="A58" s="59"/>
      <c r="B58" s="60"/>
      <c r="C58" s="126"/>
      <c r="D58" s="59"/>
      <c r="E58" s="203"/>
      <c r="F58" s="202"/>
      <c r="G58" s="1"/>
      <c r="H58" s="16"/>
      <c r="I58" s="14"/>
      <c r="J58" s="14"/>
    </row>
    <row r="59" spans="1:10">
      <c r="A59" s="146" t="s">
        <v>51</v>
      </c>
      <c r="B59" s="1"/>
      <c r="C59" s="120"/>
      <c r="D59" s="1"/>
      <c r="E59" s="204"/>
      <c r="F59" s="204"/>
      <c r="G59" s="1">
        <f>SUM(G47:G58)</f>
        <v>2850000</v>
      </c>
      <c r="H59" s="1"/>
      <c r="I59" s="1"/>
      <c r="J59" s="1"/>
    </row>
  </sheetData>
  <mergeCells count="3">
    <mergeCell ref="C1:H1"/>
    <mergeCell ref="H3:I3"/>
    <mergeCell ref="H45:J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Rent </vt:lpstr>
      <vt:lpstr>utulities </vt:lpstr>
      <vt:lpstr>INEMA ESTATE 2026</vt:lpstr>
      <vt:lpstr>INGANJI ESTATE 2026</vt:lpstr>
      <vt:lpstr>SUMMARY </vt:lpstr>
      <vt:lpstr>bk janv to march 2026</vt:lpstr>
      <vt:lpstr>Sheet1</vt:lpstr>
      <vt:lpstr>BK MARS 2026</vt:lpstr>
      <vt:lpstr>BK AVRIL 2026</vt:lpstr>
      <vt:lpstr>DEPENSES AVRIL 26</vt:lpstr>
      <vt:lpstr>BK MAY 1 TO 10TH</vt:lpstr>
      <vt:lpstr>bk may 1 t0 31 26</vt:lpstr>
      <vt:lpstr>MAY TRAV</vt:lpstr>
      <vt:lpstr>JUNE TRAV</vt:lpstr>
      <vt:lpstr>list des clients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CYABUKOMBE</dc:creator>
  <cp:lastModifiedBy>Chantal Kayitare</cp:lastModifiedBy>
  <dcterms:created xsi:type="dcterms:W3CDTF">2026-03-10T12:26:53Z</dcterms:created>
  <dcterms:modified xsi:type="dcterms:W3CDTF">2026-07-08T00:20:19Z</dcterms:modified>
</cp:coreProperties>
</file>